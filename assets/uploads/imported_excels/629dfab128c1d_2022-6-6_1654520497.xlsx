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bookViews>
    <workbookView xWindow="0" yWindow="0" windowWidth="28800" windowHeight="12435" tabRatio="762" firstSheet="1" activeTab="1"/>
  </bookViews>
  <sheets>
    <sheet name="TOTAL" sheetId="11" r:id="rId1"/>
    <sheet name="FS Jimbaran May 2020" sheetId="14" r:id="rId2"/>
    <sheet name="RNs &amp; Covers May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3" i="14" l="1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I42" i="14" l="1"/>
  <c r="Q47" i="14"/>
  <c r="R47" i="14"/>
  <c r="B38" i="10"/>
  <c r="AL42" i="14"/>
  <c r="AI42" i="14"/>
  <c r="G32" i="11"/>
  <c r="AA42" i="14"/>
  <c r="AB42" i="14" s="1"/>
  <c r="V42" i="14"/>
  <c r="N42" i="14"/>
  <c r="P42" i="14"/>
  <c r="E32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I32" i="11"/>
  <c r="J32" i="11"/>
  <c r="K32" i="11"/>
  <c r="H22" i="11"/>
  <c r="H23" i="11"/>
  <c r="H26" i="11"/>
  <c r="H27" i="11"/>
  <c r="G30" i="11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/>
  <c r="AI40" i="14"/>
  <c r="AL40" i="14"/>
  <c r="AL41" i="14"/>
  <c r="AI41" i="14"/>
  <c r="AA40" i="14"/>
  <c r="AB40" i="14" s="1"/>
  <c r="AA41" i="14"/>
  <c r="AB41" i="14" s="1"/>
  <c r="V40" i="14"/>
  <c r="K30" i="11" s="1"/>
  <c r="V41" i="14"/>
  <c r="K31" i="11" s="1"/>
  <c r="P40" i="14"/>
  <c r="E30" i="11" s="1"/>
  <c r="P41" i="14"/>
  <c r="E31" i="11" s="1"/>
  <c r="I40" i="14"/>
  <c r="I41" i="14"/>
  <c r="I30" i="11"/>
  <c r="J30" i="11"/>
  <c r="G31" i="11"/>
  <c r="H31" i="11"/>
  <c r="I31" i="11"/>
  <c r="J31" i="11"/>
  <c r="V33" i="14"/>
  <c r="K23" i="11" s="1"/>
  <c r="V34" i="14"/>
  <c r="K24" i="11" s="1"/>
  <c r="V35" i="14"/>
  <c r="K25" i="11" s="1"/>
  <c r="V36" i="14"/>
  <c r="K26" i="11" s="1"/>
  <c r="V37" i="14"/>
  <c r="K27" i="11" s="1"/>
  <c r="V38" i="14"/>
  <c r="K28" i="11" s="1"/>
  <c r="V39" i="14"/>
  <c r="K29" i="11" s="1"/>
  <c r="V24" i="14"/>
  <c r="K14" i="11" s="1"/>
  <c r="J21" i="1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/>
  <c r="G29" i="11"/>
  <c r="H25" i="11"/>
  <c r="G25" i="11"/>
  <c r="H21" i="11"/>
  <c r="G21" i="11"/>
  <c r="H28" i="11"/>
  <c r="G28" i="11"/>
  <c r="G26" i="11"/>
  <c r="AA31" i="14"/>
  <c r="AA32" i="14"/>
  <c r="AB32" i="14" s="1"/>
  <c r="AA33" i="14"/>
  <c r="AA34" i="14"/>
  <c r="AB34" i="14" s="1"/>
  <c r="AA35" i="14"/>
  <c r="AA36" i="14"/>
  <c r="AA37" i="14"/>
  <c r="AA38" i="14"/>
  <c r="L28" i="11" s="1"/>
  <c r="AA39" i="14"/>
  <c r="L29" i="11" s="1"/>
  <c r="V31" i="14"/>
  <c r="L21" i="11" s="1"/>
  <c r="V32" i="14"/>
  <c r="K22" i="11" s="1"/>
  <c r="I39" i="14"/>
  <c r="I38" i="14"/>
  <c r="O38" i="14" s="1"/>
  <c r="I37" i="14"/>
  <c r="O37" i="14" s="1"/>
  <c r="I36" i="14"/>
  <c r="O36" i="14" s="1"/>
  <c r="I35" i="14"/>
  <c r="O35" i="14" s="1"/>
  <c r="I34" i="14"/>
  <c r="I33" i="14"/>
  <c r="I32" i="14"/>
  <c r="I31" i="14"/>
  <c r="O34" i="14"/>
  <c r="AB31" i="14"/>
  <c r="P31" i="14"/>
  <c r="E21" i="11" s="1"/>
  <c r="P32" i="14"/>
  <c r="E22" i="11" s="1"/>
  <c r="P33" i="14"/>
  <c r="E23" i="11" s="1"/>
  <c r="P34" i="14"/>
  <c r="E24" i="11" s="1"/>
  <c r="P35" i="14"/>
  <c r="E25" i="11"/>
  <c r="P36" i="14"/>
  <c r="E26" i="11" s="1"/>
  <c r="P37" i="14"/>
  <c r="E27" i="11" s="1"/>
  <c r="P38" i="14"/>
  <c r="E28" i="11"/>
  <c r="P39" i="14"/>
  <c r="E29" i="11" s="1"/>
  <c r="V30" i="14"/>
  <c r="V29" i="14"/>
  <c r="K19" i="11" s="1"/>
  <c r="V28" i="14"/>
  <c r="K18" i="11" s="1"/>
  <c r="V27" i="14"/>
  <c r="K17" i="11" s="1"/>
  <c r="V26" i="14"/>
  <c r="K16" i="11" s="1"/>
  <c r="V25" i="14"/>
  <c r="K15" i="11" s="1"/>
  <c r="V23" i="14"/>
  <c r="K13" i="11" s="1"/>
  <c r="V22" i="14"/>
  <c r="K12" i="11" s="1"/>
  <c r="V21" i="14"/>
  <c r="V20" i="14"/>
  <c r="K10" i="11" s="1"/>
  <c r="V19" i="14"/>
  <c r="K9" i="11" s="1"/>
  <c r="V18" i="14"/>
  <c r="K8" i="11" s="1"/>
  <c r="V17" i="14"/>
  <c r="K7" i="11" s="1"/>
  <c r="V16" i="14"/>
  <c r="K6" i="11" s="1"/>
  <c r="V15" i="14"/>
  <c r="K5" i="11" s="1"/>
  <c r="V14" i="14"/>
  <c r="K4" i="11" s="1"/>
  <c r="V13" i="14"/>
  <c r="V12" i="14"/>
  <c r="K2" i="11" s="1"/>
  <c r="AJ47" i="14"/>
  <c r="K11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O30" i="14" s="1"/>
  <c r="AL29" i="14"/>
  <c r="I29" i="14"/>
  <c r="O29" i="14" s="1"/>
  <c r="AL28" i="14"/>
  <c r="I28" i="14"/>
  <c r="I27" i="14"/>
  <c r="AL26" i="14"/>
  <c r="AI26" i="14"/>
  <c r="I26" i="14"/>
  <c r="AL25" i="14"/>
  <c r="I15" i="11"/>
  <c r="P25" i="14"/>
  <c r="AL24" i="14"/>
  <c r="I24" i="14"/>
  <c r="O24" i="14" s="1"/>
  <c r="AL23" i="14"/>
  <c r="P23" i="14"/>
  <c r="I22" i="14"/>
  <c r="O22" i="14" s="1"/>
  <c r="P21" i="14"/>
  <c r="AL20" i="14"/>
  <c r="AA20" i="14"/>
  <c r="AB20" i="14" s="1"/>
  <c r="I20" i="14"/>
  <c r="I9" i="11"/>
  <c r="AA19" i="14"/>
  <c r="AB19" i="14" s="1"/>
  <c r="AL18" i="14"/>
  <c r="P18" i="14"/>
  <c r="E8" i="11" s="1"/>
  <c r="I18" i="14"/>
  <c r="AL17" i="14"/>
  <c r="I7" i="11"/>
  <c r="P17" i="14"/>
  <c r="E7" i="11" s="1"/>
  <c r="AL16" i="14"/>
  <c r="I16" i="14"/>
  <c r="AL15" i="14"/>
  <c r="P15" i="14"/>
  <c r="E5" i="11" s="1"/>
  <c r="AL13" i="14"/>
  <c r="I12" i="14"/>
  <c r="O12" i="14" s="1"/>
  <c r="H11" i="11"/>
  <c r="H5" i="11"/>
  <c r="G2" i="11"/>
  <c r="H7" i="11"/>
  <c r="H13" i="11"/>
  <c r="H3" i="11"/>
  <c r="E13" i="11"/>
  <c r="E11" i="11"/>
  <c r="E15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G20" i="11"/>
  <c r="G15" i="11"/>
  <c r="G14" i="1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B13" i="14" s="1"/>
  <c r="AA15" i="14"/>
  <c r="AA17" i="14"/>
  <c r="L7" i="11" s="1"/>
  <c r="AA23" i="14"/>
  <c r="P27" i="14"/>
  <c r="E17" i="11" s="1"/>
  <c r="P29" i="14"/>
  <c r="P30" i="14"/>
  <c r="E20" i="11" s="1"/>
  <c r="J16" i="11"/>
  <c r="J8" i="11"/>
  <c r="K3" i="11"/>
  <c r="G6" i="11"/>
  <c r="I12" i="11"/>
  <c r="I4" i="11"/>
  <c r="J15" i="11"/>
  <c r="I19" i="14"/>
  <c r="G12" i="11"/>
  <c r="G4" i="11"/>
  <c r="I18" i="11"/>
  <c r="L47" i="14"/>
  <c r="P14" i="14"/>
  <c r="E4" i="11" s="1"/>
  <c r="P20" i="14"/>
  <c r="E10" i="11" s="1"/>
  <c r="P22" i="14"/>
  <c r="AA29" i="14"/>
  <c r="AB29" i="14" s="1"/>
  <c r="G19" i="11"/>
  <c r="I17" i="11"/>
  <c r="P13" i="14"/>
  <c r="AF47" i="14"/>
  <c r="I10" i="11"/>
  <c r="M47" i="14"/>
  <c r="P16" i="14"/>
  <c r="I17" i="14"/>
  <c r="O17" i="14" s="1"/>
  <c r="F7" i="11" s="1"/>
  <c r="I21" i="14"/>
  <c r="O21" i="14" s="1"/>
  <c r="AA27" i="14"/>
  <c r="AB27" i="14" s="1"/>
  <c r="G18" i="11"/>
  <c r="G10" i="11"/>
  <c r="I16" i="11"/>
  <c r="I8" i="11"/>
  <c r="J19" i="11"/>
  <c r="J3" i="11"/>
  <c r="K47" i="14"/>
  <c r="AA24" i="14"/>
  <c r="AB24" i="14" s="1"/>
  <c r="P26" i="14"/>
  <c r="E47" i="14"/>
  <c r="I13" i="14"/>
  <c r="O13" i="14" s="1"/>
  <c r="F3" i="11" s="1"/>
  <c r="I15" i="14"/>
  <c r="O16" i="14"/>
  <c r="P19" i="14"/>
  <c r="E9" i="11" s="1"/>
  <c r="AA21" i="14"/>
  <c r="L11" i="11" s="1"/>
  <c r="I23" i="14"/>
  <c r="P28" i="14"/>
  <c r="G17" i="11"/>
  <c r="J18" i="11"/>
  <c r="J10" i="11"/>
  <c r="AA25" i="14"/>
  <c r="AB25" i="14" s="1"/>
  <c r="F47" i="14"/>
  <c r="I14" i="14"/>
  <c r="O14" i="14" s="1"/>
  <c r="AA14" i="14"/>
  <c r="AB14" i="14" s="1"/>
  <c r="P24" i="14"/>
  <c r="E14" i="11" s="1"/>
  <c r="I25" i="14"/>
  <c r="O25" i="14" s="1"/>
  <c r="I14" i="11"/>
  <c r="I6" i="11"/>
  <c r="AA12" i="14"/>
  <c r="H2" i="11"/>
  <c r="AA18" i="14"/>
  <c r="AB18" i="14" s="1"/>
  <c r="AA26" i="14"/>
  <c r="AB26" i="14" s="1"/>
  <c r="AA22" i="14"/>
  <c r="AB22" i="14" s="1"/>
  <c r="AA30" i="14"/>
  <c r="AB30" i="14" s="1"/>
  <c r="H47" i="14"/>
  <c r="P12" i="14"/>
  <c r="E2" i="11" s="1"/>
  <c r="AA28" i="14"/>
  <c r="AB28" i="14" s="1"/>
  <c r="J2" i="11"/>
  <c r="AC47" i="14"/>
  <c r="E16" i="11"/>
  <c r="E18" i="11"/>
  <c r="E3" i="11"/>
  <c r="AI18" i="14"/>
  <c r="AI19" i="14"/>
  <c r="AI13" i="14"/>
  <c r="AI15" i="14"/>
  <c r="X47" i="14"/>
  <c r="AI21" i="14"/>
  <c r="AB17" i="14"/>
  <c r="Y47" i="14"/>
  <c r="AI23" i="14"/>
  <c r="AI17" i="14"/>
  <c r="AL19" i="14"/>
  <c r="J9" i="11"/>
  <c r="AK47" i="14"/>
  <c r="AL47" i="14" s="1"/>
  <c r="AL12" i="14"/>
  <c r="AA16" i="14"/>
  <c r="AB16" i="14" s="1"/>
  <c r="AH47" i="14"/>
  <c r="AI47" i="14" s="1"/>
  <c r="AI12" i="14"/>
  <c r="Z47" i="14"/>
  <c r="AB12" i="14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L26" i="11" l="1"/>
  <c r="L25" i="11"/>
  <c r="AB36" i="14"/>
  <c r="F24" i="11"/>
  <c r="G22" i="11"/>
  <c r="O26" i="14"/>
  <c r="F11" i="11"/>
  <c r="O42" i="14"/>
  <c r="F2" i="11"/>
  <c r="F32" i="11"/>
  <c r="F4" i="11"/>
  <c r="F15" i="11"/>
  <c r="F16" i="11"/>
  <c r="F20" i="11"/>
  <c r="H30" i="11"/>
  <c r="O15" i="14"/>
  <c r="F5" i="11" s="1"/>
  <c r="F26" i="11"/>
  <c r="F27" i="11"/>
  <c r="L27" i="11"/>
  <c r="F6" i="11"/>
  <c r="F12" i="11"/>
  <c r="F19" i="11"/>
  <c r="F25" i="11"/>
  <c r="G27" i="11"/>
  <c r="O31" i="14"/>
  <c r="F21" i="11" s="1"/>
  <c r="F28" i="11"/>
  <c r="H32" i="11"/>
  <c r="O23" i="14"/>
  <c r="F13" i="11" s="1"/>
  <c r="F14" i="11"/>
  <c r="O28" i="14"/>
  <c r="F18" i="11" s="1"/>
  <c r="O20" i="14"/>
  <c r="F10" i="11" s="1"/>
  <c r="O41" i="14"/>
  <c r="F31" i="11" s="1"/>
  <c r="O33" i="14"/>
  <c r="F23" i="11" s="1"/>
  <c r="AG47" i="14"/>
  <c r="I47" i="14"/>
  <c r="O27" i="14"/>
  <c r="F17" i="11" s="1"/>
  <c r="O19" i="14"/>
  <c r="F9" i="11" s="1"/>
  <c r="O40" i="14"/>
  <c r="F30" i="11" s="1"/>
  <c r="O32" i="14"/>
  <c r="F22" i="11" s="1"/>
  <c r="L23" i="11"/>
  <c r="N47" i="14"/>
  <c r="O39" i="14"/>
  <c r="F29" i="11" s="1"/>
  <c r="E19" i="11"/>
  <c r="AB21" i="14"/>
  <c r="E6" i="11"/>
  <c r="L13" i="11"/>
  <c r="G24" i="11"/>
  <c r="G23" i="11"/>
  <c r="P47" i="14"/>
  <c r="S47" i="14" s="1"/>
  <c r="E12" i="11"/>
  <c r="H24" i="11"/>
  <c r="O18" i="14"/>
  <c r="F8" i="11" s="1"/>
  <c r="AB38" i="14"/>
  <c r="L32" i="11"/>
  <c r="L12" i="11"/>
  <c r="K21" i="11"/>
  <c r="AA47" i="14"/>
  <c r="AB23" i="14"/>
  <c r="L24" i="11"/>
  <c r="L22" i="11"/>
  <c r="L31" i="11"/>
  <c r="L4" i="11"/>
  <c r="L9" i="11"/>
  <c r="AB33" i="14"/>
  <c r="L14" i="11"/>
  <c r="L15" i="11"/>
  <c r="L18" i="11"/>
  <c r="AB39" i="14"/>
  <c r="L6" i="11"/>
  <c r="L3" i="11"/>
  <c r="L8" i="11"/>
  <c r="L16" i="11"/>
  <c r="L5" i="11"/>
  <c r="V47" i="14"/>
  <c r="AB15" i="14"/>
  <c r="L19" i="11"/>
  <c r="AB35" i="14"/>
  <c r="L10" i="11"/>
  <c r="L17" i="11"/>
  <c r="L30" i="11"/>
  <c r="L20" i="11"/>
  <c r="L2" i="11"/>
  <c r="AB37" i="14"/>
  <c r="AB47" i="14" l="1"/>
  <c r="O47" i="14"/>
  <c r="T47" i="14" s="1"/>
  <c r="U47" i="14" s="1"/>
  <c r="U48" i="14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<sst xmlns="http://schemas.openxmlformats.org/spreadsheetml/2006/main" count="101" uniqueCount="55">
  <si>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</si>
  <si>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</si>
  <si>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</si>
  <si>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</si>
  <si>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</si>
  <si>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</si>
  <si>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</si>
  <si>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</si>
  <si>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</si>
  <si>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</si>
  <si>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</si>
  <si>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</si>
  <si>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</si>
  <si>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</si>
  <si>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</si>
  <si>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</si>
  <si>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</si>
  <si>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MAY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</si>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</sst>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DBDB"/>
        <bgColor rgb="FF000000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3">
    <xf numFmtId="0" fontId="0" fillId="0" borderId="0" xfId="0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/>
    <xf numFmtId="168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43" fontId="0" fillId="3" borderId="0" xfId="0" applyNumberFormat="1" applyFill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Font="1" applyFill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0" fontId="20" fillId="14" borderId="46" xfId="0" applyFont="1" applyFill="1" applyBorder="1"/>
    <xf numFmtId="0" fontId="20" fillId="14" borderId="73" xfId="0" applyFont="1" applyFill="1" applyBorder="1"/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D3" sqref="D3:D32"/>
    </sheetView>
  </sheetViews>
  <sheetFormatPr defaultColWidth="11.5703125" defaultRowHeight="15" x14ac:dyDescent="0.25"/>
  <cols>
    <col min="1" max="1" width="18.42578125" style="167" customWidth="1"/>
    <col min="2" max="2" width="11.5703125" style="168"/>
    <col min="3" max="3" width="11.5703125" style="169"/>
    <col min="4" max="4" width="13.42578125" style="168" customWidth="1"/>
    <col min="5" max="5" width="12.5703125" style="166" customWidth="1"/>
    <col min="6" max="6" width="12.5703125" style="170" customWidth="1"/>
    <col min="7" max="7" width="11.5703125" style="166"/>
    <col min="8" max="8" width="11.5703125" style="170"/>
    <col min="9" max="9" width="11.5703125" style="171"/>
    <col min="10" max="10" width="11.5703125" style="172"/>
    <col min="11" max="11" width="11.5703125" style="166"/>
    <col min="12" max="12" width="11.5703125" style="172"/>
    <col min="13" max="26" width="11.5703125" style="166"/>
  </cols>
  <sheetData>
    <row r="1" spans="1:15" s="160" customFormat="1" ht="60" x14ac:dyDescent="0.25">
      <c r="A1" s="156" t="s">
        <v>0</v>
      </c>
      <c r="B1" s="156" t="s">
        <v>1</v>
      </c>
      <c r="C1" s="157" t="s">
        <v>2</v>
      </c>
      <c r="D1" s="156" t="s">
        <v>3</v>
      </c>
      <c r="E1" s="155" t="s">
        <v>4</v>
      </c>
      <c r="F1" s="158" t="s">
        <v>5</v>
      </c>
      <c r="G1" s="155" t="s">
        <v>6</v>
      </c>
      <c r="H1" s="158" t="s">
        <v>7</v>
      </c>
      <c r="I1" s="155" t="s">
        <v>8</v>
      </c>
      <c r="J1" s="158" t="s">
        <v>9</v>
      </c>
      <c r="K1" s="155" t="s">
        <v>10</v>
      </c>
      <c r="L1" s="159" t="s">
        <v>11</v>
      </c>
      <c r="M1" s="155" t="s">
        <v>12</v>
      </c>
      <c r="N1" s="155" t="s">
        <v>13</v>
      </c>
    </row>
    <row r="2" spans="1:15" x14ac:dyDescent="0.25">
      <c r="A2" s="161" t="s">
        <v>14</v>
      </c>
      <c r="B2" s="162">
        <v>1</v>
      </c>
      <c r="C2" s="163">
        <v>5</v>
      </c>
      <c r="D2" s="162">
        <v>2020</v>
      </c>
      <c r="E2" s="164">
        <f>'FS Jimbaran May 2020'!P12</f>
        <v>4839.999999999236</v>
      </c>
      <c r="F2" s="173">
        <f>'FS Jimbaran May 2020'!O12/'FS Jimbaran May 2020'!P12</f>
        <v>1119.2416115702338</v>
      </c>
      <c r="G2" s="164">
        <f>'FS Jimbaran May 2020'!AG12</f>
        <v>0</v>
      </c>
      <c r="H2" s="173" t="e">
        <f>'FS Jimbaran May 2020'!AH12/'FS Jimbaran May 2020'!AG12</f>
        <v>#DIV/0!</v>
      </c>
      <c r="I2" s="164">
        <f>'FS Jimbaran May 2020'!AJ12</f>
        <v>79.549999999995634</v>
      </c>
      <c r="J2" s="165">
        <f>'FS Jimbaran May 2020'!AK12/'FS Jimbaran May 2020'!AJ12</f>
        <v>7600</v>
      </c>
      <c r="K2" s="164">
        <f>'FS Jimbaran May 2020'!V12</f>
        <v>431.65000000000003</v>
      </c>
      <c r="L2" s="173">
        <f>'FS Jimbaran May 2020'!AA12/'FS Jimbaran May 2020'!V12</f>
        <v>0</v>
      </c>
      <c r="M2" s="164">
        <f>+'RNs &amp; Covers May 2020'!B6</f>
        <v>0</v>
      </c>
      <c r="N2" s="164">
        <f>+'RNs &amp; Covers May 2020'!C6</f>
        <v>0</v>
      </c>
    </row>
    <row r="3" spans="1:15" x14ac:dyDescent="0.25">
      <c r="A3" s="161" t="s">
        <v>14</v>
      </c>
      <c r="B3" s="162">
        <f>B2+1</f>
        <v>2</v>
      </c>
      <c r="C3" s="163">
        <v>5</v>
      </c>
      <c r="D3" s="162">
        <v>2020</v>
      </c>
      <c r="E3" s="164">
        <f>'FS Jimbaran May 2020'!P13</f>
        <v>4580.000000000382</v>
      </c>
      <c r="F3" s="173">
        <f>'FS Jimbaran May 2020'!O13/'FS Jimbaran May 2020'!P13</f>
        <v>1119.4565502183602</v>
      </c>
      <c r="G3" s="164">
        <f>'FS Jimbaran May 2020'!AG13</f>
        <v>0</v>
      </c>
      <c r="H3" s="173" t="e">
        <f>'FS Jimbaran May 2020'!AH13/'FS Jimbaran May 2020'!AG13</f>
        <v>#DIV/0!</v>
      </c>
      <c r="I3" s="164">
        <f>'FS Jimbaran May 2020'!AJ13</f>
        <v>0</v>
      </c>
      <c r="J3" s="165" t="e">
        <f>'FS Jimbaran May 2020'!AK13/'FS Jimbaran May 2020'!AJ13</f>
        <v>#DIV/0!</v>
      </c>
      <c r="K3" s="164">
        <f>'FS Jimbaran May 2020'!V13</f>
        <v>428.09000000000003</v>
      </c>
      <c r="L3" s="173">
        <f>'FS Jimbaran May 2020'!AA13/'FS Jimbaran May 2020'!V13</f>
        <v>0</v>
      </c>
      <c r="M3" s="164">
        <f>+'RNs &amp; Covers May 2020'!B7</f>
        <v>0</v>
      </c>
      <c r="N3" s="164">
        <f>+'RNs &amp; Covers May 2020'!C7</f>
        <v>0</v>
      </c>
    </row>
    <row r="4" spans="1:15" x14ac:dyDescent="0.25">
      <c r="A4" s="161" t="s">
        <v>14</v>
      </c>
      <c r="B4" s="162">
        <f t="shared" ref="B4:B32" si="0">B3+1</f>
        <v>3</v>
      </c>
      <c r="C4" s="163">
        <v>5</v>
      </c>
      <c r="D4" s="162">
        <v>2020</v>
      </c>
      <c r="E4" s="164">
        <f>'FS Jimbaran May 2020'!P14</f>
        <v>4699.9999999989086</v>
      </c>
      <c r="F4" s="173">
        <f>'FS Jimbaran May 2020'!O14/'FS Jimbaran May 2020'!P14</f>
        <v>1126.1352765957338</v>
      </c>
      <c r="G4" s="164">
        <f>'FS Jimbaran May 2020'!AG14</f>
        <v>0</v>
      </c>
      <c r="H4" s="173" t="e">
        <f>'FS Jimbaran May 2020'!AH14/'FS Jimbaran May 2020'!AG14</f>
        <v>#DIV/0!</v>
      </c>
      <c r="I4" s="164">
        <f>'FS Jimbaran May 2020'!AJ14</f>
        <v>0</v>
      </c>
      <c r="J4" s="165" t="e">
        <f>'FS Jimbaran May 2020'!AK14/'FS Jimbaran May 2020'!AJ14</f>
        <v>#DIV/0!</v>
      </c>
      <c r="K4" s="164">
        <f>'FS Jimbaran May 2020'!V14</f>
        <v>437.88</v>
      </c>
      <c r="L4" s="173">
        <f>'FS Jimbaran May 2020'!AA14/'FS Jimbaran May 2020'!V14</f>
        <v>0</v>
      </c>
      <c r="M4" s="164">
        <f>+'RNs &amp; Covers May 2020'!B8</f>
        <v>0</v>
      </c>
      <c r="N4" s="164">
        <f>+'RNs &amp; Covers May 2020'!C8</f>
        <v>0</v>
      </c>
    </row>
    <row r="5" spans="1:15" x14ac:dyDescent="0.25">
      <c r="A5" s="161" t="s">
        <v>14</v>
      </c>
      <c r="B5" s="162">
        <f t="shared" si="0"/>
        <v>4</v>
      </c>
      <c r="C5" s="163">
        <v>5</v>
      </c>
      <c r="D5" s="162">
        <v>2020</v>
      </c>
      <c r="E5" s="164">
        <f>'FS Jimbaran May 2020'!P15</f>
        <v>4760.0000000002183</v>
      </c>
      <c r="F5" s="173">
        <f>'FS Jimbaran May 2020'!O15/'FS Jimbaran May 2020'!P15</f>
        <v>1118.468319327751</v>
      </c>
      <c r="G5" s="164">
        <f>'FS Jimbaran May 2020'!AG15</f>
        <v>0</v>
      </c>
      <c r="H5" s="173" t="e">
        <f>'FS Jimbaran May 2020'!AH15/'FS Jimbaran May 2020'!AG15</f>
        <v>#DIV/0!</v>
      </c>
      <c r="I5" s="164">
        <f>'FS Jimbaran May 2020'!AJ15</f>
        <v>107.38999999999942</v>
      </c>
      <c r="J5" s="165">
        <f>'FS Jimbaran May 2020'!AK15/'FS Jimbaran May 2020'!AJ15</f>
        <v>7600</v>
      </c>
      <c r="K5" s="164">
        <f>'FS Jimbaran May 2020'!V15</f>
        <v>423.64</v>
      </c>
      <c r="L5" s="173">
        <f>'FS Jimbaran May 2020'!AA15/'FS Jimbaran May 2020'!V15</f>
        <v>0</v>
      </c>
      <c r="M5" s="164">
        <f>+'RNs &amp; Covers May 2020'!B9</f>
        <v>0</v>
      </c>
      <c r="N5" s="164">
        <f>+'RNs &amp; Covers May 2020'!C9</f>
        <v>0</v>
      </c>
    </row>
    <row r="6" spans="1:15" x14ac:dyDescent="0.25">
      <c r="A6" s="161" t="s">
        <v>14</v>
      </c>
      <c r="B6" s="162">
        <f t="shared" si="0"/>
        <v>5</v>
      </c>
      <c r="C6" s="163">
        <v>5</v>
      </c>
      <c r="D6" s="162">
        <v>2020</v>
      </c>
      <c r="E6" s="164">
        <f>'FS Jimbaran May 2020'!P16</f>
        <v>5060.0000000004002</v>
      </c>
      <c r="F6" s="173">
        <f>'FS Jimbaran May 2020'!O16/'FS Jimbaran May 2020'!P16</f>
        <v>1115.6128458497699</v>
      </c>
      <c r="G6" s="164">
        <f>'FS Jimbaran May 2020'!AG16</f>
        <v>0</v>
      </c>
      <c r="H6" s="173" t="e">
        <f>'FS Jimbaran May 2020'!AH16/'FS Jimbaran May 2020'!AG16</f>
        <v>#DIV/0!</v>
      </c>
      <c r="I6" s="164">
        <f>'FS Jimbaran May 2020'!AJ16</f>
        <v>0</v>
      </c>
      <c r="J6" s="165" t="e">
        <f>'FS Jimbaran May 2020'!AK16/'FS Jimbaran May 2020'!AJ16</f>
        <v>#DIV/0!</v>
      </c>
      <c r="K6" s="164">
        <f>'FS Jimbaran May 2020'!V16</f>
        <v>362.23</v>
      </c>
      <c r="L6" s="173">
        <f>'FS Jimbaran May 2020'!AA16/'FS Jimbaran May 2020'!V16</f>
        <v>0</v>
      </c>
      <c r="M6" s="164">
        <f>+'RNs &amp; Covers May 2020'!B10</f>
        <v>0</v>
      </c>
      <c r="N6" s="164">
        <f>+'RNs &amp; Covers May 2020'!C10</f>
        <v>0</v>
      </c>
    </row>
    <row r="7" spans="1:15" x14ac:dyDescent="0.25">
      <c r="A7" s="161" t="s">
        <v>14</v>
      </c>
      <c r="B7" s="162">
        <f t="shared" si="0"/>
        <v>6</v>
      </c>
      <c r="C7" s="163">
        <v>5</v>
      </c>
      <c r="D7" s="162">
        <v>2020</v>
      </c>
      <c r="E7" s="164">
        <f>'FS Jimbaran May 2020'!P17</f>
        <v>5039.9999999997362</v>
      </c>
      <c r="F7" s="173">
        <f>'FS Jimbaran May 2020'!O17/'FS Jimbaran May 2020'!P17</f>
        <v>1120.0398809524254</v>
      </c>
      <c r="G7" s="164">
        <f>'FS Jimbaran May 2020'!AG17</f>
        <v>0</v>
      </c>
      <c r="H7" s="173" t="e">
        <f>'FS Jimbaran May 2020'!AH17/'FS Jimbaran May 2020'!AG17</f>
        <v>#DIV/0!</v>
      </c>
      <c r="I7" s="164">
        <f>'FS Jimbaran May 2020'!AJ17</f>
        <v>188.44000000000233</v>
      </c>
      <c r="J7" s="165">
        <f>'FS Jimbaran May 2020'!AK17/'FS Jimbaran May 2020'!AJ17</f>
        <v>7600</v>
      </c>
      <c r="K7" s="164">
        <f>'FS Jimbaran May 2020'!V17</f>
        <v>331.97</v>
      </c>
      <c r="L7" s="173">
        <f>'FS Jimbaran May 2020'!AA17/'FS Jimbaran May 2020'!V17</f>
        <v>0</v>
      </c>
      <c r="M7" s="164">
        <f>+'RNs &amp; Covers May 2020'!B11</f>
        <v>0</v>
      </c>
      <c r="N7" s="164">
        <f>+'RNs &amp; Covers May 2020'!C11</f>
        <v>0</v>
      </c>
    </row>
    <row r="8" spans="1:15" x14ac:dyDescent="0.25">
      <c r="A8" s="161" t="s">
        <v>14</v>
      </c>
      <c r="B8" s="162">
        <f t="shared" si="0"/>
        <v>7</v>
      </c>
      <c r="C8" s="163">
        <v>5</v>
      </c>
      <c r="D8" s="162">
        <v>2020</v>
      </c>
      <c r="E8" s="164">
        <f>'FS Jimbaran May 2020'!P18</f>
        <v>5020.0000000008913</v>
      </c>
      <c r="F8" s="173">
        <f>'FS Jimbaran May 2020'!O18/'FS Jimbaran May 2020'!P18</f>
        <v>1120.3755776892449</v>
      </c>
      <c r="G8" s="164">
        <f>'FS Jimbaran May 2020'!AG18</f>
        <v>0</v>
      </c>
      <c r="H8" s="173" t="e">
        <f>'FS Jimbaran May 2020'!AH18/'FS Jimbaran May 2020'!AG18</f>
        <v>#DIV/0!</v>
      </c>
      <c r="I8" s="164">
        <f>'FS Jimbaran May 2020'!AJ18</f>
        <v>0</v>
      </c>
      <c r="J8" s="165" t="e">
        <f>'FS Jimbaran May 2020'!AK18/'FS Jimbaran May 2020'!AJ18</f>
        <v>#DIV/0!</v>
      </c>
      <c r="K8" s="164">
        <f>'FS Jimbaran May 2020'!V18</f>
        <v>342.65</v>
      </c>
      <c r="L8" s="173">
        <f>'FS Jimbaran May 2020'!AA18/'FS Jimbaran May 2020'!V18</f>
        <v>0</v>
      </c>
      <c r="M8" s="164">
        <f>+'RNs &amp; Covers May 2020'!B12</f>
        <v>0</v>
      </c>
      <c r="N8" s="164">
        <f>+'RNs &amp; Covers May 2020'!C12</f>
        <v>0</v>
      </c>
    </row>
    <row r="9" spans="1:15" x14ac:dyDescent="0.25">
      <c r="A9" s="161" t="s">
        <v>14</v>
      </c>
      <c r="B9" s="162">
        <f t="shared" si="0"/>
        <v>8</v>
      </c>
      <c r="C9" s="163">
        <v>5</v>
      </c>
      <c r="D9" s="162">
        <v>2020</v>
      </c>
      <c r="E9" s="164">
        <f>'FS Jimbaran May 2020'!P19</f>
        <v>4899.9999999991815</v>
      </c>
      <c r="F9" s="173">
        <f>'FS Jimbaran May 2020'!O19/'FS Jimbaran May 2020'!P19</f>
        <v>1120.3334693877405</v>
      </c>
      <c r="G9" s="164">
        <f>'FS Jimbaran May 2020'!AG19</f>
        <v>0</v>
      </c>
      <c r="H9" s="173" t="e">
        <f>'FS Jimbaran May 2020'!AH19/'FS Jimbaran May 2020'!AG19</f>
        <v>#DIV/0!</v>
      </c>
      <c r="I9" s="164">
        <f>'FS Jimbaran May 2020'!AJ19</f>
        <v>87.779999999998836</v>
      </c>
      <c r="J9" s="165">
        <f>'FS Jimbaran May 2020'!AK19/'FS Jimbaran May 2020'!AJ19</f>
        <v>7600</v>
      </c>
      <c r="K9" s="164">
        <f>'FS Jimbaran May 2020'!V19</f>
        <v>323.95999999999998</v>
      </c>
      <c r="L9" s="173">
        <f>'FS Jimbaran May 2020'!AA19/'FS Jimbaran May 2020'!V19</f>
        <v>0</v>
      </c>
      <c r="M9" s="164">
        <f>+'RNs &amp; Covers May 2020'!B13</f>
        <v>0</v>
      </c>
      <c r="N9" s="164">
        <f>+'RNs &amp; Covers May 2020'!C13</f>
        <v>0</v>
      </c>
      <c r="O9" s="166" t="s">
        <v>15</v>
      </c>
    </row>
    <row r="10" spans="1:15" x14ac:dyDescent="0.25">
      <c r="A10" s="161" t="s">
        <v>14</v>
      </c>
      <c r="B10" s="162">
        <f t="shared" si="0"/>
        <v>9</v>
      </c>
      <c r="C10" s="163">
        <v>5</v>
      </c>
      <c r="D10" s="162">
        <v>2020</v>
      </c>
      <c r="E10" s="164">
        <f>'FS Jimbaran May 2020'!P20</f>
        <v>4540.0000000008731</v>
      </c>
      <c r="F10" s="173">
        <f>'FS Jimbaran May 2020'!O20/'FS Jimbaran May 2020'!P20</f>
        <v>1122.4752422907573</v>
      </c>
      <c r="G10" s="164">
        <f>'FS Jimbaran May 2020'!AG20</f>
        <v>0</v>
      </c>
      <c r="H10" s="173" t="e">
        <f>'FS Jimbaran May 2020'!AH20/'FS Jimbaran May 2020'!AG20</f>
        <v>#DIV/0!</v>
      </c>
      <c r="I10" s="164">
        <f>'FS Jimbaran May 2020'!AJ20</f>
        <v>0</v>
      </c>
      <c r="J10" s="165" t="e">
        <f>'FS Jimbaran May 2020'!AK20/'FS Jimbaran May 2020'!AJ20</f>
        <v>#DIV/0!</v>
      </c>
      <c r="K10" s="164">
        <f>'FS Jimbaran May 2020'!V20</f>
        <v>400.5</v>
      </c>
      <c r="L10" s="173">
        <f>'FS Jimbaran May 2020'!AA20/'FS Jimbaran May 2020'!V20</f>
        <v>0</v>
      </c>
      <c r="M10" s="164">
        <f>+'RNs &amp; Covers May 2020'!B14</f>
        <v>0</v>
      </c>
      <c r="N10" s="164">
        <f>+'RNs &amp; Covers May 2020'!C14</f>
        <v>0</v>
      </c>
    </row>
    <row r="11" spans="1:15" x14ac:dyDescent="0.25">
      <c r="A11" s="161" t="s">
        <v>14</v>
      </c>
      <c r="B11" s="162">
        <f t="shared" si="0"/>
        <v>10</v>
      </c>
      <c r="C11" s="163">
        <v>5</v>
      </c>
      <c r="D11" s="162">
        <v>2020</v>
      </c>
      <c r="E11" s="164">
        <f>'FS Jimbaran May 2020'!P21</f>
        <v>4519.9999999999818</v>
      </c>
      <c r="F11" s="173">
        <f>'FS Jimbaran May 2020'!O21/'FS Jimbaran May 2020'!P21</f>
        <v>1122.8588495574954</v>
      </c>
      <c r="G11" s="164">
        <f>'FS Jimbaran May 2020'!AG21</f>
        <v>0</v>
      </c>
      <c r="H11" s="173" t="e">
        <f>'FS Jimbaran May 2020'!AH21/'FS Jimbaran May 2020'!AG21</f>
        <v>#DIV/0!</v>
      </c>
      <c r="I11" s="164">
        <f>'FS Jimbaran May 2020'!AJ21</f>
        <v>0</v>
      </c>
      <c r="J11" s="165" t="e">
        <f>'FS Jimbaran May 2020'!AK21/'FS Jimbaran May 2020'!AJ21</f>
        <v>#DIV/0!</v>
      </c>
      <c r="K11" s="164">
        <f>'FS Jimbaran May 2020'!V21</f>
        <v>413.85</v>
      </c>
      <c r="L11" s="173">
        <f>'FS Jimbaran May 2020'!AA21/'FS Jimbaran May 2020'!V21</f>
        <v>0</v>
      </c>
      <c r="M11" s="164">
        <f>+'RNs &amp; Covers May 2020'!B15</f>
        <v>0</v>
      </c>
      <c r="N11" s="164">
        <f>+'RNs &amp; Covers May 2020'!C15</f>
        <v>0</v>
      </c>
    </row>
    <row r="12" spans="1:15" x14ac:dyDescent="0.25">
      <c r="A12" s="161" t="s">
        <v>14</v>
      </c>
      <c r="B12" s="162">
        <f t="shared" si="0"/>
        <v>11</v>
      </c>
      <c r="C12" s="163">
        <v>5</v>
      </c>
      <c r="D12" s="162">
        <v>2020</v>
      </c>
      <c r="E12" s="164">
        <f>'FS Jimbaran May 2020'!P22</f>
        <v>4679.9999999998363</v>
      </c>
      <c r="F12" s="173">
        <f>'FS Jimbaran May 2020'!O22/'FS Jimbaran May 2020'!P22</f>
        <v>1113.2421794872125</v>
      </c>
      <c r="G12" s="164">
        <f>'FS Jimbaran May 2020'!AG22</f>
        <v>0</v>
      </c>
      <c r="H12" s="173" t="e">
        <f>'FS Jimbaran May 2020'!AH22/'FS Jimbaran May 2020'!AG22</f>
        <v>#DIV/0!</v>
      </c>
      <c r="I12" s="164">
        <f>'FS Jimbaran May 2020'!AJ22</f>
        <v>85.970000000001164</v>
      </c>
      <c r="J12" s="165">
        <f>'FS Jimbaran May 2020'!AK22/'FS Jimbaran May 2020'!AJ22</f>
        <v>7600</v>
      </c>
      <c r="K12" s="164">
        <f>'FS Jimbaran May 2020'!V22</f>
        <v>428.09000000000003</v>
      </c>
      <c r="L12" s="173">
        <f>'FS Jimbaran May 2020'!AA22/'FS Jimbaran May 2020'!V22</f>
        <v>0</v>
      </c>
      <c r="M12" s="164">
        <f>+'RNs &amp; Covers May 2020'!B16</f>
        <v>0</v>
      </c>
      <c r="N12" s="164">
        <f>+'RNs &amp; Covers May 2020'!C16</f>
        <v>0</v>
      </c>
    </row>
    <row r="13" spans="1:15" x14ac:dyDescent="0.25">
      <c r="A13" s="161" t="s">
        <v>14</v>
      </c>
      <c r="B13" s="162">
        <f t="shared" si="0"/>
        <v>12</v>
      </c>
      <c r="C13" s="163">
        <v>5</v>
      </c>
      <c r="D13" s="162">
        <v>2020</v>
      </c>
      <c r="E13" s="164">
        <f>'FS Jimbaran May 2020'!P23</f>
        <v>4740.0000000006912</v>
      </c>
      <c r="F13" s="173">
        <f>'FS Jimbaran May 2020'!O23/'FS Jimbaran May 2020'!P23</f>
        <v>1121.002405063251</v>
      </c>
      <c r="G13" s="164">
        <f>'FS Jimbaran May 2020'!AG23</f>
        <v>0</v>
      </c>
      <c r="H13" s="173" t="e">
        <f>'FS Jimbaran May 2020'!AH23/'FS Jimbaran May 2020'!AG23</f>
        <v>#DIV/0!</v>
      </c>
      <c r="I13" s="164">
        <f>'FS Jimbaran May 2020'!AJ23</f>
        <v>0</v>
      </c>
      <c r="J13" s="165" t="e">
        <f>'FS Jimbaran May 2020'!AK23/'FS Jimbaran May 2020'!AJ23</f>
        <v>#DIV/0!</v>
      </c>
      <c r="K13" s="164">
        <f>'FS Jimbaran May 2020'!V23</f>
        <v>385.37</v>
      </c>
      <c r="L13" s="173">
        <f>'FS Jimbaran May 2020'!AA23/'FS Jimbaran May 2020'!V23</f>
        <v>0</v>
      </c>
      <c r="M13" s="164">
        <f>+'RNs &amp; Covers May 2020'!B17</f>
        <v>0</v>
      </c>
      <c r="N13" s="164">
        <f>+'RNs &amp; Covers May 2020'!C17</f>
        <v>0</v>
      </c>
    </row>
    <row r="14" spans="1:15" x14ac:dyDescent="0.25">
      <c r="A14" s="161" t="s">
        <v>14</v>
      </c>
      <c r="B14" s="162">
        <f t="shared" si="0"/>
        <v>13</v>
      </c>
      <c r="C14" s="163">
        <v>5</v>
      </c>
      <c r="D14" s="162">
        <v>2020</v>
      </c>
      <c r="E14" s="164">
        <f>'FS Jimbaran May 2020'!P24</f>
        <v>4960.0000000000364</v>
      </c>
      <c r="F14" s="173">
        <f>'FS Jimbaran May 2020'!O24/'FS Jimbaran May 2020'!P24</f>
        <v>1110.9575806451874</v>
      </c>
      <c r="G14" s="164">
        <f>'FS Jimbaran May 2020'!AG24</f>
        <v>0</v>
      </c>
      <c r="H14" s="173" t="e">
        <f>'FS Jimbaran May 2020'!AH24/'FS Jimbaran May 2020'!AG24</f>
        <v>#DIV/0!</v>
      </c>
      <c r="I14" s="164">
        <f>'FS Jimbaran May 2020'!AJ24</f>
        <v>99.540000000000873</v>
      </c>
      <c r="J14" s="165">
        <f>'FS Jimbaran May 2020'!AK24/'FS Jimbaran May 2020'!AJ24</f>
        <v>7600</v>
      </c>
      <c r="K14" s="164">
        <f>'FS Jimbaran May 2020'!V24</f>
        <v>460.13</v>
      </c>
      <c r="L14" s="173">
        <f>'FS Jimbaran May 2020'!AA24/'FS Jimbaran May 2020'!V24</f>
        <v>0</v>
      </c>
      <c r="M14" s="164">
        <f>+'RNs &amp; Covers May 2020'!B18</f>
        <v>0</v>
      </c>
      <c r="N14" s="164">
        <f>+'RNs &amp; Covers May 2020'!C18</f>
        <v>0</v>
      </c>
    </row>
    <row r="15" spans="1:15" x14ac:dyDescent="0.25">
      <c r="A15" s="161" t="s">
        <v>14</v>
      </c>
      <c r="B15" s="162">
        <f t="shared" si="0"/>
        <v>14</v>
      </c>
      <c r="C15" s="163">
        <v>5</v>
      </c>
      <c r="D15" s="162">
        <v>2020</v>
      </c>
      <c r="E15" s="164">
        <f>'FS Jimbaran May 2020'!P25</f>
        <v>4680.000000000291</v>
      </c>
      <c r="F15" s="173">
        <f>'FS Jimbaran May 2020'!O25/'FS Jimbaran May 2020'!P25</f>
        <v>1117.6685897435605</v>
      </c>
      <c r="G15" s="164">
        <f>'FS Jimbaran May 2020'!AG25</f>
        <v>0</v>
      </c>
      <c r="H15" s="173" t="e">
        <f>'FS Jimbaran May 2020'!AH25/'FS Jimbaran May 2020'!AG25</f>
        <v>#DIV/0!</v>
      </c>
      <c r="I15" s="164">
        <f>'FS Jimbaran May 2020'!AJ25</f>
        <v>0</v>
      </c>
      <c r="J15" s="165" t="e">
        <f>'FS Jimbaran May 2020'!AK25/'FS Jimbaran May 2020'!AJ25</f>
        <v>#DIV/0!</v>
      </c>
      <c r="K15" s="164">
        <f>'FS Jimbaran May 2020'!V25</f>
        <v>434.32</v>
      </c>
      <c r="L15" s="173">
        <f>'FS Jimbaran May 2020'!AA25/'FS Jimbaran May 2020'!V25</f>
        <v>0</v>
      </c>
      <c r="M15" s="164">
        <f>+'RNs &amp; Covers May 2020'!B19</f>
        <v>0</v>
      </c>
      <c r="N15" s="164">
        <f>+'RNs &amp; Covers May 2020'!C19</f>
        <v>0</v>
      </c>
    </row>
    <row r="16" spans="1:15" x14ac:dyDescent="0.25">
      <c r="A16" s="161" t="s">
        <v>14</v>
      </c>
      <c r="B16" s="162">
        <f t="shared" si="0"/>
        <v>15</v>
      </c>
      <c r="C16" s="163">
        <v>5</v>
      </c>
      <c r="D16" s="162">
        <v>2020</v>
      </c>
      <c r="E16" s="164">
        <f>'FS Jimbaran May 2020'!P26</f>
        <v>4699.9999999998181</v>
      </c>
      <c r="F16" s="173">
        <f>'FS Jimbaran May 2020'!O26/'FS Jimbaran May 2020'!P26</f>
        <v>1117.3201276595535</v>
      </c>
      <c r="G16" s="164">
        <f>'FS Jimbaran May 2020'!AG26</f>
        <v>0</v>
      </c>
      <c r="H16" s="173" t="e">
        <f>'FS Jimbaran May 2020'!AH26/'FS Jimbaran May 2020'!AG26</f>
        <v>#DIV/0!</v>
      </c>
      <c r="I16" s="164">
        <f>'FS Jimbaran May 2020'!AJ26</f>
        <v>129.69999999998981</v>
      </c>
      <c r="J16" s="165">
        <f>'FS Jimbaran May 2020'!AK26/'FS Jimbaran May 2020'!AJ26</f>
        <v>7600</v>
      </c>
      <c r="K16" s="164">
        <f>'FS Jimbaran May 2020'!V26</f>
        <v>445.89</v>
      </c>
      <c r="L16" s="173">
        <f>'FS Jimbaran May 2020'!AA26/'FS Jimbaran May 2020'!V26</f>
        <v>0</v>
      </c>
      <c r="M16" s="164">
        <f>+'RNs &amp; Covers May 2020'!B20</f>
        <v>0</v>
      </c>
      <c r="N16" s="164">
        <f>+'RNs &amp; Covers May 2020'!C20</f>
        <v>0</v>
      </c>
    </row>
    <row r="17" spans="1:14" x14ac:dyDescent="0.25">
      <c r="A17" s="161" t="s">
        <v>14</v>
      </c>
      <c r="B17" s="162">
        <f t="shared" si="0"/>
        <v>16</v>
      </c>
      <c r="C17" s="163">
        <v>5</v>
      </c>
      <c r="D17" s="162">
        <v>2020</v>
      </c>
      <c r="E17" s="164">
        <f>'FS Jimbaran May 2020'!P27</f>
        <v>4819.9999999983447</v>
      </c>
      <c r="F17" s="173">
        <f>'FS Jimbaran May 2020'!O27/'FS Jimbaran May 2020'!P27</f>
        <v>1123.8857676349028</v>
      </c>
      <c r="G17" s="164">
        <f>'FS Jimbaran May 2020'!AG27</f>
        <v>0</v>
      </c>
      <c r="H17" s="173" t="e">
        <f>'FS Jimbaran May 2020'!AH27/'FS Jimbaran May 2020'!AG27</f>
        <v>#DIV/0!</v>
      </c>
      <c r="I17" s="164">
        <f>'FS Jimbaran May 2020'!AJ27</f>
        <v>0</v>
      </c>
      <c r="J17" s="165" t="e">
        <f>'FS Jimbaran May 2020'!AK27/'FS Jimbaran May 2020'!AJ27</f>
        <v>#DIV/0!</v>
      </c>
      <c r="K17" s="164">
        <f>'FS Jimbaran May 2020'!V27</f>
        <v>408.51</v>
      </c>
      <c r="L17" s="173">
        <f>'FS Jimbaran May 2020'!AA27/'FS Jimbaran May 2020'!V27</f>
        <v>0</v>
      </c>
      <c r="M17" s="164">
        <f>+'RNs &amp; Covers May 2020'!B21</f>
        <v>0</v>
      </c>
      <c r="N17" s="164">
        <f>+'RNs &amp; Covers May 2020'!C21</f>
        <v>0</v>
      </c>
    </row>
    <row r="18" spans="1:14" x14ac:dyDescent="0.25">
      <c r="A18" s="161" t="s">
        <v>14</v>
      </c>
      <c r="B18" s="162">
        <f t="shared" si="0"/>
        <v>17</v>
      </c>
      <c r="C18" s="163">
        <v>5</v>
      </c>
      <c r="D18" s="162">
        <v>2020</v>
      </c>
      <c r="E18" s="164">
        <f>'FS Jimbaran May 2020'!P28</f>
        <v>4500.0000000013642</v>
      </c>
      <c r="F18" s="173">
        <f>'FS Jimbaran May 2020'!O28/'FS Jimbaran May 2020'!P28</f>
        <v>1125.547599999996</v>
      </c>
      <c r="G18" s="164">
        <f>'FS Jimbaran May 2020'!AG28</f>
        <v>0</v>
      </c>
      <c r="H18" s="173" t="e">
        <f>'FS Jimbaran May 2020'!AH28/'FS Jimbaran May 2020'!AG28</f>
        <v>#DIV/0!</v>
      </c>
      <c r="I18" s="164">
        <f>'FS Jimbaran May 2020'!AJ28</f>
        <v>0</v>
      </c>
      <c r="J18" s="165" t="e">
        <f>'FS Jimbaran May 2020'!AK28/'FS Jimbaran May 2020'!AJ28</f>
        <v>#DIV/0!</v>
      </c>
      <c r="K18" s="164">
        <f>'FS Jimbaran May 2020'!V28</f>
        <v>377.36</v>
      </c>
      <c r="L18" s="173">
        <f>'FS Jimbaran May 2020'!AA28/'FS Jimbaran May 2020'!V28</f>
        <v>0</v>
      </c>
      <c r="M18" s="164">
        <f>+'RNs &amp; Covers May 2020'!B22</f>
        <v>0</v>
      </c>
      <c r="N18" s="164">
        <f>+'RNs &amp; Covers May 2020'!C22</f>
        <v>0</v>
      </c>
    </row>
    <row r="19" spans="1:14" x14ac:dyDescent="0.25">
      <c r="A19" s="161" t="s">
        <v>14</v>
      </c>
      <c r="B19" s="162">
        <f t="shared" si="0"/>
        <v>18</v>
      </c>
      <c r="C19" s="163">
        <v>5</v>
      </c>
      <c r="D19" s="162">
        <v>2020</v>
      </c>
      <c r="E19" s="164">
        <f>'FS Jimbaran May 2020'!P29</f>
        <v>4899.9999999987267</v>
      </c>
      <c r="F19" s="173">
        <f>'FS Jimbaran May 2020'!O29/'FS Jimbaran May 2020'!P29</f>
        <v>1118.2196326530557</v>
      </c>
      <c r="G19" s="164">
        <f>'FS Jimbaran May 2020'!AG29</f>
        <v>12</v>
      </c>
      <c r="H19" s="173">
        <f>'FS Jimbaran May 2020'!AH29/'FS Jimbaran May 2020'!AG29</f>
        <v>11625</v>
      </c>
      <c r="I19" s="164">
        <f>'FS Jimbaran May 2020'!AJ29</f>
        <v>136</v>
      </c>
      <c r="J19" s="165">
        <f>'FS Jimbaran May 2020'!AK29/'FS Jimbaran May 2020'!AJ29</f>
        <v>7600</v>
      </c>
      <c r="K19" s="164">
        <f>'FS Jimbaran May 2020'!V29</f>
        <v>467.25</v>
      </c>
      <c r="L19" s="173">
        <f>'FS Jimbaran May 2020'!AA29/'FS Jimbaran May 2020'!V29</f>
        <v>0</v>
      </c>
      <c r="M19" s="164">
        <f>+'RNs &amp; Covers May 2020'!B23</f>
        <v>0</v>
      </c>
      <c r="N19" s="164">
        <f>+'RNs &amp; Covers May 2020'!C23</f>
        <v>0</v>
      </c>
    </row>
    <row r="20" spans="1:14" x14ac:dyDescent="0.25">
      <c r="A20" s="161" t="s">
        <v>14</v>
      </c>
      <c r="B20" s="162">
        <f t="shared" si="0"/>
        <v>19</v>
      </c>
      <c r="C20" s="163">
        <v>5</v>
      </c>
      <c r="D20" s="162">
        <v>2020</v>
      </c>
      <c r="E20" s="164">
        <f>'FS Jimbaran May 2020'!P30</f>
        <v>4680.0000000007458</v>
      </c>
      <c r="F20" s="173">
        <f>'FS Jimbaran May 2020'!O30/'FS Jimbaran May 2020'!P30</f>
        <v>1122.0950000000082</v>
      </c>
      <c r="G20" s="164">
        <f>'FS Jimbaran May 2020'!AG30</f>
        <v>0</v>
      </c>
      <c r="H20" s="173" t="e">
        <f>'FS Jimbaran May 2020'!AH30/'FS Jimbaran May 2020'!AG30</f>
        <v>#DIV/0!</v>
      </c>
      <c r="I20" s="164">
        <f>'FS Jimbaran May 2020'!AJ30</f>
        <v>1.6600000000034925</v>
      </c>
      <c r="J20" s="165">
        <f>'FS Jimbaran May 2020'!AK30/'FS Jimbaran May 2020'!AJ30</f>
        <v>7600</v>
      </c>
      <c r="K20" s="164">
        <f>'FS Jimbaran May 2020'!V30</f>
        <v>368.46</v>
      </c>
      <c r="L20" s="173">
        <f>'FS Jimbaran May 2020'!AA30/'FS Jimbaran May 2020'!V30</f>
        <v>0</v>
      </c>
      <c r="M20" s="164">
        <f>+'RNs &amp; Covers May 2020'!B24</f>
        <v>0</v>
      </c>
      <c r="N20" s="164">
        <f>+'RNs &amp; Covers May 2020'!C24</f>
        <v>0</v>
      </c>
    </row>
    <row r="21" spans="1:14" x14ac:dyDescent="0.25">
      <c r="A21" s="161" t="s">
        <v>14</v>
      </c>
      <c r="B21" s="162">
        <f t="shared" si="0"/>
        <v>20</v>
      </c>
      <c r="C21" s="163">
        <v>5</v>
      </c>
      <c r="D21" s="162">
        <v>2020</v>
      </c>
      <c r="E21" s="164">
        <f>'FS Jimbaran May 2020'!P31</f>
        <v>4679.9999999998363</v>
      </c>
      <c r="F21" s="173">
        <f>'FS Jimbaran May 2020'!O31/'FS Jimbaran May 2020'!P31</f>
        <v>1115.4553846153651</v>
      </c>
      <c r="G21" s="164">
        <f>'FS Jimbaran May 2020'!AG31</f>
        <v>0</v>
      </c>
      <c r="H21" s="173" t="e">
        <f>'FS Jimbaran May 2020'!AH31/'FS Jimbaran May 2020'!AG31</f>
        <v>#DIV/0!</v>
      </c>
      <c r="I21" s="164">
        <f>'FS Jimbaran May 2020'!AJ31</f>
        <v>0</v>
      </c>
      <c r="J21" s="165" t="e">
        <f>'FS Jimbaran May 2020'!AK31/'FS Jimbaran May 2020'!AJ31</f>
        <v>#DIV/0!</v>
      </c>
      <c r="K21" s="164">
        <f>'FS Jimbaran May 2020'!V31</f>
        <v>423.64</v>
      </c>
      <c r="L21" s="173">
        <f>'FS Jimbaran May 2020'!AA31/'FS Jimbaran May 2020'!V31</f>
        <v>0</v>
      </c>
      <c r="M21" s="164">
        <f>+'RNs &amp; Covers May 2020'!B25</f>
        <v>0</v>
      </c>
      <c r="N21" s="164">
        <f>+'RNs &amp; Covers May 2020'!C25</f>
        <v>0</v>
      </c>
    </row>
    <row r="22" spans="1:14" x14ac:dyDescent="0.25">
      <c r="A22" s="161" t="s">
        <v>14</v>
      </c>
      <c r="B22" s="162">
        <f t="shared" si="0"/>
        <v>21</v>
      </c>
      <c r="C22" s="163">
        <v>5</v>
      </c>
      <c r="D22" s="162">
        <v>2020</v>
      </c>
      <c r="E22" s="164">
        <f>'FS Jimbaran May 2020'!P32</f>
        <v>4679.9999999996089</v>
      </c>
      <c r="F22" s="173">
        <f>'FS Jimbaran May 2020'!O32/'FS Jimbaran May 2020'!P32</f>
        <v>1117.6685897435975</v>
      </c>
      <c r="G22" s="164">
        <f>'FS Jimbaran May 2020'!AG32</f>
        <v>0</v>
      </c>
      <c r="H22" s="173" t="e">
        <f>'FS Jimbaran May 2020'!AH32/'FS Jimbaran May 2020'!AG32</f>
        <v>#DIV/0!</v>
      </c>
      <c r="I22" s="164">
        <f>'FS Jimbaran May 2020'!AJ32</f>
        <v>89.040000000000873</v>
      </c>
      <c r="J22" s="165">
        <f>'FS Jimbaran May 2020'!AK32/'FS Jimbaran May 2020'!AJ32</f>
        <v>7600</v>
      </c>
      <c r="K22" s="164">
        <f>'FS Jimbaran May 2020'!V32</f>
        <v>493.06</v>
      </c>
      <c r="L22" s="173">
        <f>'FS Jimbaran May 2020'!AA32/'FS Jimbaran May 2020'!V32</f>
        <v>0</v>
      </c>
      <c r="M22" s="164">
        <f>+'RNs &amp; Covers May 2020'!B26</f>
        <v>0</v>
      </c>
      <c r="N22" s="164">
        <f>+'RNs &amp; Covers May 2020'!C26</f>
        <v>0</v>
      </c>
    </row>
    <row r="23" spans="1:14" x14ac:dyDescent="0.25">
      <c r="A23" s="161" t="s">
        <v>14</v>
      </c>
      <c r="B23" s="162">
        <f t="shared" si="0"/>
        <v>22</v>
      </c>
      <c r="C23" s="163">
        <v>5</v>
      </c>
      <c r="D23" s="162">
        <v>2020</v>
      </c>
      <c r="E23" s="164">
        <f>'FS Jimbaran May 2020'!P33</f>
        <v>4700.0000000011823</v>
      </c>
      <c r="F23" s="173">
        <f>'FS Jimbaran May 2020'!O33/'FS Jimbaran May 2020'!P33</f>
        <v>1117.3201276595801</v>
      </c>
      <c r="G23" s="164">
        <f>'FS Jimbaran May 2020'!AG33</f>
        <v>0</v>
      </c>
      <c r="H23" s="173" t="e">
        <f>'FS Jimbaran May 2020'!AH33/'FS Jimbaran May 2020'!AG33</f>
        <v>#DIV/0!</v>
      </c>
      <c r="I23" s="164">
        <f>'FS Jimbaran May 2020'!AJ33</f>
        <v>-41.600000000000364</v>
      </c>
      <c r="J23" s="165">
        <f>'FS Jimbaran May 2020'!AK33/'FS Jimbaran May 2020'!AJ33</f>
        <v>7600.0000000000009</v>
      </c>
      <c r="K23" s="164">
        <f>'FS Jimbaran May 2020'!V33</f>
        <v>476.15000000000003</v>
      </c>
      <c r="L23" s="173">
        <f>'FS Jimbaran May 2020'!AA33/'FS Jimbaran May 2020'!V33</f>
        <v>0</v>
      </c>
      <c r="M23" s="164">
        <f>+'RNs &amp; Covers May 2020'!B27</f>
        <v>0</v>
      </c>
      <c r="N23" s="164">
        <f>+'RNs &amp; Covers May 2020'!C27</f>
        <v>0</v>
      </c>
    </row>
    <row r="24" spans="1:14" x14ac:dyDescent="0.25">
      <c r="A24" s="161" t="s">
        <v>14</v>
      </c>
      <c r="B24" s="162">
        <f t="shared" si="0"/>
        <v>23</v>
      </c>
      <c r="C24" s="163">
        <v>5</v>
      </c>
      <c r="D24" s="162">
        <v>2020</v>
      </c>
      <c r="E24" s="164">
        <f>'FS Jimbaran May 2020'!P34</f>
        <v>4839.999999999236</v>
      </c>
      <c r="F24" s="173">
        <f>'FS Jimbaran May 2020'!O34/'FS Jimbaran May 2020'!P34</f>
        <v>1119.2416115702338</v>
      </c>
      <c r="G24" s="164">
        <f>'FS Jimbaran May 2020'!AG34</f>
        <v>0</v>
      </c>
      <c r="H24" s="173" t="e">
        <f>'FS Jimbaran May 2020'!AH34/'FS Jimbaran May 2020'!AG34</f>
        <v>#DIV/0!</v>
      </c>
      <c r="I24" s="164">
        <f>'FS Jimbaran May 2020'!AJ34</f>
        <v>0</v>
      </c>
      <c r="J24" s="165" t="e">
        <f>'FS Jimbaran May 2020'!AK34/'FS Jimbaran May 2020'!AJ34</f>
        <v>#DIV/0!</v>
      </c>
      <c r="K24" s="164">
        <f>'FS Jimbaran May 2020'!V34</f>
        <v>416.52</v>
      </c>
      <c r="L24" s="173">
        <f>'FS Jimbaran May 2020'!AA34/'FS Jimbaran May 2020'!V34</f>
        <v>0</v>
      </c>
      <c r="M24" s="164">
        <f>+'RNs &amp; Covers May 2020'!B28</f>
        <v>0</v>
      </c>
      <c r="N24" s="164">
        <f>+'RNs &amp; Covers May 2020'!C28</f>
        <v>0</v>
      </c>
    </row>
    <row r="25" spans="1:14" x14ac:dyDescent="0.25">
      <c r="A25" s="161" t="s">
        <v>14</v>
      </c>
      <c r="B25" s="162">
        <f t="shared" si="0"/>
        <v>24</v>
      </c>
      <c r="C25" s="163">
        <v>5</v>
      </c>
      <c r="D25" s="162">
        <v>2020</v>
      </c>
      <c r="E25" s="164">
        <f>'FS Jimbaran May 2020'!P35</f>
        <v>4639.9999999998727</v>
      </c>
      <c r="F25" s="173">
        <f>'FS Jimbaran May 2020'!O35/'FS Jimbaran May 2020'!P35</f>
        <v>1122.8390948276108</v>
      </c>
      <c r="G25" s="164">
        <f>'FS Jimbaran May 2020'!AG35</f>
        <v>0</v>
      </c>
      <c r="H25" s="173" t="e">
        <f>'FS Jimbaran May 2020'!AH35/'FS Jimbaran May 2020'!AG35</f>
        <v>#DIV/0!</v>
      </c>
      <c r="I25" s="164">
        <f>'FS Jimbaran May 2020'!AJ35</f>
        <v>0</v>
      </c>
      <c r="J25" s="165" t="e">
        <f>'FS Jimbaran May 2020'!AK35/'FS Jimbaran May 2020'!AJ35</f>
        <v>#DIV/0!</v>
      </c>
      <c r="K25" s="164">
        <f>'FS Jimbaran May 2020'!V35</f>
        <v>402.28000000000003</v>
      </c>
      <c r="L25" s="173">
        <f>'FS Jimbaran May 2020'!AA35/'FS Jimbaran May 2020'!V35</f>
        <v>0</v>
      </c>
      <c r="M25" s="164">
        <f>+'RNs &amp; Covers May 2020'!B29</f>
        <v>0</v>
      </c>
      <c r="N25" s="164">
        <f>+'RNs &amp; Covers May 2020'!C29</f>
        <v>0</v>
      </c>
    </row>
    <row r="26" spans="1:14" x14ac:dyDescent="0.25">
      <c r="A26" s="161" t="s">
        <v>14</v>
      </c>
      <c r="B26" s="162">
        <f>B25+1</f>
        <v>25</v>
      </c>
      <c r="C26" s="163">
        <v>5</v>
      </c>
      <c r="D26" s="162">
        <v>2020</v>
      </c>
      <c r="E26" s="164">
        <f>'FS Jimbaran May 2020'!P36</f>
        <v>4940.0000000005093</v>
      </c>
      <c r="F26" s="173">
        <f>'FS Jimbaran May 2020'!O36/'FS Jimbaran May 2020'!P36</f>
        <v>1117.5521052631227</v>
      </c>
      <c r="G26" s="164">
        <f>'FS Jimbaran May 2020'!AG36</f>
        <v>0</v>
      </c>
      <c r="H26" s="173" t="e">
        <f>'FS Jimbaran May 2020'!AH36/'FS Jimbaran May 2020'!AG36</f>
        <v>#DIV/0!</v>
      </c>
      <c r="I26" s="164">
        <f>'FS Jimbaran May 2020'!AJ36</f>
        <v>109.81999999999971</v>
      </c>
      <c r="J26" s="165">
        <f>'FS Jimbaran May 2020'!AK36/'FS Jimbaran May 2020'!AJ36</f>
        <v>7600</v>
      </c>
      <c r="K26" s="164">
        <f>'FS Jimbaran May 2020'!V36</f>
        <v>374.69</v>
      </c>
      <c r="L26" s="173">
        <f>'FS Jimbaran May 2020'!AA36/'FS Jimbaran May 2020'!V36</f>
        <v>0</v>
      </c>
      <c r="M26" s="164">
        <f>+'RNs &amp; Covers May 2020'!B30</f>
        <v>0</v>
      </c>
      <c r="N26" s="164">
        <f>+'RNs &amp; Covers May 2020'!C30</f>
        <v>0</v>
      </c>
    </row>
    <row r="27" spans="1:14" x14ac:dyDescent="0.25">
      <c r="A27" s="161" t="s">
        <v>14</v>
      </c>
      <c r="B27" s="162">
        <f t="shared" si="0"/>
        <v>26</v>
      </c>
      <c r="C27" s="163">
        <v>5</v>
      </c>
      <c r="D27" s="162">
        <v>2020</v>
      </c>
      <c r="E27" s="164">
        <f>'FS Jimbaran May 2020'!P37</f>
        <v>5019.9999999990723</v>
      </c>
      <c r="F27" s="173">
        <f>'FS Jimbaran May 2020'!O37/'FS Jimbaran May 2020'!P37</f>
        <v>1120.3755776892754</v>
      </c>
      <c r="G27" s="164">
        <f>'FS Jimbaran May 2020'!AG37</f>
        <v>0</v>
      </c>
      <c r="H27" s="173" t="e">
        <f>'FS Jimbaran May 2020'!AH37/'FS Jimbaran May 2020'!AG37</f>
        <v>#DIV/0!</v>
      </c>
      <c r="I27" s="164">
        <f>'FS Jimbaran May 2020'!AJ37</f>
        <v>0</v>
      </c>
      <c r="J27" s="165" t="e">
        <f>'FS Jimbaran May 2020'!AK37/'FS Jimbaran May 2020'!AJ37</f>
        <v>#DIV/0!</v>
      </c>
      <c r="K27" s="164">
        <f>'FS Jimbaran May 2020'!V37</f>
        <v>461.02</v>
      </c>
      <c r="L27" s="173">
        <f>'FS Jimbaran May 2020'!AA37/'FS Jimbaran May 2020'!V37</f>
        <v>0</v>
      </c>
      <c r="M27" s="164">
        <f>+'RNs &amp; Covers May 2020'!B31</f>
        <v>0</v>
      </c>
      <c r="N27" s="164">
        <f>+'RNs &amp; Covers May 2020'!C31</f>
        <v>0</v>
      </c>
    </row>
    <row r="28" spans="1:14" x14ac:dyDescent="0.25">
      <c r="A28" s="161" t="s">
        <v>14</v>
      </c>
      <c r="B28" s="162">
        <f t="shared" si="0"/>
        <v>27</v>
      </c>
      <c r="C28" s="163">
        <v>5</v>
      </c>
      <c r="D28" s="162">
        <v>2020</v>
      </c>
      <c r="E28" s="164">
        <f>'FS Jimbaran May 2020'!P38</f>
        <v>5320.0000000001637</v>
      </c>
      <c r="F28" s="173">
        <f>'FS Jimbaran May 2020'!O38/'FS Jimbaran May 2020'!P38</f>
        <v>1105.8703759398281</v>
      </c>
      <c r="G28" s="164">
        <f>'FS Jimbaran May 2020'!AG38</f>
        <v>0</v>
      </c>
      <c r="H28" s="173" t="e">
        <f>'FS Jimbaran May 2020'!AH38/'FS Jimbaran May 2020'!AG38</f>
        <v>#DIV/0!</v>
      </c>
      <c r="I28" s="164">
        <f>'FS Jimbaran May 2020'!AJ38</f>
        <v>0</v>
      </c>
      <c r="J28" s="165" t="e">
        <f>'FS Jimbaran May 2020'!AK38/'FS Jimbaran May 2020'!AJ38</f>
        <v>#DIV/0!</v>
      </c>
      <c r="K28" s="164">
        <f>'FS Jimbaran May 2020'!V38</f>
        <v>407.62</v>
      </c>
      <c r="L28" s="173">
        <f>'FS Jimbaran May 2020'!AA38/'FS Jimbaran May 2020'!V38</f>
        <v>0</v>
      </c>
      <c r="M28" s="164">
        <f>+'RNs &amp; Covers May 2020'!B32</f>
        <v>0</v>
      </c>
      <c r="N28" s="164">
        <f>+'RNs &amp; Covers May 2020'!C32</f>
        <v>0</v>
      </c>
    </row>
    <row r="29" spans="1:14" x14ac:dyDescent="0.25">
      <c r="A29" s="161" t="s">
        <v>14</v>
      </c>
      <c r="B29" s="162">
        <f t="shared" si="0"/>
        <v>28</v>
      </c>
      <c r="C29" s="163">
        <v>5</v>
      </c>
      <c r="D29" s="162">
        <v>2020</v>
      </c>
      <c r="E29" s="164">
        <f>'FS Jimbaran May 2020'!P39</f>
        <v>4299.9999999997272</v>
      </c>
      <c r="F29" s="173">
        <f>'FS Jimbaran May 2020'!O39/'FS Jimbaran May 2020'!P39</f>
        <v>1124.9052558139874</v>
      </c>
      <c r="G29" s="164">
        <f>'FS Jimbaran May 2020'!AG39</f>
        <v>0</v>
      </c>
      <c r="H29" s="173" t="e">
        <f>'FS Jimbaran May 2020'!AH39/'FS Jimbaran May 2020'!AG39</f>
        <v>#DIV/0!</v>
      </c>
      <c r="I29" s="164">
        <f>'FS Jimbaran May 2020'!AJ39</f>
        <v>223.46999999999389</v>
      </c>
      <c r="J29" s="165">
        <f>'FS Jimbaran May 2020'!AK39/'FS Jimbaran May 2020'!AJ39</f>
        <v>7599.9999999999991</v>
      </c>
      <c r="K29" s="164">
        <f>'FS Jimbaran May 2020'!V39</f>
        <v>437.88</v>
      </c>
      <c r="L29" s="173">
        <f>'FS Jimbaran May 2020'!AA39/'FS Jimbaran May 2020'!V39</f>
        <v>0</v>
      </c>
      <c r="M29" s="164">
        <f>+'RNs &amp; Covers May 2020'!B33</f>
        <v>0</v>
      </c>
      <c r="N29" s="164">
        <f>+'RNs &amp; Covers May 2020'!C33</f>
        <v>0</v>
      </c>
    </row>
    <row r="30" spans="1:14" x14ac:dyDescent="0.25">
      <c r="A30" s="161" t="s">
        <v>14</v>
      </c>
      <c r="B30" s="162">
        <f t="shared" si="0"/>
        <v>29</v>
      </c>
      <c r="C30" s="163">
        <v>5</v>
      </c>
      <c r="D30" s="162">
        <v>2020</v>
      </c>
      <c r="E30" s="164">
        <f>'FS Jimbaran May 2020'!P40</f>
        <v>4840.000000001055</v>
      </c>
      <c r="F30" s="173">
        <f>'FS Jimbaran May 2020'!O40/'FS Jimbaran May 2020'!P40</f>
        <v>1106.4013636363327</v>
      </c>
      <c r="G30" s="164">
        <f>'FS Jimbaran May 2020'!AG40</f>
        <v>0</v>
      </c>
      <c r="H30" s="173" t="e">
        <f>'FS Jimbaran May 2020'!AH40/'FS Jimbaran May 2020'!AG40</f>
        <v>#DIV/0!</v>
      </c>
      <c r="I30" s="164">
        <f>'FS Jimbaran May 2020'!AJ40</f>
        <v>79.110000000000582</v>
      </c>
      <c r="J30" s="165">
        <f>'FS Jimbaran May 2020'!AK40/'FS Jimbaran May 2020'!AJ40</f>
        <v>7600</v>
      </c>
      <c r="K30" s="164">
        <f>'FS Jimbaran May 2020'!V40</f>
        <v>436.1</v>
      </c>
      <c r="L30" s="173">
        <f>'FS Jimbaran May 2020'!AA40/'FS Jimbaran May 2020'!V40</f>
        <v>0</v>
      </c>
      <c r="M30" s="164">
        <f>+'RNs &amp; Covers May 2020'!B34</f>
        <v>0</v>
      </c>
      <c r="N30" s="164">
        <f>+'RNs &amp; Covers May 2020'!C34</f>
        <v>0</v>
      </c>
    </row>
    <row r="31" spans="1:14" x14ac:dyDescent="0.25">
      <c r="A31" s="161" t="s">
        <v>14</v>
      </c>
      <c r="B31" s="162">
        <f t="shared" si="0"/>
        <v>30</v>
      </c>
      <c r="C31" s="163">
        <v>5</v>
      </c>
      <c r="D31" s="162">
        <v>2020</v>
      </c>
      <c r="E31" s="164">
        <f>'FS Jimbaran May 2020'!P41</f>
        <v>4320.0000000001637</v>
      </c>
      <c r="F31" s="173">
        <f>'FS Jimbaran May 2020'!O41/'FS Jimbaran May 2020'!P41</f>
        <v>1134.0831944444603</v>
      </c>
      <c r="G31" s="164">
        <f>'FS Jimbaran May 2020'!AG41</f>
        <v>0</v>
      </c>
      <c r="H31" s="173" t="e">
        <f>'FS Jimbaran May 2020'!AH41/'FS Jimbaran May 2020'!AG41</f>
        <v>#DIV/0!</v>
      </c>
      <c r="I31" s="164">
        <f>'FS Jimbaran May 2020'!AJ41</f>
        <v>0</v>
      </c>
      <c r="J31" s="165" t="e">
        <f>'FS Jimbaran May 2020'!AK41/'FS Jimbaran May 2020'!AJ41</f>
        <v>#DIV/0!</v>
      </c>
      <c r="K31" s="164">
        <f>'FS Jimbaran May 2020'!V41</f>
        <v>418.3</v>
      </c>
      <c r="L31" s="173">
        <f>'FS Jimbaran May 2020'!AA41/'FS Jimbaran May 2020'!V41</f>
        <v>0</v>
      </c>
      <c r="M31" s="164">
        <f>+'RNs &amp; Covers May 2020'!B35</f>
        <v>0</v>
      </c>
      <c r="N31" s="164">
        <f>+'RNs &amp; Covers May 2020'!C35</f>
        <v>0</v>
      </c>
    </row>
    <row r="32" spans="1:14" x14ac:dyDescent="0.25">
      <c r="A32" s="161" t="s">
        <v>14</v>
      </c>
      <c r="B32" s="162">
        <f t="shared" si="0"/>
        <v>31</v>
      </c>
      <c r="C32" s="163">
        <v>5</v>
      </c>
      <c r="D32" s="162">
        <v>2020</v>
      </c>
      <c r="E32" s="164">
        <f>'FS Jimbaran May 2020'!P42</f>
        <v>4579.9999999990177</v>
      </c>
      <c r="F32" s="173">
        <f>'FS Jimbaran May 2020'!O42/'FS Jimbaran May 2020'!P42</f>
        <v>1119.4565502183339</v>
      </c>
      <c r="G32" s="164">
        <f>'FS Jimbaran May 2020'!AG42</f>
        <v>0</v>
      </c>
      <c r="H32" s="173" t="e">
        <f>'FS Jimbaran May 2020'!AH42/'FS Jimbaran May 2020'!AG42</f>
        <v>#DIV/0!</v>
      </c>
      <c r="I32" s="164">
        <f>'FS Jimbaran May 2020'!AJ42</f>
        <v>0</v>
      </c>
      <c r="J32" s="165" t="e">
        <f>'FS Jimbaran May 2020'!AK42/'FS Jimbaran May 2020'!AJ42</f>
        <v>#DIV/0!</v>
      </c>
      <c r="K32" s="164">
        <f>'FS Jimbaran May 2020'!V42</f>
        <v>390.71</v>
      </c>
      <c r="L32" s="173">
        <f>'FS Jimbaran May 2020'!AA42/'FS Jimbaran May 2020'!V42</f>
        <v>0</v>
      </c>
      <c r="M32" s="164">
        <f>+'RNs &amp; Covers May 2020'!B36</f>
        <v>0</v>
      </c>
      <c r="N32" s="164">
        <f>+'RNs &amp; Covers May 2020'!C36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2"/>
  <sheetViews>
    <sheetView tabSelected="1" zoomScale="62" zoomScaleNormal="62" workbookViewId="0">
      <pane xSplit="4" ySplit="10" topLeftCell="R11" activePane="bottomRight" state="frozen"/>
      <selection pane="topRight" activeCell="E1" sqref="E1"/>
      <selection pane="bottomLeft" activeCell="A11" sqref="A11"/>
      <selection pane="bottomRight" activeCell="Y12" sqref="Y12:Y42"/>
    </sheetView>
  </sheetViews>
  <sheetFormatPr defaultRowHeight="15.75" x14ac:dyDescent="0.2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7" customWidth="1"/>
  </cols>
  <sheetData>
    <row r="5" spans="1:39" x14ac:dyDescent="0.25">
      <c r="N5" s="174"/>
      <c r="X5" s="175"/>
    </row>
    <row r="6" spans="1:39" s="26" customFormat="1" ht="19.5" thickBot="1" x14ac:dyDescent="0.35">
      <c r="B6" s="26" t="s">
        <v>16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.5" thickBot="1" x14ac:dyDescent="0.3">
      <c r="A7" s="30"/>
      <c r="B7" s="225" t="s">
        <v>17</v>
      </c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26"/>
      <c r="AF7" s="226"/>
      <c r="AG7" s="226"/>
      <c r="AH7" s="226"/>
      <c r="AI7" s="226"/>
      <c r="AJ7" s="226"/>
      <c r="AK7" s="226"/>
      <c r="AL7" s="227"/>
      <c r="AM7" s="30"/>
    </row>
    <row r="8" spans="1:39" s="7" customFormat="1" ht="15.75" customHeight="1" thickBot="1" x14ac:dyDescent="0.3">
      <c r="A8" s="27"/>
      <c r="B8" s="228" t="s">
        <v>18</v>
      </c>
      <c r="C8" s="231" t="s">
        <v>19</v>
      </c>
      <c r="D8" s="234" t="s">
        <v>13</v>
      </c>
      <c r="E8" s="237" t="s">
        <v>20</v>
      </c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8"/>
      <c r="V8" s="239" t="s">
        <v>21</v>
      </c>
      <c r="W8" s="240"/>
      <c r="X8" s="240"/>
      <c r="Y8" s="240"/>
      <c r="Z8" s="240"/>
      <c r="AA8" s="240"/>
      <c r="AB8" s="241"/>
      <c r="AC8" s="242" t="s">
        <v>22</v>
      </c>
      <c r="AD8" s="242"/>
      <c r="AE8" s="242"/>
      <c r="AF8" s="242"/>
      <c r="AG8" s="242"/>
      <c r="AH8" s="242"/>
      <c r="AI8" s="242"/>
      <c r="AJ8" s="242"/>
      <c r="AK8" s="242"/>
      <c r="AL8" s="243"/>
      <c r="AM8" s="29"/>
    </row>
    <row r="9" spans="1:39" ht="15" customHeight="1" thickBot="1" x14ac:dyDescent="0.3">
      <c r="B9" s="229"/>
      <c r="C9" s="232"/>
      <c r="D9" s="235"/>
      <c r="E9" s="244" t="s">
        <v>23</v>
      </c>
      <c r="F9" s="245"/>
      <c r="G9" s="245"/>
      <c r="H9" s="245"/>
      <c r="I9" s="246"/>
      <c r="J9" s="247" t="s">
        <v>24</v>
      </c>
      <c r="K9" s="247"/>
      <c r="L9" s="247"/>
      <c r="M9" s="247"/>
      <c r="N9" s="248"/>
      <c r="O9" s="234" t="s">
        <v>25</v>
      </c>
      <c r="P9" s="249" t="s">
        <v>26</v>
      </c>
      <c r="Q9" s="251" t="s">
        <v>27</v>
      </c>
      <c r="R9" s="253" t="s">
        <v>28</v>
      </c>
      <c r="S9" s="255" t="s">
        <v>29</v>
      </c>
      <c r="T9" s="257" t="s">
        <v>30</v>
      </c>
      <c r="U9" s="258"/>
      <c r="V9" s="53"/>
      <c r="W9" s="53" t="s">
        <v>31</v>
      </c>
      <c r="X9" s="53"/>
      <c r="Y9" s="54"/>
      <c r="Z9" s="180"/>
      <c r="AA9" s="223" t="s">
        <v>32</v>
      </c>
      <c r="AB9" s="224"/>
      <c r="AC9" s="242" t="s">
        <v>33</v>
      </c>
      <c r="AD9" s="242"/>
      <c r="AE9" s="242"/>
      <c r="AF9" s="242"/>
      <c r="AG9" s="242"/>
      <c r="AH9" s="242"/>
      <c r="AI9" s="243"/>
      <c r="AJ9" s="140" t="s">
        <v>34</v>
      </c>
      <c r="AK9" s="36"/>
      <c r="AL9" s="38"/>
    </row>
    <row r="10" spans="1:39" ht="61.5" customHeight="1" thickBot="1" x14ac:dyDescent="0.3">
      <c r="A10" s="28"/>
      <c r="B10" s="230"/>
      <c r="C10" s="233"/>
      <c r="D10" s="236"/>
      <c r="E10" s="99" t="s">
        <v>35</v>
      </c>
      <c r="F10" s="83" t="s">
        <v>36</v>
      </c>
      <c r="G10" s="133" t="s">
        <v>37</v>
      </c>
      <c r="H10" s="17" t="s">
        <v>36</v>
      </c>
      <c r="I10" s="100" t="s">
        <v>38</v>
      </c>
      <c r="J10" s="99" t="s">
        <v>35</v>
      </c>
      <c r="K10" s="84" t="s">
        <v>36</v>
      </c>
      <c r="L10" s="133" t="s">
        <v>37</v>
      </c>
      <c r="M10" s="60" t="s">
        <v>36</v>
      </c>
      <c r="N10" s="92" t="s">
        <v>39</v>
      </c>
      <c r="O10" s="236"/>
      <c r="P10" s="250"/>
      <c r="Q10" s="252"/>
      <c r="R10" s="254"/>
      <c r="S10" s="256"/>
      <c r="T10" s="181" t="s">
        <v>40</v>
      </c>
      <c r="U10" s="23" t="s">
        <v>41</v>
      </c>
      <c r="V10" s="182" t="s">
        <v>42</v>
      </c>
      <c r="W10" s="55" t="s">
        <v>43</v>
      </c>
      <c r="X10" s="55" t="s">
        <v>44</v>
      </c>
      <c r="Y10" s="22" t="s">
        <v>45</v>
      </c>
      <c r="Z10" s="22" t="s">
        <v>46</v>
      </c>
      <c r="AA10" s="22" t="s">
        <v>40</v>
      </c>
      <c r="AB10" s="12" t="s">
        <v>41</v>
      </c>
      <c r="AC10" s="125" t="s">
        <v>47</v>
      </c>
      <c r="AD10" s="48" t="s">
        <v>48</v>
      </c>
      <c r="AE10" s="47" t="s">
        <v>49</v>
      </c>
      <c r="AF10" s="47" t="s">
        <v>50</v>
      </c>
      <c r="AG10" s="47" t="s">
        <v>51</v>
      </c>
      <c r="AH10" s="48" t="s">
        <v>40</v>
      </c>
      <c r="AI10" s="49" t="s">
        <v>41</v>
      </c>
      <c r="AJ10" s="141" t="s">
        <v>52</v>
      </c>
      <c r="AK10" s="47" t="s">
        <v>40</v>
      </c>
      <c r="AL10" s="51" t="s">
        <v>41</v>
      </c>
      <c r="AM10" s="28"/>
    </row>
    <row r="11" spans="1:39" x14ac:dyDescent="0.25">
      <c r="A11" s="28"/>
      <c r="B11" s="57"/>
      <c r="C11" s="101"/>
      <c r="D11" s="183"/>
      <c r="E11" s="184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5"/>
      <c r="R11" s="113"/>
      <c r="S11" s="186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2"/>
      <c r="AK11" s="42"/>
      <c r="AL11" s="50"/>
      <c r="AM11" s="28"/>
    </row>
    <row r="12" spans="1:39" x14ac:dyDescent="0.25">
      <c r="A12" s="33"/>
      <c r="B12" s="58">
        <v>1</v>
      </c>
      <c r="C12" s="150"/>
      <c r="D12" s="152"/>
      <c r="E12" s="106">
        <v>3959.9999999991269</v>
      </c>
      <c r="F12" s="2">
        <v>4101688.7999990955</v>
      </c>
      <c r="G12" s="35">
        <v>759.99999999976353</v>
      </c>
      <c r="H12" s="2">
        <v>1180789.1999996325</v>
      </c>
      <c r="I12" s="103">
        <f>F12+H12</f>
        <v>5282477.9999987278</v>
      </c>
      <c r="J12" s="106">
        <v>100.0000000003638</v>
      </c>
      <c r="K12" s="2">
        <v>103578.00000037681</v>
      </c>
      <c r="L12" s="187">
        <v>19.99999999998181</v>
      </c>
      <c r="M12" s="188">
        <v>31073.399999971742</v>
      </c>
      <c r="N12" s="94">
        <f>+K12+M12</f>
        <v>134651.40000034854</v>
      </c>
      <c r="O12" s="108">
        <f>N12+I12</f>
        <v>5417129.3999990765</v>
      </c>
      <c r="P12" s="111">
        <f>L12+J12+G12+E12</f>
        <v>4839.999999999236</v>
      </c>
      <c r="Q12" s="135"/>
      <c r="R12" s="204"/>
      <c r="S12" s="218"/>
      <c r="T12" s="215"/>
      <c r="U12" s="213">
        <v>0</v>
      </c>
      <c r="V12" s="189">
        <f>Y12+W12</f>
        <v>431.65000000000003</v>
      </c>
      <c r="W12" s="2">
        <v>0</v>
      </c>
      <c r="X12" s="2">
        <v>0</v>
      </c>
      <c r="Y12" s="221">
        <v>431.65000000000003</v>
      </c>
      <c r="Z12" s="31">
        <v>0</v>
      </c>
      <c r="AA12" s="31">
        <f t="shared" ref="AA12:AA39" si="0">Z12+X12</f>
        <v>0</v>
      </c>
      <c r="AB12" s="128">
        <f t="shared" ref="AB12:AB39" si="1">AA12/$AL$48</f>
        <v>0</v>
      </c>
      <c r="AC12" s="134">
        <v>0</v>
      </c>
      <c r="AD12" s="2">
        <v>0</v>
      </c>
      <c r="AE12" s="2">
        <v>0</v>
      </c>
      <c r="AF12" s="2">
        <v>0</v>
      </c>
      <c r="AG12" s="2">
        <f>AC12+AD12+AE12+AF12</f>
        <v>0</v>
      </c>
      <c r="AH12" s="2">
        <v>0</v>
      </c>
      <c r="AI12" s="43">
        <f t="shared" ref="AI12:AI39" si="2">AH12/$AL$48</f>
        <v>0</v>
      </c>
      <c r="AJ12" s="143">
        <v>79.549999999995634</v>
      </c>
      <c r="AK12" s="2">
        <v>604579.99999996682</v>
      </c>
      <c r="AL12" s="39">
        <f t="shared" ref="AL12:AL42" si="3">AK12/$AL$48</f>
        <v>46.591847004757739</v>
      </c>
      <c r="AM12" s="6"/>
    </row>
    <row r="13" spans="1:39" x14ac:dyDescent="0.25">
      <c r="A13" s="33"/>
      <c r="B13" s="58">
        <v>2</v>
      </c>
      <c r="C13" s="150"/>
      <c r="D13" s="152"/>
      <c r="E13" s="106">
        <v>3760.0000000002183</v>
      </c>
      <c r="F13" s="2">
        <v>3894532.8000002261</v>
      </c>
      <c r="G13" s="35">
        <v>720.00000000025466</v>
      </c>
      <c r="H13" s="2">
        <v>1118642.4000003957</v>
      </c>
      <c r="I13" s="103">
        <f t="shared" ref="I13:I42" si="4">F13+H13</f>
        <v>5013175.2000006214</v>
      </c>
      <c r="J13" s="106">
        <v>79.99999999992724</v>
      </c>
      <c r="K13" s="2">
        <v>82862.39999992463</v>
      </c>
      <c r="L13" s="187">
        <v>19.99999999998181</v>
      </c>
      <c r="M13" s="188">
        <v>31073.399999971742</v>
      </c>
      <c r="N13" s="94">
        <f t="shared" ref="N13:N41" si="5">+K13+M13</f>
        <v>113935.79999989638</v>
      </c>
      <c r="O13" s="108">
        <f t="shared" ref="O13:O39" si="6">N13+I13</f>
        <v>5127111.0000005178</v>
      </c>
      <c r="P13" s="111">
        <f t="shared" ref="P13:P39" si="7">L13+J13+G13+E13</f>
        <v>4580.000000000382</v>
      </c>
      <c r="Q13" s="192"/>
      <c r="R13" s="205"/>
      <c r="S13" s="193"/>
      <c r="T13" s="216"/>
      <c r="U13" s="213">
        <v>0</v>
      </c>
      <c r="V13" s="189">
        <f t="shared" ref="V13:V42" si="8">Y13+W13</f>
        <v>428.09000000000003</v>
      </c>
      <c r="W13" s="2">
        <v>0</v>
      </c>
      <c r="X13" s="2">
        <v>0</v>
      </c>
      <c r="Y13" s="222">
        <v>428.09000000000003</v>
      </c>
      <c r="Z13" s="31">
        <v>0</v>
      </c>
      <c r="AA13" s="31">
        <f t="shared" si="0"/>
        <v>0</v>
      </c>
      <c r="AB13" s="128">
        <f t="shared" si="1"/>
        <v>0</v>
      </c>
      <c r="AC13" s="134">
        <v>0</v>
      </c>
      <c r="AD13" s="2">
        <v>0</v>
      </c>
      <c r="AE13" s="2">
        <v>0</v>
      </c>
      <c r="AF13" s="2">
        <v>0</v>
      </c>
      <c r="AG13" s="2">
        <f t="shared" ref="AG13:AG42" si="9">AC13+AD13+AE13+AF13</f>
        <v>0</v>
      </c>
      <c r="AH13" s="2">
        <v>0</v>
      </c>
      <c r="AI13" s="43">
        <f t="shared" si="2"/>
        <v>0</v>
      </c>
      <c r="AJ13" s="143">
        <v>0</v>
      </c>
      <c r="AK13" s="2">
        <v>0</v>
      </c>
      <c r="AL13" s="39">
        <f t="shared" si="3"/>
        <v>0</v>
      </c>
      <c r="AM13" s="6"/>
    </row>
    <row r="14" spans="1:39" x14ac:dyDescent="0.25">
      <c r="A14" s="33"/>
      <c r="B14" s="58">
        <v>3</v>
      </c>
      <c r="C14" s="150"/>
      <c r="D14" s="152"/>
      <c r="E14" s="106">
        <v>3799.9999999992724</v>
      </c>
      <c r="F14" s="2">
        <v>3935963.9999992461</v>
      </c>
      <c r="G14" s="35">
        <v>799.99999999972715</v>
      </c>
      <c r="H14" s="2">
        <v>1242935.9999995762</v>
      </c>
      <c r="I14" s="103">
        <f t="shared" si="4"/>
        <v>5178899.9999988228</v>
      </c>
      <c r="J14" s="106">
        <v>79.99999999992724</v>
      </c>
      <c r="K14" s="2">
        <v>82862.39999992463</v>
      </c>
      <c r="L14" s="187">
        <v>19.99999999998181</v>
      </c>
      <c r="M14" s="188">
        <v>31073.399999971742</v>
      </c>
      <c r="N14" s="94">
        <f t="shared" si="5"/>
        <v>113935.79999989638</v>
      </c>
      <c r="O14" s="108">
        <f t="shared" si="6"/>
        <v>5292835.7999987192</v>
      </c>
      <c r="P14" s="111">
        <f t="shared" si="7"/>
        <v>4699.9999999989086</v>
      </c>
      <c r="Q14" s="192"/>
      <c r="R14" s="205"/>
      <c r="S14" s="193"/>
      <c r="T14" s="216"/>
      <c r="U14" s="213">
        <v>0</v>
      </c>
      <c r="V14" s="189">
        <f t="shared" si="8"/>
        <v>437.88</v>
      </c>
      <c r="W14" s="2">
        <v>0</v>
      </c>
      <c r="X14" s="2">
        <v>0</v>
      </c>
      <c r="Y14" s="222">
        <v>437.88</v>
      </c>
      <c r="Z14" s="31">
        <v>0</v>
      </c>
      <c r="AA14" s="31">
        <f t="shared" si="0"/>
        <v>0</v>
      </c>
      <c r="AB14" s="128">
        <f t="shared" si="1"/>
        <v>0</v>
      </c>
      <c r="AC14" s="134">
        <v>0</v>
      </c>
      <c r="AD14" s="2">
        <v>0</v>
      </c>
      <c r="AE14" s="2">
        <v>0</v>
      </c>
      <c r="AF14" s="2">
        <v>0</v>
      </c>
      <c r="AG14" s="2">
        <f t="shared" si="9"/>
        <v>0</v>
      </c>
      <c r="AH14" s="2">
        <v>0</v>
      </c>
      <c r="AI14" s="43">
        <f t="shared" si="2"/>
        <v>0</v>
      </c>
      <c r="AJ14" s="143">
        <v>0</v>
      </c>
      <c r="AK14" s="2">
        <v>0</v>
      </c>
      <c r="AL14" s="39">
        <f t="shared" si="3"/>
        <v>0</v>
      </c>
      <c r="AM14" s="6"/>
    </row>
    <row r="15" spans="1:39" x14ac:dyDescent="0.25">
      <c r="A15" s="33"/>
      <c r="B15" s="58">
        <v>4</v>
      </c>
      <c r="C15" s="150"/>
      <c r="D15" s="152"/>
      <c r="E15" s="106">
        <v>3920.0000000000728</v>
      </c>
      <c r="F15" s="2">
        <v>4060257.6000000751</v>
      </c>
      <c r="G15" s="35">
        <v>760.00000000021828</v>
      </c>
      <c r="H15" s="2">
        <v>1180789.2000003392</v>
      </c>
      <c r="I15" s="103">
        <f t="shared" si="4"/>
        <v>5241046.8000004143</v>
      </c>
      <c r="J15" s="106">
        <v>79.99999999992724</v>
      </c>
      <c r="K15" s="2">
        <v>82862.39999992463</v>
      </c>
      <c r="L15" s="187">
        <v>0</v>
      </c>
      <c r="M15" s="188">
        <v>0</v>
      </c>
      <c r="N15" s="94">
        <f t="shared" si="5"/>
        <v>82862.39999992463</v>
      </c>
      <c r="O15" s="108">
        <f t="shared" si="6"/>
        <v>5323909.2000003392</v>
      </c>
      <c r="P15" s="111">
        <f t="shared" si="7"/>
        <v>4760.0000000002183</v>
      </c>
      <c r="Q15" s="192"/>
      <c r="R15" s="205"/>
      <c r="S15" s="193"/>
      <c r="T15" s="216"/>
      <c r="U15" s="213">
        <v>0</v>
      </c>
      <c r="V15" s="189">
        <f t="shared" si="8"/>
        <v>423.64</v>
      </c>
      <c r="W15" s="2">
        <v>0</v>
      </c>
      <c r="X15" s="2">
        <v>0</v>
      </c>
      <c r="Y15" s="222">
        <v>423.64</v>
      </c>
      <c r="Z15" s="31">
        <v>0</v>
      </c>
      <c r="AA15" s="31">
        <f t="shared" si="0"/>
        <v>0</v>
      </c>
      <c r="AB15" s="128">
        <f t="shared" si="1"/>
        <v>0</v>
      </c>
      <c r="AC15" s="134">
        <v>0</v>
      </c>
      <c r="AD15" s="2">
        <v>0</v>
      </c>
      <c r="AE15" s="2">
        <v>0</v>
      </c>
      <c r="AF15" s="2">
        <v>0</v>
      </c>
      <c r="AG15" s="2">
        <f t="shared" si="9"/>
        <v>0</v>
      </c>
      <c r="AH15" s="2">
        <v>0</v>
      </c>
      <c r="AI15" s="43">
        <f t="shared" si="2"/>
        <v>0</v>
      </c>
      <c r="AJ15" s="143">
        <v>107.38999999999942</v>
      </c>
      <c r="AK15" s="2">
        <v>816163.99999999558</v>
      </c>
      <c r="AL15" s="39">
        <f t="shared" si="3"/>
        <v>62.897529224904851</v>
      </c>
      <c r="AM15" s="6"/>
    </row>
    <row r="16" spans="1:39" x14ac:dyDescent="0.25">
      <c r="A16" s="33"/>
      <c r="B16" s="58">
        <v>5</v>
      </c>
      <c r="C16" s="150"/>
      <c r="D16" s="152"/>
      <c r="E16" s="106">
        <v>4200.0000000007276</v>
      </c>
      <c r="F16" s="2">
        <v>4350276.0000007534</v>
      </c>
      <c r="G16" s="35">
        <v>759.99999999976353</v>
      </c>
      <c r="H16" s="2">
        <v>1180789.1999996325</v>
      </c>
      <c r="I16" s="103">
        <f t="shared" si="4"/>
        <v>5531065.2000003858</v>
      </c>
      <c r="J16" s="106">
        <v>79.99999999992724</v>
      </c>
      <c r="K16" s="2">
        <v>82862.39999992463</v>
      </c>
      <c r="L16" s="187">
        <v>19.99999999998181</v>
      </c>
      <c r="M16" s="188">
        <v>31073.399999971742</v>
      </c>
      <c r="N16" s="94">
        <f t="shared" si="5"/>
        <v>113935.79999989638</v>
      </c>
      <c r="O16" s="108">
        <f t="shared" si="6"/>
        <v>5645001.0000002822</v>
      </c>
      <c r="P16" s="111">
        <f t="shared" si="7"/>
        <v>5060.0000000004002</v>
      </c>
      <c r="Q16" s="192"/>
      <c r="R16" s="205"/>
      <c r="S16" s="193"/>
      <c r="T16" s="216"/>
      <c r="U16" s="213">
        <v>0</v>
      </c>
      <c r="V16" s="189">
        <f t="shared" si="8"/>
        <v>362.23</v>
      </c>
      <c r="W16" s="2">
        <v>0</v>
      </c>
      <c r="X16" s="2">
        <v>0</v>
      </c>
      <c r="Y16" s="222">
        <v>362.23</v>
      </c>
      <c r="Z16" s="31">
        <v>0</v>
      </c>
      <c r="AA16" s="31">
        <f t="shared" si="0"/>
        <v>0</v>
      </c>
      <c r="AB16" s="128">
        <f t="shared" si="1"/>
        <v>0</v>
      </c>
      <c r="AC16" s="134">
        <v>0</v>
      </c>
      <c r="AD16" s="2">
        <v>0</v>
      </c>
      <c r="AE16" s="2">
        <v>0</v>
      </c>
      <c r="AF16" s="2">
        <v>0</v>
      </c>
      <c r="AG16" s="2">
        <f t="shared" si="9"/>
        <v>0</v>
      </c>
      <c r="AH16" s="2">
        <v>0</v>
      </c>
      <c r="AI16" s="43">
        <f t="shared" si="2"/>
        <v>0</v>
      </c>
      <c r="AJ16" s="143">
        <v>0</v>
      </c>
      <c r="AK16" s="2">
        <v>0</v>
      </c>
      <c r="AL16" s="39">
        <f t="shared" si="3"/>
        <v>0</v>
      </c>
      <c r="AM16" s="6"/>
    </row>
    <row r="17" spans="1:39" x14ac:dyDescent="0.25">
      <c r="A17" s="33"/>
      <c r="B17" s="58">
        <v>6</v>
      </c>
      <c r="C17" s="150"/>
      <c r="D17" s="152"/>
      <c r="E17" s="106">
        <v>4119.9999999989814</v>
      </c>
      <c r="F17" s="2">
        <v>4267413.5999989444</v>
      </c>
      <c r="G17" s="35">
        <v>800.0000000001819</v>
      </c>
      <c r="H17" s="2">
        <v>1242936.0000002827</v>
      </c>
      <c r="I17" s="103">
        <f t="shared" si="4"/>
        <v>5510349.5999992266</v>
      </c>
      <c r="J17" s="106">
        <v>100.0000000003638</v>
      </c>
      <c r="K17" s="2">
        <v>103578.00000037681</v>
      </c>
      <c r="L17" s="187">
        <v>20.000000000209184</v>
      </c>
      <c r="M17" s="188">
        <v>31073.400000325004</v>
      </c>
      <c r="N17" s="94">
        <f t="shared" si="5"/>
        <v>134651.4000007018</v>
      </c>
      <c r="O17" s="108">
        <f t="shared" si="6"/>
        <v>5645000.9999999283</v>
      </c>
      <c r="P17" s="111">
        <f t="shared" si="7"/>
        <v>5039.9999999997362</v>
      </c>
      <c r="Q17" s="192"/>
      <c r="R17" s="205"/>
      <c r="S17" s="193"/>
      <c r="T17" s="193"/>
      <c r="U17" s="213">
        <v>0</v>
      </c>
      <c r="V17" s="189">
        <f t="shared" si="8"/>
        <v>331.97</v>
      </c>
      <c r="W17" s="2">
        <v>0</v>
      </c>
      <c r="X17" s="2">
        <v>0</v>
      </c>
      <c r="Y17" s="222">
        <v>331.97</v>
      </c>
      <c r="Z17" s="31">
        <v>0</v>
      </c>
      <c r="AA17" s="31">
        <f t="shared" si="0"/>
        <v>0</v>
      </c>
      <c r="AB17" s="128">
        <f t="shared" si="1"/>
        <v>0</v>
      </c>
      <c r="AC17" s="134">
        <v>0</v>
      </c>
      <c r="AD17" s="2">
        <v>0</v>
      </c>
      <c r="AE17" s="2">
        <v>0</v>
      </c>
      <c r="AF17" s="2">
        <v>0</v>
      </c>
      <c r="AG17" s="2">
        <f t="shared" si="9"/>
        <v>0</v>
      </c>
      <c r="AH17" s="2">
        <v>0</v>
      </c>
      <c r="AI17" s="43">
        <f t="shared" si="2"/>
        <v>0</v>
      </c>
      <c r="AJ17" s="143">
        <v>188.44000000000233</v>
      </c>
      <c r="AK17" s="2">
        <v>1432144.0000000177</v>
      </c>
      <c r="AL17" s="39">
        <f t="shared" si="3"/>
        <v>110.36791514239017</v>
      </c>
      <c r="AM17" s="6"/>
    </row>
    <row r="18" spans="1:39" x14ac:dyDescent="0.25">
      <c r="A18" s="33"/>
      <c r="B18" s="58">
        <v>7</v>
      </c>
      <c r="C18" s="150"/>
      <c r="D18" s="152"/>
      <c r="E18" s="106">
        <v>4120.0000000008004</v>
      </c>
      <c r="F18" s="2">
        <v>4267413.6000008285</v>
      </c>
      <c r="G18" s="35">
        <v>800.0000000001819</v>
      </c>
      <c r="H18" s="2">
        <v>1242936.0000002827</v>
      </c>
      <c r="I18" s="103">
        <f t="shared" si="4"/>
        <v>5510349.6000011116</v>
      </c>
      <c r="J18" s="106">
        <v>79.99999999992724</v>
      </c>
      <c r="K18" s="2">
        <v>82862.39999992463</v>
      </c>
      <c r="L18" s="187">
        <v>19.99999999998181</v>
      </c>
      <c r="M18" s="188">
        <v>31073.399999971742</v>
      </c>
      <c r="N18" s="94">
        <f t="shared" si="5"/>
        <v>113935.79999989638</v>
      </c>
      <c r="O18" s="108">
        <f t="shared" si="6"/>
        <v>5624285.4000010081</v>
      </c>
      <c r="P18" s="111">
        <f t="shared" si="7"/>
        <v>5020.0000000008913</v>
      </c>
      <c r="Q18" s="192"/>
      <c r="R18" s="205"/>
      <c r="S18" s="193"/>
      <c r="T18" s="193"/>
      <c r="U18" s="213">
        <v>0</v>
      </c>
      <c r="V18" s="189">
        <f t="shared" si="8"/>
        <v>342.65</v>
      </c>
      <c r="W18" s="2">
        <v>0</v>
      </c>
      <c r="X18" s="2">
        <v>0</v>
      </c>
      <c r="Y18" s="222">
        <v>342.65</v>
      </c>
      <c r="Z18" s="31">
        <v>0</v>
      </c>
      <c r="AA18" s="31">
        <f t="shared" si="0"/>
        <v>0</v>
      </c>
      <c r="AB18" s="128">
        <f t="shared" si="1"/>
        <v>0</v>
      </c>
      <c r="AC18" s="134">
        <v>0</v>
      </c>
      <c r="AD18" s="2">
        <v>0</v>
      </c>
      <c r="AE18" s="2">
        <v>0</v>
      </c>
      <c r="AF18" s="2">
        <v>0</v>
      </c>
      <c r="AG18" s="2">
        <f t="shared" si="9"/>
        <v>0</v>
      </c>
      <c r="AH18" s="2">
        <v>0</v>
      </c>
      <c r="AI18" s="43">
        <f t="shared" si="2"/>
        <v>0</v>
      </c>
      <c r="AJ18" s="143">
        <v>0</v>
      </c>
      <c r="AK18" s="2">
        <v>0</v>
      </c>
      <c r="AL18" s="39">
        <f t="shared" si="3"/>
        <v>0</v>
      </c>
      <c r="AM18" s="6"/>
    </row>
    <row r="19" spans="1:39" x14ac:dyDescent="0.25">
      <c r="A19" s="33"/>
      <c r="B19" s="58">
        <v>8</v>
      </c>
      <c r="C19" s="150"/>
      <c r="D19" s="152"/>
      <c r="E19" s="106">
        <v>4000</v>
      </c>
      <c r="F19" s="2">
        <v>4143120</v>
      </c>
      <c r="G19" s="35">
        <v>799.99999999972715</v>
      </c>
      <c r="H19" s="2">
        <v>1242935.9999995762</v>
      </c>
      <c r="I19" s="103">
        <f t="shared" si="4"/>
        <v>5386055.9999995762</v>
      </c>
      <c r="J19" s="106">
        <v>99.999999999454303</v>
      </c>
      <c r="K19" s="2">
        <v>103577.99999943477</v>
      </c>
      <c r="L19" s="187">
        <v>0</v>
      </c>
      <c r="M19" s="188">
        <v>0</v>
      </c>
      <c r="N19" s="94">
        <f t="shared" si="5"/>
        <v>103577.99999943477</v>
      </c>
      <c r="O19" s="108">
        <f t="shared" si="6"/>
        <v>5489633.9999990109</v>
      </c>
      <c r="P19" s="111">
        <f t="shared" si="7"/>
        <v>4899.9999999991815</v>
      </c>
      <c r="Q19" s="192"/>
      <c r="R19" s="205"/>
      <c r="S19" s="193"/>
      <c r="T19" s="193"/>
      <c r="U19" s="213">
        <v>0</v>
      </c>
      <c r="V19" s="189">
        <f t="shared" si="8"/>
        <v>323.95999999999998</v>
      </c>
      <c r="W19" s="2">
        <v>0</v>
      </c>
      <c r="X19" s="2">
        <v>0</v>
      </c>
      <c r="Y19" s="222">
        <v>323.95999999999998</v>
      </c>
      <c r="Z19" s="31">
        <v>0</v>
      </c>
      <c r="AA19" s="31">
        <f t="shared" si="0"/>
        <v>0</v>
      </c>
      <c r="AB19" s="128">
        <f t="shared" si="1"/>
        <v>0</v>
      </c>
      <c r="AC19" s="134">
        <v>0</v>
      </c>
      <c r="AD19" s="2">
        <v>0</v>
      </c>
      <c r="AE19" s="2">
        <v>0</v>
      </c>
      <c r="AF19" s="2">
        <v>0</v>
      </c>
      <c r="AG19" s="2">
        <f t="shared" si="9"/>
        <v>0</v>
      </c>
      <c r="AH19" s="2">
        <v>0</v>
      </c>
      <c r="AI19" s="43">
        <f t="shared" si="2"/>
        <v>0</v>
      </c>
      <c r="AJ19" s="143">
        <v>87.779999999998836</v>
      </c>
      <c r="AK19" s="2">
        <v>667127.99999999115</v>
      </c>
      <c r="AL19" s="39">
        <f t="shared" si="3"/>
        <v>51.412097172568252</v>
      </c>
      <c r="AM19" s="6"/>
    </row>
    <row r="20" spans="1:39" x14ac:dyDescent="0.25">
      <c r="A20" s="33"/>
      <c r="B20" s="58">
        <v>9</v>
      </c>
      <c r="C20" s="150"/>
      <c r="D20" s="152"/>
      <c r="E20" s="106">
        <v>3680.000000000291</v>
      </c>
      <c r="F20" s="2">
        <v>3811670.4000003012</v>
      </c>
      <c r="G20" s="35">
        <v>720.00000000025466</v>
      </c>
      <c r="H20" s="2">
        <v>1118642.4000003957</v>
      </c>
      <c r="I20" s="103">
        <f t="shared" si="4"/>
        <v>4930312.8000006974</v>
      </c>
      <c r="J20" s="106">
        <v>100.0000000003638</v>
      </c>
      <c r="K20" s="2">
        <v>103578.00000037681</v>
      </c>
      <c r="L20" s="187">
        <v>39.99999999996362</v>
      </c>
      <c r="M20" s="188">
        <v>62146.799999943483</v>
      </c>
      <c r="N20" s="94">
        <f t="shared" si="5"/>
        <v>165724.80000032031</v>
      </c>
      <c r="O20" s="108">
        <f t="shared" si="6"/>
        <v>5096037.6000010176</v>
      </c>
      <c r="P20" s="111">
        <f t="shared" si="7"/>
        <v>4540.0000000008731</v>
      </c>
      <c r="Q20" s="192"/>
      <c r="R20" s="205"/>
      <c r="S20" s="193"/>
      <c r="T20" s="193"/>
      <c r="U20" s="213">
        <v>0</v>
      </c>
      <c r="V20" s="189">
        <f t="shared" si="8"/>
        <v>400.5</v>
      </c>
      <c r="W20" s="2">
        <v>0</v>
      </c>
      <c r="X20" s="2">
        <v>0</v>
      </c>
      <c r="Y20" s="222">
        <v>400.5</v>
      </c>
      <c r="Z20" s="31">
        <v>0</v>
      </c>
      <c r="AA20" s="31">
        <f t="shared" si="0"/>
        <v>0</v>
      </c>
      <c r="AB20" s="128">
        <f t="shared" si="1"/>
        <v>0</v>
      </c>
      <c r="AC20" s="134">
        <v>0</v>
      </c>
      <c r="AD20" s="2">
        <v>0</v>
      </c>
      <c r="AE20" s="2">
        <v>0</v>
      </c>
      <c r="AF20" s="2">
        <v>0</v>
      </c>
      <c r="AG20" s="2">
        <f t="shared" si="9"/>
        <v>0</v>
      </c>
      <c r="AH20" s="2">
        <v>0</v>
      </c>
      <c r="AI20" s="43">
        <f t="shared" si="2"/>
        <v>0</v>
      </c>
      <c r="AJ20" s="143">
        <v>0</v>
      </c>
      <c r="AK20" s="2">
        <v>0</v>
      </c>
      <c r="AL20" s="39">
        <f t="shared" si="3"/>
        <v>0</v>
      </c>
      <c r="AM20" s="6"/>
    </row>
    <row r="21" spans="1:39" x14ac:dyDescent="0.25">
      <c r="A21" s="33"/>
      <c r="B21" s="58">
        <v>10</v>
      </c>
      <c r="C21" s="150"/>
      <c r="D21" s="152"/>
      <c r="E21" s="106">
        <v>3680.000000000291</v>
      </c>
      <c r="F21" s="2">
        <v>3811670.4000003012</v>
      </c>
      <c r="G21" s="35">
        <v>759.99999999976353</v>
      </c>
      <c r="H21" s="2">
        <v>1180789.1999996325</v>
      </c>
      <c r="I21" s="103">
        <f t="shared" si="4"/>
        <v>4992459.5999999335</v>
      </c>
      <c r="J21" s="106">
        <v>79.99999999992724</v>
      </c>
      <c r="K21" s="2">
        <v>82862.39999992463</v>
      </c>
      <c r="L21" s="187">
        <v>0</v>
      </c>
      <c r="M21" s="188">
        <v>0</v>
      </c>
      <c r="N21" s="94">
        <f t="shared" si="5"/>
        <v>82862.39999992463</v>
      </c>
      <c r="O21" s="108">
        <f t="shared" si="6"/>
        <v>5075321.9999998584</v>
      </c>
      <c r="P21" s="111">
        <f t="shared" si="7"/>
        <v>4519.9999999999818</v>
      </c>
      <c r="Q21" s="192"/>
      <c r="R21" s="205"/>
      <c r="S21" s="193"/>
      <c r="T21" s="216"/>
      <c r="U21" s="213">
        <v>0</v>
      </c>
      <c r="V21" s="189">
        <f t="shared" si="8"/>
        <v>413.85</v>
      </c>
      <c r="W21" s="2">
        <v>0</v>
      </c>
      <c r="X21" s="2">
        <v>0</v>
      </c>
      <c r="Y21" s="222">
        <v>413.85</v>
      </c>
      <c r="Z21" s="31">
        <v>0</v>
      </c>
      <c r="AA21" s="31">
        <f t="shared" si="0"/>
        <v>0</v>
      </c>
      <c r="AB21" s="128">
        <f t="shared" si="1"/>
        <v>0</v>
      </c>
      <c r="AC21" s="134">
        <v>0</v>
      </c>
      <c r="AD21" s="2">
        <v>0</v>
      </c>
      <c r="AE21" s="2">
        <v>0</v>
      </c>
      <c r="AF21" s="2">
        <v>0</v>
      </c>
      <c r="AG21" s="2">
        <f t="shared" si="9"/>
        <v>0</v>
      </c>
      <c r="AH21" s="2">
        <v>0</v>
      </c>
      <c r="AI21" s="43">
        <f t="shared" si="2"/>
        <v>0</v>
      </c>
      <c r="AJ21" s="143">
        <v>0</v>
      </c>
      <c r="AK21" s="2">
        <v>0</v>
      </c>
      <c r="AL21" s="39">
        <f t="shared" si="3"/>
        <v>0</v>
      </c>
      <c r="AM21" s="6"/>
    </row>
    <row r="22" spans="1:39" x14ac:dyDescent="0.25">
      <c r="A22" s="33"/>
      <c r="B22" s="58">
        <v>11</v>
      </c>
      <c r="C22" s="150"/>
      <c r="D22" s="152"/>
      <c r="E22" s="106">
        <v>3879.9999999991996</v>
      </c>
      <c r="F22" s="2">
        <v>4018826.399999171</v>
      </c>
      <c r="G22" s="35">
        <v>680.00000000029104</v>
      </c>
      <c r="H22" s="2">
        <v>1056495.6000004523</v>
      </c>
      <c r="I22" s="103">
        <f t="shared" si="4"/>
        <v>5075321.9999996237</v>
      </c>
      <c r="J22" s="106">
        <v>100.0000000003638</v>
      </c>
      <c r="K22" s="2">
        <v>103578.00000037681</v>
      </c>
      <c r="L22" s="187">
        <v>19.99999999998181</v>
      </c>
      <c r="M22" s="188">
        <v>31073.399999971742</v>
      </c>
      <c r="N22" s="94">
        <f t="shared" si="5"/>
        <v>134651.40000034854</v>
      </c>
      <c r="O22" s="108">
        <f t="shared" si="6"/>
        <v>5209973.3999999724</v>
      </c>
      <c r="P22" s="111">
        <f t="shared" si="7"/>
        <v>4679.9999999998363</v>
      </c>
      <c r="Q22" s="192"/>
      <c r="R22" s="205"/>
      <c r="S22" s="193"/>
      <c r="T22" s="216"/>
      <c r="U22" s="213">
        <v>0</v>
      </c>
      <c r="V22" s="189">
        <f t="shared" si="8"/>
        <v>428.09000000000003</v>
      </c>
      <c r="W22" s="2">
        <v>0</v>
      </c>
      <c r="X22" s="2">
        <v>0</v>
      </c>
      <c r="Y22" s="222">
        <v>428.09000000000003</v>
      </c>
      <c r="Z22" s="31">
        <v>0</v>
      </c>
      <c r="AA22" s="31">
        <f t="shared" si="0"/>
        <v>0</v>
      </c>
      <c r="AB22" s="128">
        <f t="shared" si="1"/>
        <v>0</v>
      </c>
      <c r="AC22" s="134">
        <v>0</v>
      </c>
      <c r="AD22" s="2">
        <v>0</v>
      </c>
      <c r="AE22" s="2">
        <v>0</v>
      </c>
      <c r="AF22" s="2">
        <v>0</v>
      </c>
      <c r="AG22" s="2">
        <f t="shared" si="9"/>
        <v>0</v>
      </c>
      <c r="AH22" s="2">
        <v>0</v>
      </c>
      <c r="AI22" s="43">
        <f t="shared" si="2"/>
        <v>0</v>
      </c>
      <c r="AJ22" s="143">
        <v>85.970000000001164</v>
      </c>
      <c r="AK22" s="2">
        <v>653372.00000000885</v>
      </c>
      <c r="AL22" s="39">
        <f t="shared" si="3"/>
        <v>50.3519935512168</v>
      </c>
      <c r="AM22" s="6"/>
    </row>
    <row r="23" spans="1:39" x14ac:dyDescent="0.25">
      <c r="A23" s="33"/>
      <c r="B23" s="58">
        <v>12</v>
      </c>
      <c r="C23" s="150"/>
      <c r="D23" s="152"/>
      <c r="E23" s="106">
        <v>3880.0000000010186</v>
      </c>
      <c r="F23" s="2">
        <v>4018826.4000010551</v>
      </c>
      <c r="G23" s="35">
        <v>759.99999999976353</v>
      </c>
      <c r="H23" s="2">
        <v>1180789.1999996325</v>
      </c>
      <c r="I23" s="103">
        <f t="shared" si="4"/>
        <v>5199615.6000006879</v>
      </c>
      <c r="J23" s="106">
        <v>79.99999999992724</v>
      </c>
      <c r="K23" s="2">
        <v>82862.39999992463</v>
      </c>
      <c r="L23" s="187">
        <v>19.99999999998181</v>
      </c>
      <c r="M23" s="188">
        <v>31073.399999971742</v>
      </c>
      <c r="N23" s="94">
        <f t="shared" si="5"/>
        <v>113935.79999989638</v>
      </c>
      <c r="O23" s="108">
        <f t="shared" si="6"/>
        <v>5313551.4000005843</v>
      </c>
      <c r="P23" s="111">
        <f t="shared" si="7"/>
        <v>4740.0000000006912</v>
      </c>
      <c r="Q23" s="192"/>
      <c r="R23" s="205"/>
      <c r="S23" s="193"/>
      <c r="T23" s="216"/>
      <c r="U23" s="213">
        <v>0</v>
      </c>
      <c r="V23" s="189">
        <f t="shared" si="8"/>
        <v>385.37</v>
      </c>
      <c r="W23" s="2">
        <v>0</v>
      </c>
      <c r="X23" s="2">
        <v>0</v>
      </c>
      <c r="Y23" s="222">
        <v>385.37</v>
      </c>
      <c r="Z23" s="31">
        <v>0</v>
      </c>
      <c r="AA23" s="31">
        <f t="shared" si="0"/>
        <v>0</v>
      </c>
      <c r="AB23" s="128">
        <f t="shared" si="1"/>
        <v>0</v>
      </c>
      <c r="AC23" s="134">
        <v>0</v>
      </c>
      <c r="AD23" s="2">
        <v>0</v>
      </c>
      <c r="AE23" s="2">
        <v>0</v>
      </c>
      <c r="AF23" s="2">
        <v>0</v>
      </c>
      <c r="AG23" s="2">
        <f t="shared" si="9"/>
        <v>0</v>
      </c>
      <c r="AH23" s="2">
        <v>0</v>
      </c>
      <c r="AI23" s="43">
        <f t="shared" si="2"/>
        <v>0</v>
      </c>
      <c r="AJ23" s="143">
        <v>0</v>
      </c>
      <c r="AK23" s="2">
        <v>0</v>
      </c>
      <c r="AL23" s="39">
        <f t="shared" si="3"/>
        <v>0</v>
      </c>
      <c r="AM23" s="6"/>
    </row>
    <row r="24" spans="1:39" x14ac:dyDescent="0.25">
      <c r="A24" s="33"/>
      <c r="B24" s="58">
        <v>13</v>
      </c>
      <c r="C24" s="150"/>
      <c r="D24" s="152"/>
      <c r="E24" s="106">
        <v>4159.9999999998545</v>
      </c>
      <c r="F24" s="2">
        <v>4308844.7999998489</v>
      </c>
      <c r="G24" s="35">
        <v>720.00000000025466</v>
      </c>
      <c r="H24" s="2">
        <v>1118642.4000003957</v>
      </c>
      <c r="I24" s="103">
        <f t="shared" si="4"/>
        <v>5427487.2000002451</v>
      </c>
      <c r="J24" s="106">
        <v>79.99999999992724</v>
      </c>
      <c r="K24" s="2">
        <v>82862.39999992463</v>
      </c>
      <c r="L24" s="187">
        <v>0</v>
      </c>
      <c r="M24" s="188">
        <v>0</v>
      </c>
      <c r="N24" s="94">
        <f t="shared" si="5"/>
        <v>82862.39999992463</v>
      </c>
      <c r="O24" s="108">
        <f t="shared" si="6"/>
        <v>5510349.6000001701</v>
      </c>
      <c r="P24" s="111">
        <f t="shared" si="7"/>
        <v>4960.0000000000364</v>
      </c>
      <c r="Q24" s="192"/>
      <c r="R24" s="205"/>
      <c r="S24" s="193"/>
      <c r="T24" s="216"/>
      <c r="U24" s="213">
        <v>0</v>
      </c>
      <c r="V24" s="189">
        <f>Y24+W24</f>
        <v>460.13</v>
      </c>
      <c r="W24" s="2">
        <v>0</v>
      </c>
      <c r="X24" s="2">
        <v>0</v>
      </c>
      <c r="Y24" s="222">
        <v>460.13</v>
      </c>
      <c r="Z24" s="31">
        <v>0</v>
      </c>
      <c r="AA24" s="31">
        <f t="shared" si="0"/>
        <v>0</v>
      </c>
      <c r="AB24" s="128">
        <f t="shared" si="1"/>
        <v>0</v>
      </c>
      <c r="AC24" s="134">
        <v>0</v>
      </c>
      <c r="AD24" s="2">
        <v>0</v>
      </c>
      <c r="AE24" s="2">
        <v>0</v>
      </c>
      <c r="AF24" s="2">
        <v>0</v>
      </c>
      <c r="AG24" s="2">
        <f t="shared" si="9"/>
        <v>0</v>
      </c>
      <c r="AH24" s="2">
        <v>0</v>
      </c>
      <c r="AI24" s="43">
        <f t="shared" si="2"/>
        <v>0</v>
      </c>
      <c r="AJ24" s="143">
        <v>99.540000000000873</v>
      </c>
      <c r="AK24" s="2">
        <v>756504.00000000664</v>
      </c>
      <c r="AL24" s="39">
        <f t="shared" si="3"/>
        <v>58.299842248320303</v>
      </c>
      <c r="AM24" s="6"/>
    </row>
    <row r="25" spans="1:39" x14ac:dyDescent="0.25">
      <c r="A25" s="33"/>
      <c r="B25" s="58">
        <v>14</v>
      </c>
      <c r="C25" s="150"/>
      <c r="D25" s="152"/>
      <c r="E25" s="106">
        <v>3840.0000000001455</v>
      </c>
      <c r="F25" s="2">
        <v>3977395.2000001506</v>
      </c>
      <c r="G25" s="35">
        <v>719.99999999979991</v>
      </c>
      <c r="H25" s="2">
        <v>1118642.3999996891</v>
      </c>
      <c r="I25" s="103">
        <f t="shared" si="4"/>
        <v>5096037.5999998394</v>
      </c>
      <c r="J25" s="106">
        <v>100.0000000003638</v>
      </c>
      <c r="K25" s="2">
        <v>103578.00000037681</v>
      </c>
      <c r="L25" s="187">
        <v>19.99999999998181</v>
      </c>
      <c r="M25" s="188">
        <v>31073.399999971742</v>
      </c>
      <c r="N25" s="94">
        <f t="shared" si="5"/>
        <v>134651.40000034854</v>
      </c>
      <c r="O25" s="108">
        <f t="shared" si="6"/>
        <v>5230689.0000001881</v>
      </c>
      <c r="P25" s="111">
        <f t="shared" si="7"/>
        <v>4680.000000000291</v>
      </c>
      <c r="Q25" s="192"/>
      <c r="R25" s="205"/>
      <c r="S25" s="193"/>
      <c r="T25" s="216"/>
      <c r="U25" s="213">
        <v>0</v>
      </c>
      <c r="V25" s="189">
        <f t="shared" si="8"/>
        <v>434.32</v>
      </c>
      <c r="W25" s="2">
        <v>0</v>
      </c>
      <c r="X25" s="2">
        <v>0</v>
      </c>
      <c r="Y25" s="222">
        <v>434.32</v>
      </c>
      <c r="Z25" s="31">
        <v>0</v>
      </c>
      <c r="AA25" s="31">
        <f t="shared" si="0"/>
        <v>0</v>
      </c>
      <c r="AB25" s="128">
        <f t="shared" si="1"/>
        <v>0</v>
      </c>
      <c r="AC25" s="134">
        <v>0</v>
      </c>
      <c r="AD25" s="2">
        <v>0</v>
      </c>
      <c r="AE25" s="2">
        <v>0</v>
      </c>
      <c r="AF25" s="2">
        <v>0</v>
      </c>
      <c r="AG25" s="2">
        <f t="shared" si="9"/>
        <v>0</v>
      </c>
      <c r="AH25" s="2">
        <v>0</v>
      </c>
      <c r="AI25" s="43">
        <f t="shared" si="2"/>
        <v>0</v>
      </c>
      <c r="AJ25" s="143">
        <v>0</v>
      </c>
      <c r="AK25" s="2">
        <v>0</v>
      </c>
      <c r="AL25" s="39">
        <f t="shared" si="3"/>
        <v>0</v>
      </c>
      <c r="AM25" s="6"/>
    </row>
    <row r="26" spans="1:39" x14ac:dyDescent="0.25">
      <c r="A26" s="33"/>
      <c r="B26" s="58">
        <v>15</v>
      </c>
      <c r="C26" s="150"/>
      <c r="D26" s="152"/>
      <c r="E26" s="106">
        <v>3840.0000000001455</v>
      </c>
      <c r="F26" s="2">
        <v>3977395.2000001506</v>
      </c>
      <c r="G26" s="35">
        <v>719.99999999979991</v>
      </c>
      <c r="H26" s="2">
        <v>1118642.3999996891</v>
      </c>
      <c r="I26" s="103">
        <f t="shared" si="4"/>
        <v>5096037.5999998394</v>
      </c>
      <c r="J26" s="106">
        <v>119.99999999989086</v>
      </c>
      <c r="K26" s="2">
        <v>124293.59999988695</v>
      </c>
      <c r="L26" s="187">
        <v>19.99999999998181</v>
      </c>
      <c r="M26" s="188">
        <v>31073.399999971742</v>
      </c>
      <c r="N26" s="94">
        <f t="shared" si="5"/>
        <v>155366.9999998587</v>
      </c>
      <c r="O26" s="108">
        <f t="shared" si="6"/>
        <v>5251404.5999996979</v>
      </c>
      <c r="P26" s="111">
        <f t="shared" si="7"/>
        <v>4699.9999999998181</v>
      </c>
      <c r="Q26" s="192"/>
      <c r="R26" s="205"/>
      <c r="S26" s="193"/>
      <c r="T26" s="216"/>
      <c r="U26" s="213">
        <v>0</v>
      </c>
      <c r="V26" s="189">
        <f t="shared" si="8"/>
        <v>445.89</v>
      </c>
      <c r="W26" s="2">
        <v>0</v>
      </c>
      <c r="X26" s="2">
        <v>0</v>
      </c>
      <c r="Y26" s="222">
        <v>445.89</v>
      </c>
      <c r="Z26" s="31">
        <v>0</v>
      </c>
      <c r="AA26" s="31">
        <f t="shared" si="0"/>
        <v>0</v>
      </c>
      <c r="AB26" s="128">
        <f t="shared" si="1"/>
        <v>0</v>
      </c>
      <c r="AC26" s="134">
        <v>0</v>
      </c>
      <c r="AD26" s="2">
        <v>0</v>
      </c>
      <c r="AE26" s="2">
        <v>0</v>
      </c>
      <c r="AF26" s="2">
        <v>0</v>
      </c>
      <c r="AG26" s="2">
        <f t="shared" si="9"/>
        <v>0</v>
      </c>
      <c r="AH26" s="2">
        <v>0</v>
      </c>
      <c r="AI26" s="43">
        <f t="shared" si="2"/>
        <v>0</v>
      </c>
      <c r="AJ26" s="143">
        <v>129.69999999998981</v>
      </c>
      <c r="AK26" s="2">
        <v>985719.99999992258</v>
      </c>
      <c r="AL26" s="39">
        <f t="shared" si="3"/>
        <v>75.964331320137461</v>
      </c>
      <c r="AM26" s="6"/>
    </row>
    <row r="27" spans="1:39" x14ac:dyDescent="0.25">
      <c r="A27" s="33"/>
      <c r="B27" s="58">
        <v>16</v>
      </c>
      <c r="C27" s="150"/>
      <c r="D27" s="152"/>
      <c r="E27" s="106">
        <v>3919.9999999982538</v>
      </c>
      <c r="F27" s="2">
        <v>4060257.599998191</v>
      </c>
      <c r="G27" s="35">
        <v>800.0000000001819</v>
      </c>
      <c r="H27" s="2">
        <v>1242936.0000002827</v>
      </c>
      <c r="I27" s="103">
        <f t="shared" si="4"/>
        <v>5303193.5999984741</v>
      </c>
      <c r="J27" s="106">
        <v>79.99999999992724</v>
      </c>
      <c r="K27" s="2">
        <v>82862.39999992463</v>
      </c>
      <c r="L27" s="187">
        <v>19.99999999998181</v>
      </c>
      <c r="M27" s="188">
        <v>31073.399999971742</v>
      </c>
      <c r="N27" s="94">
        <f t="shared" si="5"/>
        <v>113935.79999989638</v>
      </c>
      <c r="O27" s="108">
        <f t="shared" si="6"/>
        <v>5417129.3999983706</v>
      </c>
      <c r="P27" s="111">
        <f t="shared" si="7"/>
        <v>4819.9999999983447</v>
      </c>
      <c r="Q27" s="192"/>
      <c r="R27" s="205"/>
      <c r="S27" s="193"/>
      <c r="T27" s="216"/>
      <c r="U27" s="213">
        <v>0</v>
      </c>
      <c r="V27" s="189">
        <f t="shared" si="8"/>
        <v>408.51</v>
      </c>
      <c r="W27" s="2">
        <v>0</v>
      </c>
      <c r="X27" s="2">
        <v>0</v>
      </c>
      <c r="Y27" s="222">
        <v>408.51</v>
      </c>
      <c r="Z27" s="31">
        <v>0</v>
      </c>
      <c r="AA27" s="31">
        <f t="shared" si="0"/>
        <v>0</v>
      </c>
      <c r="AB27" s="128">
        <f t="shared" si="1"/>
        <v>0</v>
      </c>
      <c r="AC27" s="134">
        <v>0</v>
      </c>
      <c r="AD27" s="2">
        <v>0</v>
      </c>
      <c r="AE27" s="2">
        <v>0</v>
      </c>
      <c r="AF27" s="2">
        <v>0</v>
      </c>
      <c r="AG27" s="2">
        <f t="shared" si="9"/>
        <v>0</v>
      </c>
      <c r="AH27" s="2">
        <v>0</v>
      </c>
      <c r="AI27" s="43">
        <f t="shared" si="2"/>
        <v>0</v>
      </c>
      <c r="AJ27" s="143">
        <v>0</v>
      </c>
      <c r="AK27" s="2">
        <v>0</v>
      </c>
      <c r="AL27" s="39">
        <f t="shared" si="3"/>
        <v>0</v>
      </c>
      <c r="AM27" s="6"/>
    </row>
    <row r="28" spans="1:39" x14ac:dyDescent="0.25">
      <c r="A28" s="33"/>
      <c r="B28" s="58">
        <v>17</v>
      </c>
      <c r="C28" s="150"/>
      <c r="D28" s="152"/>
      <c r="E28" s="106">
        <v>3640.0000000012369</v>
      </c>
      <c r="F28" s="2">
        <v>3770239.2000012812</v>
      </c>
      <c r="G28" s="35">
        <v>760.00000000021828</v>
      </c>
      <c r="H28" s="2">
        <v>1180789.2000003392</v>
      </c>
      <c r="I28" s="103">
        <f t="shared" si="4"/>
        <v>4951028.4000016209</v>
      </c>
      <c r="J28" s="106">
        <v>79.99999999992724</v>
      </c>
      <c r="K28" s="2">
        <v>82862.39999992463</v>
      </c>
      <c r="L28" s="187">
        <v>19.99999999998181</v>
      </c>
      <c r="M28" s="188">
        <v>31073.399999971742</v>
      </c>
      <c r="N28" s="94">
        <f t="shared" si="5"/>
        <v>113935.79999989638</v>
      </c>
      <c r="O28" s="108">
        <f t="shared" si="6"/>
        <v>5064964.2000015173</v>
      </c>
      <c r="P28" s="111">
        <f t="shared" si="7"/>
        <v>4500.0000000013642</v>
      </c>
      <c r="Q28" s="192"/>
      <c r="R28" s="192"/>
      <c r="S28" s="193"/>
      <c r="T28" s="216"/>
      <c r="U28" s="213">
        <v>0</v>
      </c>
      <c r="V28" s="189">
        <f t="shared" si="8"/>
        <v>377.36</v>
      </c>
      <c r="W28" s="2">
        <v>0</v>
      </c>
      <c r="X28" s="2">
        <v>0</v>
      </c>
      <c r="Y28" s="222">
        <v>377.36</v>
      </c>
      <c r="Z28" s="31">
        <v>0</v>
      </c>
      <c r="AA28" s="31">
        <f t="shared" si="0"/>
        <v>0</v>
      </c>
      <c r="AB28" s="128">
        <f t="shared" si="1"/>
        <v>0</v>
      </c>
      <c r="AC28" s="134">
        <v>0</v>
      </c>
      <c r="AD28" s="2">
        <v>0</v>
      </c>
      <c r="AE28" s="2">
        <v>0</v>
      </c>
      <c r="AF28" s="2">
        <v>0</v>
      </c>
      <c r="AG28" s="2">
        <f t="shared" si="9"/>
        <v>0</v>
      </c>
      <c r="AH28" s="2">
        <v>0</v>
      </c>
      <c r="AI28" s="43">
        <f t="shared" si="2"/>
        <v>0</v>
      </c>
      <c r="AJ28" s="143">
        <v>0</v>
      </c>
      <c r="AK28" s="2">
        <v>0</v>
      </c>
      <c r="AL28" s="39">
        <f t="shared" si="3"/>
        <v>0</v>
      </c>
      <c r="AM28" s="6"/>
    </row>
    <row r="29" spans="1:39" x14ac:dyDescent="0.25">
      <c r="A29" s="33"/>
      <c r="B29" s="58">
        <v>18</v>
      </c>
      <c r="C29" s="150"/>
      <c r="D29" s="152"/>
      <c r="E29" s="106">
        <v>4039.9999999990541</v>
      </c>
      <c r="F29" s="2">
        <v>4184551.19999902</v>
      </c>
      <c r="G29" s="35">
        <v>759.99999999976353</v>
      </c>
      <c r="H29" s="2">
        <v>1180789.1999996325</v>
      </c>
      <c r="I29" s="103">
        <f t="shared" si="4"/>
        <v>5365340.3999986527</v>
      </c>
      <c r="J29" s="106">
        <v>79.99999999992724</v>
      </c>
      <c r="K29" s="2">
        <v>82862.39999992463</v>
      </c>
      <c r="L29" s="187">
        <v>19.99999999998181</v>
      </c>
      <c r="M29" s="188">
        <v>31073.399999971742</v>
      </c>
      <c r="N29" s="94">
        <f t="shared" si="5"/>
        <v>113935.79999989638</v>
      </c>
      <c r="O29" s="108">
        <f t="shared" si="6"/>
        <v>5479276.1999985492</v>
      </c>
      <c r="P29" s="111">
        <f t="shared" si="7"/>
        <v>4899.9999999987267</v>
      </c>
      <c r="Q29" s="195"/>
      <c r="R29" s="195"/>
      <c r="S29" s="193"/>
      <c r="T29" s="216"/>
      <c r="U29" s="213">
        <v>0</v>
      </c>
      <c r="V29" s="189">
        <f t="shared" si="8"/>
        <v>467.25</v>
      </c>
      <c r="W29" s="2">
        <v>0</v>
      </c>
      <c r="X29" s="2">
        <v>0</v>
      </c>
      <c r="Y29" s="222">
        <v>467.25</v>
      </c>
      <c r="Z29" s="31">
        <v>0</v>
      </c>
      <c r="AA29" s="31">
        <f t="shared" si="0"/>
        <v>0</v>
      </c>
      <c r="AB29" s="128">
        <f t="shared" si="1"/>
        <v>0</v>
      </c>
      <c r="AC29" s="134">
        <v>0</v>
      </c>
      <c r="AD29" s="2">
        <v>0</v>
      </c>
      <c r="AE29" s="2">
        <v>0</v>
      </c>
      <c r="AF29" s="2">
        <v>12</v>
      </c>
      <c r="AG29" s="2">
        <f t="shared" si="9"/>
        <v>12</v>
      </c>
      <c r="AH29" s="2">
        <v>139500</v>
      </c>
      <c r="AI29" s="43">
        <f t="shared" si="2"/>
        <v>10.750541958324888</v>
      </c>
      <c r="AJ29" s="143">
        <v>136</v>
      </c>
      <c r="AK29" s="2">
        <v>1033600</v>
      </c>
      <c r="AL29" s="39">
        <f t="shared" si="3"/>
        <v>79.654194753581393</v>
      </c>
      <c r="AM29" s="6"/>
    </row>
    <row r="30" spans="1:39" x14ac:dyDescent="0.25">
      <c r="A30" s="33"/>
      <c r="B30" s="58">
        <v>19</v>
      </c>
      <c r="C30" s="150"/>
      <c r="D30" s="152"/>
      <c r="E30" s="106">
        <v>3800.0000000010914</v>
      </c>
      <c r="F30" s="2">
        <v>3935964.0000011302</v>
      </c>
      <c r="G30" s="35">
        <v>760.00000000021828</v>
      </c>
      <c r="H30" s="2">
        <v>1180789.2000003392</v>
      </c>
      <c r="I30" s="103">
        <f t="shared" si="4"/>
        <v>5116753.2000014689</v>
      </c>
      <c r="J30" s="106">
        <v>99.999999999454303</v>
      </c>
      <c r="K30" s="2">
        <v>103577.99999943477</v>
      </c>
      <c r="L30" s="187">
        <v>19.99999999998181</v>
      </c>
      <c r="M30" s="188">
        <v>31073.399999971742</v>
      </c>
      <c r="N30" s="94">
        <f t="shared" si="5"/>
        <v>134651.39999940651</v>
      </c>
      <c r="O30" s="108">
        <f t="shared" si="6"/>
        <v>5251404.6000008751</v>
      </c>
      <c r="P30" s="111">
        <f t="shared" si="7"/>
        <v>4680.0000000007458</v>
      </c>
      <c r="Q30" s="192"/>
      <c r="R30" s="192"/>
      <c r="S30" s="193"/>
      <c r="T30" s="216"/>
      <c r="U30" s="213">
        <v>0</v>
      </c>
      <c r="V30" s="189">
        <f t="shared" si="8"/>
        <v>368.46</v>
      </c>
      <c r="W30" s="2">
        <v>0</v>
      </c>
      <c r="X30" s="2">
        <v>0</v>
      </c>
      <c r="Y30" s="222">
        <v>368.46</v>
      </c>
      <c r="Z30" s="31">
        <v>0</v>
      </c>
      <c r="AA30" s="31">
        <f t="shared" si="0"/>
        <v>0</v>
      </c>
      <c r="AB30" s="128">
        <f t="shared" si="1"/>
        <v>0</v>
      </c>
      <c r="AC30" s="134">
        <v>0</v>
      </c>
      <c r="AD30" s="2">
        <v>0</v>
      </c>
      <c r="AE30" s="2">
        <v>0</v>
      </c>
      <c r="AF30" s="2">
        <v>0</v>
      </c>
      <c r="AG30" s="2">
        <f t="shared" si="9"/>
        <v>0</v>
      </c>
      <c r="AH30" s="2">
        <v>0</v>
      </c>
      <c r="AI30" s="43">
        <f t="shared" si="2"/>
        <v>0</v>
      </c>
      <c r="AJ30" s="143">
        <v>1.6600000000034925</v>
      </c>
      <c r="AK30" s="2">
        <v>12616.000000026543</v>
      </c>
      <c r="AL30" s="39">
        <f t="shared" si="3"/>
        <v>0.97224973008252424</v>
      </c>
      <c r="AM30" s="6"/>
    </row>
    <row r="31" spans="1:39" x14ac:dyDescent="0.25">
      <c r="A31" s="33"/>
      <c r="B31" s="58">
        <v>20</v>
      </c>
      <c r="C31" s="150"/>
      <c r="D31" s="152"/>
      <c r="E31" s="106">
        <v>3879.9999999991996</v>
      </c>
      <c r="F31" s="2">
        <v>4018826.399999171</v>
      </c>
      <c r="G31" s="35">
        <v>719.99999999979991</v>
      </c>
      <c r="H31" s="2">
        <v>1118642.3999996891</v>
      </c>
      <c r="I31" s="103">
        <f t="shared" si="4"/>
        <v>5137468.7999988599</v>
      </c>
      <c r="J31" s="106">
        <v>80.000000000836735</v>
      </c>
      <c r="K31" s="2">
        <v>82862.400000866677</v>
      </c>
      <c r="L31" s="187">
        <v>0</v>
      </c>
      <c r="M31" s="188">
        <v>0</v>
      </c>
      <c r="N31" s="94">
        <f t="shared" si="5"/>
        <v>82862.400000866677</v>
      </c>
      <c r="O31" s="108">
        <f t="shared" si="6"/>
        <v>5220331.1999997264</v>
      </c>
      <c r="P31" s="111">
        <f t="shared" si="7"/>
        <v>4679.9999999998363</v>
      </c>
      <c r="Q31" s="195"/>
      <c r="R31" s="195"/>
      <c r="S31" s="193"/>
      <c r="T31" s="216"/>
      <c r="U31" s="213">
        <v>0</v>
      </c>
      <c r="V31" s="189">
        <f t="shared" si="8"/>
        <v>423.64</v>
      </c>
      <c r="W31" s="2">
        <v>0</v>
      </c>
      <c r="X31" s="2">
        <v>0</v>
      </c>
      <c r="Y31" s="222">
        <v>423.64</v>
      </c>
      <c r="Z31" s="31">
        <v>0</v>
      </c>
      <c r="AA31" s="31">
        <f t="shared" si="0"/>
        <v>0</v>
      </c>
      <c r="AB31" s="128">
        <f t="shared" si="1"/>
        <v>0</v>
      </c>
      <c r="AC31" s="134">
        <v>0</v>
      </c>
      <c r="AD31" s="2">
        <v>0</v>
      </c>
      <c r="AE31" s="2">
        <v>0</v>
      </c>
      <c r="AF31" s="2">
        <v>0</v>
      </c>
      <c r="AG31" s="2">
        <f t="shared" si="9"/>
        <v>0</v>
      </c>
      <c r="AH31" s="2">
        <v>0</v>
      </c>
      <c r="AI31" s="43">
        <f t="shared" si="2"/>
        <v>0</v>
      </c>
      <c r="AJ31" s="143">
        <v>0</v>
      </c>
      <c r="AK31" s="2">
        <v>0</v>
      </c>
      <c r="AL31" s="39">
        <f t="shared" si="3"/>
        <v>0</v>
      </c>
      <c r="AM31" s="6"/>
    </row>
    <row r="32" spans="1:39" x14ac:dyDescent="0.25">
      <c r="A32" s="33"/>
      <c r="B32" s="58">
        <v>21</v>
      </c>
      <c r="C32" s="150"/>
      <c r="D32" s="152"/>
      <c r="E32" s="106">
        <v>3840.0000000001455</v>
      </c>
      <c r="F32" s="2">
        <v>3977395.2000001506</v>
      </c>
      <c r="G32" s="35">
        <v>719.99999999979991</v>
      </c>
      <c r="H32" s="2">
        <v>1118642.3999996891</v>
      </c>
      <c r="I32" s="103">
        <f t="shared" si="4"/>
        <v>5096037.5999998394</v>
      </c>
      <c r="J32" s="106">
        <v>99.999999999454303</v>
      </c>
      <c r="K32" s="2">
        <v>103577.99999943477</v>
      </c>
      <c r="L32" s="187">
        <v>20.000000000209184</v>
      </c>
      <c r="M32" s="188">
        <v>31073.400000325004</v>
      </c>
      <c r="N32" s="94">
        <f>+K32+M32</f>
        <v>134651.39999975977</v>
      </c>
      <c r="O32" s="108">
        <f t="shared" si="6"/>
        <v>5230688.9999995995</v>
      </c>
      <c r="P32" s="111">
        <f t="shared" si="7"/>
        <v>4679.9999999996089</v>
      </c>
      <c r="Q32" s="192"/>
      <c r="R32" s="206"/>
      <c r="S32" s="193"/>
      <c r="T32" s="216"/>
      <c r="U32" s="213">
        <v>0</v>
      </c>
      <c r="V32" s="189">
        <f t="shared" si="8"/>
        <v>493.06</v>
      </c>
      <c r="W32" s="2">
        <v>0</v>
      </c>
      <c r="X32" s="2">
        <v>0</v>
      </c>
      <c r="Y32" s="222">
        <v>493.06</v>
      </c>
      <c r="Z32" s="31">
        <v>0</v>
      </c>
      <c r="AA32" s="31">
        <f t="shared" si="0"/>
        <v>0</v>
      </c>
      <c r="AB32" s="128">
        <f t="shared" si="1"/>
        <v>0</v>
      </c>
      <c r="AC32" s="134">
        <v>0</v>
      </c>
      <c r="AD32" s="2">
        <v>0</v>
      </c>
      <c r="AE32" s="2">
        <v>0</v>
      </c>
      <c r="AF32" s="2">
        <v>0</v>
      </c>
      <c r="AG32" s="2">
        <f t="shared" si="9"/>
        <v>0</v>
      </c>
      <c r="AH32" s="2">
        <v>0</v>
      </c>
      <c r="AI32" s="43">
        <f t="shared" si="2"/>
        <v>0</v>
      </c>
      <c r="AJ32" s="143">
        <v>89.040000000000873</v>
      </c>
      <c r="AK32" s="2">
        <v>676704.00000000664</v>
      </c>
      <c r="AL32" s="39">
        <f t="shared" si="3"/>
        <v>52.150069859257037</v>
      </c>
      <c r="AM32" s="6"/>
    </row>
    <row r="33" spans="1:39" x14ac:dyDescent="0.25">
      <c r="A33" s="33"/>
      <c r="B33" s="58">
        <v>22</v>
      </c>
      <c r="C33" s="150"/>
      <c r="D33" s="152"/>
      <c r="E33" s="106">
        <v>3880.0000000010186</v>
      </c>
      <c r="F33" s="2">
        <v>4018826.4000010551</v>
      </c>
      <c r="G33" s="35">
        <v>720.00000000025466</v>
      </c>
      <c r="H33" s="2">
        <v>1118642.4000003957</v>
      </c>
      <c r="I33" s="103">
        <f t="shared" si="4"/>
        <v>5137468.8000014508</v>
      </c>
      <c r="J33" s="106">
        <v>79.99999999992724</v>
      </c>
      <c r="K33" s="2">
        <v>82862.39999992463</v>
      </c>
      <c r="L33" s="187">
        <v>19.99999999998181</v>
      </c>
      <c r="M33" s="188">
        <v>31073.399999971742</v>
      </c>
      <c r="N33" s="94">
        <f t="shared" si="5"/>
        <v>113935.79999989638</v>
      </c>
      <c r="O33" s="108">
        <f t="shared" si="6"/>
        <v>5251404.6000013473</v>
      </c>
      <c r="P33" s="111">
        <f t="shared" si="7"/>
        <v>4700.0000000011823</v>
      </c>
      <c r="Q33" s="192"/>
      <c r="R33" s="207"/>
      <c r="S33" s="193"/>
      <c r="T33" s="216"/>
      <c r="U33" s="213">
        <v>0</v>
      </c>
      <c r="V33" s="189">
        <f t="shared" si="8"/>
        <v>476.15000000000003</v>
      </c>
      <c r="W33" s="2">
        <v>0</v>
      </c>
      <c r="X33" s="2">
        <v>0</v>
      </c>
      <c r="Y33" s="222">
        <v>476.15000000000003</v>
      </c>
      <c r="Z33" s="31">
        <v>0</v>
      </c>
      <c r="AA33" s="31">
        <f t="shared" si="0"/>
        <v>0</v>
      </c>
      <c r="AB33" s="128">
        <f t="shared" si="1"/>
        <v>0</v>
      </c>
      <c r="AC33" s="134">
        <v>0</v>
      </c>
      <c r="AD33" s="2">
        <v>0</v>
      </c>
      <c r="AE33" s="2">
        <v>0</v>
      </c>
      <c r="AF33" s="2">
        <v>0</v>
      </c>
      <c r="AG33" s="2">
        <f t="shared" si="9"/>
        <v>0</v>
      </c>
      <c r="AH33" s="2">
        <v>0</v>
      </c>
      <c r="AI33" s="43">
        <f t="shared" si="2"/>
        <v>0</v>
      </c>
      <c r="AJ33" s="143">
        <v>-41.600000000000364</v>
      </c>
      <c r="AK33" s="2">
        <v>-316160.00000000279</v>
      </c>
      <c r="AL33" s="39">
        <f t="shared" si="3"/>
        <v>-24.364812512860407</v>
      </c>
      <c r="AM33" s="6"/>
    </row>
    <row r="34" spans="1:39" x14ac:dyDescent="0.25">
      <c r="A34" s="33"/>
      <c r="B34" s="58">
        <v>23</v>
      </c>
      <c r="C34" s="150"/>
      <c r="D34" s="152"/>
      <c r="E34" s="106">
        <v>3959.9999999991269</v>
      </c>
      <c r="F34" s="2">
        <v>4101688.7999990955</v>
      </c>
      <c r="G34" s="35">
        <v>759.99999999976353</v>
      </c>
      <c r="H34" s="2">
        <v>1180789.1999996325</v>
      </c>
      <c r="I34" s="103">
        <f t="shared" si="4"/>
        <v>5282477.9999987278</v>
      </c>
      <c r="J34" s="106">
        <v>100.0000000003638</v>
      </c>
      <c r="K34" s="2">
        <v>103578.00000037681</v>
      </c>
      <c r="L34" s="187">
        <v>19.99999999998181</v>
      </c>
      <c r="M34" s="188">
        <v>31073.399999971742</v>
      </c>
      <c r="N34" s="94">
        <f t="shared" si="5"/>
        <v>134651.40000034854</v>
      </c>
      <c r="O34" s="108">
        <f t="shared" si="6"/>
        <v>5417129.3999990765</v>
      </c>
      <c r="P34" s="111">
        <f t="shared" si="7"/>
        <v>4839.999999999236</v>
      </c>
      <c r="Q34" s="195"/>
      <c r="R34" s="208"/>
      <c r="S34" s="193"/>
      <c r="T34" s="216"/>
      <c r="U34" s="213">
        <v>0</v>
      </c>
      <c r="V34" s="189">
        <f t="shared" si="8"/>
        <v>416.52</v>
      </c>
      <c r="W34" s="2">
        <v>0</v>
      </c>
      <c r="X34" s="2">
        <v>0</v>
      </c>
      <c r="Y34" s="222">
        <v>416.52</v>
      </c>
      <c r="Z34" s="31">
        <v>0</v>
      </c>
      <c r="AA34" s="31">
        <f t="shared" si="0"/>
        <v>0</v>
      </c>
      <c r="AB34" s="128">
        <f t="shared" si="1"/>
        <v>0</v>
      </c>
      <c r="AC34" s="134">
        <v>0</v>
      </c>
      <c r="AD34" s="2">
        <v>0</v>
      </c>
      <c r="AE34" s="2">
        <v>0</v>
      </c>
      <c r="AF34" s="2">
        <v>0</v>
      </c>
      <c r="AG34" s="2">
        <f t="shared" si="9"/>
        <v>0</v>
      </c>
      <c r="AH34" s="2">
        <v>0</v>
      </c>
      <c r="AI34" s="43">
        <f t="shared" si="2"/>
        <v>0</v>
      </c>
      <c r="AJ34" s="143">
        <v>0</v>
      </c>
      <c r="AK34" s="2">
        <v>0</v>
      </c>
      <c r="AL34" s="39">
        <f t="shared" si="3"/>
        <v>0</v>
      </c>
      <c r="AM34" s="6"/>
    </row>
    <row r="35" spans="1:39" x14ac:dyDescent="0.25">
      <c r="A35" s="33"/>
      <c r="B35" s="58">
        <v>24</v>
      </c>
      <c r="C35" s="150"/>
      <c r="D35" s="152"/>
      <c r="E35" s="106">
        <v>3760.0000000002183</v>
      </c>
      <c r="F35" s="2">
        <v>3894532.8000002261</v>
      </c>
      <c r="G35" s="35">
        <v>760.00000000021828</v>
      </c>
      <c r="H35" s="2">
        <v>1180789.2000003392</v>
      </c>
      <c r="I35" s="103">
        <f t="shared" si="4"/>
        <v>5075322.0000005653</v>
      </c>
      <c r="J35" s="106">
        <v>99.999999999454303</v>
      </c>
      <c r="K35" s="2">
        <v>103577.99999943477</v>
      </c>
      <c r="L35" s="187">
        <v>19.99999999998181</v>
      </c>
      <c r="M35" s="188">
        <v>31073.399999971742</v>
      </c>
      <c r="N35" s="94">
        <f t="shared" si="5"/>
        <v>134651.39999940651</v>
      </c>
      <c r="O35" s="108">
        <f t="shared" si="6"/>
        <v>5209973.3999999715</v>
      </c>
      <c r="P35" s="111">
        <f t="shared" si="7"/>
        <v>4639.9999999998727</v>
      </c>
      <c r="Q35" s="192"/>
      <c r="R35" s="206"/>
      <c r="S35" s="193"/>
      <c r="T35" s="216"/>
      <c r="U35" s="213">
        <v>0</v>
      </c>
      <c r="V35" s="189">
        <f t="shared" si="8"/>
        <v>402.28000000000003</v>
      </c>
      <c r="W35" s="2">
        <v>0</v>
      </c>
      <c r="X35" s="2">
        <v>0</v>
      </c>
      <c r="Y35" s="222">
        <v>402.28000000000003</v>
      </c>
      <c r="Z35" s="31">
        <v>0</v>
      </c>
      <c r="AA35" s="31">
        <f t="shared" si="0"/>
        <v>0</v>
      </c>
      <c r="AB35" s="128">
        <f t="shared" si="1"/>
        <v>0</v>
      </c>
      <c r="AC35" s="134">
        <v>0</v>
      </c>
      <c r="AD35" s="2">
        <v>0</v>
      </c>
      <c r="AE35" s="2">
        <v>0</v>
      </c>
      <c r="AF35" s="2">
        <v>0</v>
      </c>
      <c r="AG35" s="2">
        <f t="shared" si="9"/>
        <v>0</v>
      </c>
      <c r="AH35" s="2">
        <v>0</v>
      </c>
      <c r="AI35" s="43">
        <f t="shared" si="2"/>
        <v>0</v>
      </c>
      <c r="AJ35" s="143">
        <v>0</v>
      </c>
      <c r="AK35" s="2">
        <v>0</v>
      </c>
      <c r="AL35" s="39">
        <f t="shared" si="3"/>
        <v>0</v>
      </c>
      <c r="AM35" s="6"/>
    </row>
    <row r="36" spans="1:39" x14ac:dyDescent="0.25">
      <c r="A36" s="33"/>
      <c r="B36" s="58">
        <v>25</v>
      </c>
      <c r="C36" s="150"/>
      <c r="D36" s="152"/>
      <c r="E36" s="106">
        <v>4079.9999999999272</v>
      </c>
      <c r="F36" s="2">
        <v>4225982.3999999249</v>
      </c>
      <c r="G36" s="35">
        <v>759.99999999976353</v>
      </c>
      <c r="H36" s="2">
        <v>1180789.1999996325</v>
      </c>
      <c r="I36" s="103">
        <f t="shared" si="4"/>
        <v>5406771.5999995572</v>
      </c>
      <c r="J36" s="106">
        <v>80.000000000836735</v>
      </c>
      <c r="K36" s="2">
        <v>82862.400000866677</v>
      </c>
      <c r="L36" s="187">
        <v>19.99999999998181</v>
      </c>
      <c r="M36" s="188">
        <v>31073.399999971742</v>
      </c>
      <c r="N36" s="94">
        <f t="shared" si="5"/>
        <v>113935.80000083841</v>
      </c>
      <c r="O36" s="108">
        <f t="shared" si="6"/>
        <v>5520707.4000003953</v>
      </c>
      <c r="P36" s="111">
        <f t="shared" si="7"/>
        <v>4940.0000000005093</v>
      </c>
      <c r="Q36" s="192"/>
      <c r="R36" s="206"/>
      <c r="S36" s="193"/>
      <c r="T36" s="216"/>
      <c r="U36" s="213">
        <v>0</v>
      </c>
      <c r="V36" s="189">
        <f t="shared" si="8"/>
        <v>374.69</v>
      </c>
      <c r="W36" s="2">
        <v>0</v>
      </c>
      <c r="X36" s="2">
        <v>0</v>
      </c>
      <c r="Y36" s="222">
        <v>374.69</v>
      </c>
      <c r="Z36" s="31">
        <v>0</v>
      </c>
      <c r="AA36" s="31">
        <f t="shared" si="0"/>
        <v>0</v>
      </c>
      <c r="AB36" s="128">
        <f t="shared" si="1"/>
        <v>0</v>
      </c>
      <c r="AC36" s="134">
        <v>0</v>
      </c>
      <c r="AD36" s="2">
        <v>0</v>
      </c>
      <c r="AE36" s="2">
        <v>0</v>
      </c>
      <c r="AF36" s="2">
        <v>0</v>
      </c>
      <c r="AG36" s="2">
        <f t="shared" si="9"/>
        <v>0</v>
      </c>
      <c r="AH36" s="2">
        <v>0</v>
      </c>
      <c r="AI36" s="43">
        <f t="shared" si="2"/>
        <v>0</v>
      </c>
      <c r="AJ36" s="143">
        <v>109.81999999999971</v>
      </c>
      <c r="AK36" s="2">
        <v>834631.99999999779</v>
      </c>
      <c r="AL36" s="39">
        <f t="shared" si="3"/>
        <v>64.320762263516812</v>
      </c>
      <c r="AM36" s="6"/>
    </row>
    <row r="37" spans="1:39" x14ac:dyDescent="0.25">
      <c r="A37" s="33"/>
      <c r="B37" s="58">
        <v>26</v>
      </c>
      <c r="C37" s="150"/>
      <c r="D37" s="152"/>
      <c r="E37" s="106">
        <v>4119.9999999989814</v>
      </c>
      <c r="F37" s="2">
        <v>4267413.5999989444</v>
      </c>
      <c r="G37" s="35">
        <v>800.0000000001819</v>
      </c>
      <c r="H37" s="2">
        <v>1242936.0000002827</v>
      </c>
      <c r="I37" s="103">
        <f t="shared" si="4"/>
        <v>5510349.5999992266</v>
      </c>
      <c r="J37" s="106">
        <v>79.99999999992724</v>
      </c>
      <c r="K37" s="2">
        <v>82862.39999992463</v>
      </c>
      <c r="L37" s="187">
        <v>19.99999999998181</v>
      </c>
      <c r="M37" s="188">
        <v>31073.399999971742</v>
      </c>
      <c r="N37" s="94">
        <f t="shared" si="5"/>
        <v>113935.79999989638</v>
      </c>
      <c r="O37" s="108">
        <f t="shared" si="6"/>
        <v>5624285.3999991231</v>
      </c>
      <c r="P37" s="111">
        <f t="shared" si="7"/>
        <v>5019.9999999990723</v>
      </c>
      <c r="Q37" s="192"/>
      <c r="R37" s="206"/>
      <c r="S37" s="193"/>
      <c r="T37" s="216"/>
      <c r="U37" s="213">
        <v>0</v>
      </c>
      <c r="V37" s="189">
        <f t="shared" si="8"/>
        <v>461.02</v>
      </c>
      <c r="W37" s="2">
        <v>0</v>
      </c>
      <c r="X37" s="2">
        <v>0</v>
      </c>
      <c r="Y37" s="222">
        <v>461.02</v>
      </c>
      <c r="Z37" s="31">
        <v>0</v>
      </c>
      <c r="AA37" s="31">
        <f t="shared" si="0"/>
        <v>0</v>
      </c>
      <c r="AB37" s="128">
        <f t="shared" si="1"/>
        <v>0</v>
      </c>
      <c r="AC37" s="134">
        <v>0</v>
      </c>
      <c r="AD37" s="2">
        <v>0</v>
      </c>
      <c r="AE37" s="2">
        <v>0</v>
      </c>
      <c r="AF37" s="2">
        <v>0</v>
      </c>
      <c r="AG37" s="2">
        <f t="shared" si="9"/>
        <v>0</v>
      </c>
      <c r="AH37" s="2">
        <v>0</v>
      </c>
      <c r="AI37" s="43">
        <f t="shared" si="2"/>
        <v>0</v>
      </c>
      <c r="AJ37" s="143">
        <v>0</v>
      </c>
      <c r="AK37" s="2">
        <v>0</v>
      </c>
      <c r="AL37" s="39">
        <f t="shared" si="3"/>
        <v>0</v>
      </c>
      <c r="AM37" s="6"/>
    </row>
    <row r="38" spans="1:39" x14ac:dyDescent="0.25">
      <c r="A38" s="33"/>
      <c r="B38" s="58">
        <v>27</v>
      </c>
      <c r="C38" s="150"/>
      <c r="D38" s="152"/>
      <c r="E38" s="106">
        <v>4520.0000000004366</v>
      </c>
      <c r="F38" s="2">
        <v>4681725.6000004523</v>
      </c>
      <c r="G38" s="35">
        <v>719.99999999979991</v>
      </c>
      <c r="H38" s="2">
        <v>1118642.3999996891</v>
      </c>
      <c r="I38" s="103">
        <f t="shared" si="4"/>
        <v>5800368.0000001416</v>
      </c>
      <c r="J38" s="106">
        <v>79.99999999992724</v>
      </c>
      <c r="K38" s="2">
        <v>82862.39999992463</v>
      </c>
      <c r="L38" s="187">
        <v>0</v>
      </c>
      <c r="M38" s="188">
        <v>0</v>
      </c>
      <c r="N38" s="94">
        <f t="shared" si="5"/>
        <v>82862.39999992463</v>
      </c>
      <c r="O38" s="108">
        <f t="shared" si="6"/>
        <v>5883230.4000000665</v>
      </c>
      <c r="P38" s="111">
        <f t="shared" si="7"/>
        <v>5320.0000000001637</v>
      </c>
      <c r="Q38" s="192"/>
      <c r="R38" s="206"/>
      <c r="S38" s="193"/>
      <c r="T38" s="216"/>
      <c r="U38" s="213">
        <v>0</v>
      </c>
      <c r="V38" s="189">
        <f t="shared" si="8"/>
        <v>407.62</v>
      </c>
      <c r="W38" s="2">
        <v>0</v>
      </c>
      <c r="X38" s="2">
        <v>0</v>
      </c>
      <c r="Y38" s="222">
        <v>407.62</v>
      </c>
      <c r="Z38" s="31">
        <v>0</v>
      </c>
      <c r="AA38" s="31">
        <f t="shared" si="0"/>
        <v>0</v>
      </c>
      <c r="AB38" s="128">
        <f t="shared" si="1"/>
        <v>0</v>
      </c>
      <c r="AC38" s="134">
        <v>0</v>
      </c>
      <c r="AD38" s="2">
        <v>0</v>
      </c>
      <c r="AE38" s="2">
        <v>0</v>
      </c>
      <c r="AF38" s="2">
        <v>0</v>
      </c>
      <c r="AG38" s="2">
        <f t="shared" si="9"/>
        <v>0</v>
      </c>
      <c r="AH38" s="2">
        <v>0</v>
      </c>
      <c r="AI38" s="43">
        <f t="shared" si="2"/>
        <v>0</v>
      </c>
      <c r="AJ38" s="143">
        <v>0</v>
      </c>
      <c r="AK38" s="2">
        <v>0</v>
      </c>
      <c r="AL38" s="39">
        <f t="shared" si="3"/>
        <v>0</v>
      </c>
      <c r="AM38" s="6"/>
    </row>
    <row r="39" spans="1:39" x14ac:dyDescent="0.25">
      <c r="A39" s="33"/>
      <c r="B39" s="58">
        <v>28</v>
      </c>
      <c r="C39" s="150"/>
      <c r="D39" s="152"/>
      <c r="E39" s="106">
        <v>3479.9999999995634</v>
      </c>
      <c r="F39" s="2">
        <v>3604514.3999995477</v>
      </c>
      <c r="G39" s="35">
        <v>720.00000000025466</v>
      </c>
      <c r="H39" s="2">
        <v>1118642.4000003957</v>
      </c>
      <c r="I39" s="103">
        <f t="shared" si="4"/>
        <v>4723156.799999943</v>
      </c>
      <c r="J39" s="106">
        <v>79.99999999992724</v>
      </c>
      <c r="K39" s="2">
        <v>82862.39999992463</v>
      </c>
      <c r="L39" s="187">
        <v>19.99999999998181</v>
      </c>
      <c r="M39" s="188">
        <v>31073.399999971742</v>
      </c>
      <c r="N39" s="94">
        <f t="shared" si="5"/>
        <v>113935.79999989638</v>
      </c>
      <c r="O39" s="108">
        <f t="shared" si="6"/>
        <v>4837092.5999998394</v>
      </c>
      <c r="P39" s="111">
        <f t="shared" si="7"/>
        <v>4299.9999999997272</v>
      </c>
      <c r="Q39" s="192"/>
      <c r="R39" s="209"/>
      <c r="S39" s="193"/>
      <c r="T39" s="216"/>
      <c r="U39" s="213">
        <v>0</v>
      </c>
      <c r="V39" s="189">
        <f t="shared" si="8"/>
        <v>437.88</v>
      </c>
      <c r="W39" s="2">
        <v>0</v>
      </c>
      <c r="X39" s="2">
        <v>0</v>
      </c>
      <c r="Y39" s="222">
        <v>437.88</v>
      </c>
      <c r="Z39" s="31">
        <v>0</v>
      </c>
      <c r="AA39" s="31">
        <f t="shared" si="0"/>
        <v>0</v>
      </c>
      <c r="AB39" s="128">
        <f t="shared" si="1"/>
        <v>0</v>
      </c>
      <c r="AC39" s="134">
        <v>0</v>
      </c>
      <c r="AD39" s="2">
        <v>0</v>
      </c>
      <c r="AE39" s="2">
        <v>0</v>
      </c>
      <c r="AF39" s="2">
        <v>0</v>
      </c>
      <c r="AG39" s="2">
        <f t="shared" si="9"/>
        <v>0</v>
      </c>
      <c r="AH39" s="2">
        <v>0</v>
      </c>
      <c r="AI39" s="43">
        <f t="shared" si="2"/>
        <v>0</v>
      </c>
      <c r="AJ39" s="143">
        <v>223.46999999999389</v>
      </c>
      <c r="AK39" s="2">
        <v>1698371.9999999534</v>
      </c>
      <c r="AL39" s="39">
        <f t="shared" si="3"/>
        <v>130.88472721751725</v>
      </c>
      <c r="AM39" s="6"/>
    </row>
    <row r="40" spans="1:39" x14ac:dyDescent="0.25">
      <c r="A40" s="33"/>
      <c r="B40" s="58">
        <v>29</v>
      </c>
      <c r="C40" s="150"/>
      <c r="D40" s="152"/>
      <c r="E40" s="106">
        <v>4080.0000000017462</v>
      </c>
      <c r="F40" s="2">
        <v>4225982.400001809</v>
      </c>
      <c r="G40" s="35">
        <v>639.99999999987267</v>
      </c>
      <c r="H40" s="2">
        <v>994348.79999980226</v>
      </c>
      <c r="I40" s="103">
        <f t="shared" si="4"/>
        <v>5220331.2000016114</v>
      </c>
      <c r="J40" s="106">
        <v>99.999999999454303</v>
      </c>
      <c r="K40" s="2">
        <v>103577.99999943477</v>
      </c>
      <c r="L40" s="187">
        <v>19.99999999998181</v>
      </c>
      <c r="M40" s="188">
        <v>31073.399999971742</v>
      </c>
      <c r="N40" s="94">
        <f t="shared" si="5"/>
        <v>134651.39999940651</v>
      </c>
      <c r="O40" s="108">
        <f t="shared" ref="O40:O41" si="10">N40+I40</f>
        <v>5354982.6000010176</v>
      </c>
      <c r="P40" s="111">
        <f t="shared" ref="P40:P41" si="11">L40+J40+G40+E40</f>
        <v>4840.000000001055</v>
      </c>
      <c r="Q40" s="195"/>
      <c r="R40" s="210"/>
      <c r="S40" s="193"/>
      <c r="T40" s="216"/>
      <c r="U40" s="213">
        <v>0</v>
      </c>
      <c r="V40" s="189">
        <f t="shared" si="8"/>
        <v>436.1</v>
      </c>
      <c r="W40" s="2">
        <v>0</v>
      </c>
      <c r="X40" s="2">
        <v>0</v>
      </c>
      <c r="Y40" s="222">
        <v>436.1</v>
      </c>
      <c r="Z40" s="31">
        <v>0</v>
      </c>
      <c r="AA40" s="31">
        <f t="shared" ref="AA40:AA41" si="12">Z40+X40</f>
        <v>0</v>
      </c>
      <c r="AB40" s="128">
        <f t="shared" ref="AB40:AB41" si="13">AA40/$AL$48</f>
        <v>0</v>
      </c>
      <c r="AC40" s="134">
        <v>0</v>
      </c>
      <c r="AD40" s="2">
        <v>0</v>
      </c>
      <c r="AE40" s="2">
        <v>0</v>
      </c>
      <c r="AF40" s="2">
        <v>0</v>
      </c>
      <c r="AG40" s="2">
        <f t="shared" si="9"/>
        <v>0</v>
      </c>
      <c r="AH40" s="2">
        <v>0</v>
      </c>
      <c r="AI40" s="43">
        <f t="shared" ref="AI40:AI42" si="14">AH40/$AL$48</f>
        <v>0</v>
      </c>
      <c r="AJ40" s="143">
        <v>79.110000000000582</v>
      </c>
      <c r="AK40" s="2">
        <v>601236.00000000442</v>
      </c>
      <c r="AL40" s="39">
        <f t="shared" si="3"/>
        <v>46.334142257028461</v>
      </c>
      <c r="AM40" s="6"/>
    </row>
    <row r="41" spans="1:39" x14ac:dyDescent="0.25">
      <c r="A41" s="33"/>
      <c r="B41" s="58">
        <v>30</v>
      </c>
      <c r="C41" s="150"/>
      <c r="D41" s="152"/>
      <c r="E41" s="106">
        <v>3399.9999999996362</v>
      </c>
      <c r="F41" s="2">
        <v>3521651.9999996233</v>
      </c>
      <c r="G41" s="35">
        <v>800.0000000001819</v>
      </c>
      <c r="H41" s="2">
        <v>1242936.0000002827</v>
      </c>
      <c r="I41" s="103">
        <f t="shared" si="4"/>
        <v>4764587.9999999059</v>
      </c>
      <c r="J41" s="106">
        <v>100.0000000003638</v>
      </c>
      <c r="K41" s="2">
        <v>103578.00000037681</v>
      </c>
      <c r="L41" s="187">
        <v>19.99999999998181</v>
      </c>
      <c r="M41" s="188">
        <v>31073.399999971742</v>
      </c>
      <c r="N41" s="94">
        <f t="shared" si="5"/>
        <v>134651.40000034854</v>
      </c>
      <c r="O41" s="108">
        <f t="shared" si="10"/>
        <v>4899239.4000002546</v>
      </c>
      <c r="P41" s="111">
        <f t="shared" si="11"/>
        <v>4320.0000000001637</v>
      </c>
      <c r="Q41" s="192"/>
      <c r="R41" s="211"/>
      <c r="S41" s="193"/>
      <c r="T41" s="216"/>
      <c r="U41" s="213">
        <v>0</v>
      </c>
      <c r="V41" s="189">
        <f t="shared" si="8"/>
        <v>418.3</v>
      </c>
      <c r="W41" s="2">
        <v>0</v>
      </c>
      <c r="X41" s="2">
        <v>0</v>
      </c>
      <c r="Y41" s="222">
        <v>418.3</v>
      </c>
      <c r="Z41" s="31">
        <v>0</v>
      </c>
      <c r="AA41" s="31">
        <f t="shared" si="12"/>
        <v>0</v>
      </c>
      <c r="AB41" s="128">
        <f t="shared" si="13"/>
        <v>0</v>
      </c>
      <c r="AC41" s="134">
        <v>0</v>
      </c>
      <c r="AD41" s="2">
        <v>0</v>
      </c>
      <c r="AE41" s="2">
        <v>0</v>
      </c>
      <c r="AF41" s="2">
        <v>0</v>
      </c>
      <c r="AG41" s="2">
        <f t="shared" si="9"/>
        <v>0</v>
      </c>
      <c r="AH41" s="2">
        <v>0</v>
      </c>
      <c r="AI41" s="43">
        <f t="shared" si="14"/>
        <v>0</v>
      </c>
      <c r="AJ41" s="143">
        <v>0</v>
      </c>
      <c r="AK41" s="2">
        <v>0</v>
      </c>
      <c r="AL41" s="39">
        <f t="shared" si="3"/>
        <v>0</v>
      </c>
      <c r="AM41" s="6"/>
    </row>
    <row r="42" spans="1:39" x14ac:dyDescent="0.25">
      <c r="A42" s="33"/>
      <c r="B42" s="58">
        <v>31</v>
      </c>
      <c r="C42" s="176"/>
      <c r="D42" s="177"/>
      <c r="E42" s="106">
        <v>3719.9999999993452</v>
      </c>
      <c r="F42" s="2">
        <v>3853101.5999993216</v>
      </c>
      <c r="G42" s="35">
        <v>719.99999999979991</v>
      </c>
      <c r="H42" s="2">
        <v>1118642.3999996891</v>
      </c>
      <c r="I42" s="103">
        <f t="shared" si="4"/>
        <v>4971743.9999990109</v>
      </c>
      <c r="J42" s="106">
        <v>119.99999999989086</v>
      </c>
      <c r="K42" s="2">
        <v>124293.59999988695</v>
      </c>
      <c r="L42" s="187">
        <v>19.99999999998181</v>
      </c>
      <c r="M42" s="188">
        <v>31073.399999971742</v>
      </c>
      <c r="N42" s="94">
        <f t="shared" ref="N42" si="15">+K42+M42</f>
        <v>155366.9999998587</v>
      </c>
      <c r="O42" s="108">
        <f t="shared" ref="O42" si="16">N42+I42</f>
        <v>5127110.9999988694</v>
      </c>
      <c r="P42" s="111">
        <f t="shared" ref="P42" si="17">L42+J42+G42+E42</f>
        <v>4579.9999999990177</v>
      </c>
      <c r="Q42" s="192"/>
      <c r="R42" s="211"/>
      <c r="S42" s="193"/>
      <c r="T42" s="216"/>
      <c r="U42" s="213">
        <v>0</v>
      </c>
      <c r="V42" s="189">
        <f t="shared" si="8"/>
        <v>390.71</v>
      </c>
      <c r="W42" s="2">
        <v>0</v>
      </c>
      <c r="X42" s="2">
        <v>0</v>
      </c>
      <c r="Y42" s="222">
        <v>390.71</v>
      </c>
      <c r="Z42" s="31">
        <v>0</v>
      </c>
      <c r="AA42" s="31">
        <f t="shared" ref="AA42" si="18">Z42+X42</f>
        <v>0</v>
      </c>
      <c r="AB42" s="128">
        <f t="shared" ref="AB42" si="19">AA42/$AL$48</f>
        <v>0</v>
      </c>
      <c r="AC42" s="134">
        <v>0</v>
      </c>
      <c r="AD42" s="2">
        <v>0</v>
      </c>
      <c r="AE42" s="2">
        <v>0</v>
      </c>
      <c r="AF42" s="2">
        <v>0</v>
      </c>
      <c r="AG42" s="2">
        <f t="shared" si="9"/>
        <v>0</v>
      </c>
      <c r="AH42" s="2">
        <v>0</v>
      </c>
      <c r="AI42" s="43">
        <f t="shared" si="14"/>
        <v>0</v>
      </c>
      <c r="AJ42" s="143">
        <v>0</v>
      </c>
      <c r="AK42" s="2">
        <v>0</v>
      </c>
      <c r="AL42" s="39">
        <f t="shared" si="3"/>
        <v>0</v>
      </c>
      <c r="AM42" s="6"/>
    </row>
    <row r="43" spans="1:39" ht="16.5" thickBot="1" x14ac:dyDescent="0.3">
      <c r="A43" s="33"/>
      <c r="B43" s="122"/>
      <c r="C43" s="151"/>
      <c r="D43" s="153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8"/>
      <c r="R43" s="212"/>
      <c r="S43" s="194"/>
      <c r="T43" s="217"/>
      <c r="U43" s="214"/>
      <c r="V43" s="189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3"/>
      <c r="AK43" s="2"/>
      <c r="AL43" s="39"/>
      <c r="AM43" s="6"/>
    </row>
    <row r="44" spans="1:39" s="7" customFormat="1" ht="4.5" customHeight="1" x14ac:dyDescent="0.25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 x14ac:dyDescent="0.25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.5" thickBot="1" x14ac:dyDescent="0.3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0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4"/>
      <c r="AK46" s="79"/>
      <c r="AL46" s="80"/>
    </row>
    <row r="47" spans="1:39" ht="17.25" thickTop="1" thickBot="1" x14ac:dyDescent="0.3">
      <c r="A47" s="25"/>
      <c r="B47" s="69"/>
      <c r="C47" s="70">
        <f>SUM(C12:C43)</f>
        <v>0</v>
      </c>
      <c r="D47" s="70">
        <f>SUM(D12:D43)</f>
        <v>0</v>
      </c>
      <c r="E47" s="70">
        <f>SUM(E12:E43)</f>
        <v>120959.99999999913</v>
      </c>
      <c r="F47" s="70">
        <f>SUM(F12:F43)</f>
        <v>125287948.79999912</v>
      </c>
      <c r="G47" s="70">
        <f>SUM(G12:G43)</f>
        <v>23199.999999999818</v>
      </c>
      <c r="H47" s="70">
        <f t="shared" ref="H47:O47" si="20">SUM(H12:H43)</f>
        <v>36045143.999999717</v>
      </c>
      <c r="I47" s="70">
        <f t="shared" si="20"/>
        <v>161333092.79999885</v>
      </c>
      <c r="J47" s="70">
        <f t="shared" si="20"/>
        <v>2800.0000000001819</v>
      </c>
      <c r="K47" s="70">
        <f t="shared" si="20"/>
        <v>2900184.0000001877</v>
      </c>
      <c r="L47" s="70">
        <f t="shared" si="20"/>
        <v>519.99999999998181</v>
      </c>
      <c r="M47" s="70">
        <f t="shared" si="20"/>
        <v>807908.39999997173</v>
      </c>
      <c r="N47" s="70">
        <f t="shared" si="20"/>
        <v>3708092.400000161</v>
      </c>
      <c r="O47" s="70">
        <f t="shared" si="20"/>
        <v>165041185.19999894</v>
      </c>
      <c r="P47" s="82">
        <f>SUM(P12:P43)</f>
        <v>147479.9999999991</v>
      </c>
      <c r="Q47" s="191" t="e">
        <f>+#REF!</f>
        <v>#REF!</v>
      </c>
      <c r="R47" s="123" t="e">
        <f>+#REF!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79">
        <f>SUM(V12:V42)</f>
        <v>12809.77</v>
      </c>
      <c r="W47" s="52">
        <f>SUM(W12:W42)</f>
        <v>0</v>
      </c>
      <c r="X47" s="52">
        <f t="shared" ref="X47:Z47" si="21">SUM(X12:X42)</f>
        <v>0</v>
      </c>
      <c r="Y47" s="52">
        <f t="shared" si="21"/>
        <v>12809.77</v>
      </c>
      <c r="Z47" s="52">
        <f t="shared" si="21"/>
        <v>0</v>
      </c>
      <c r="AA47" s="136">
        <f>SUM(AA12:AA42)</f>
        <v>0</v>
      </c>
      <c r="AB47" s="124">
        <f>AA47/$AL$48</f>
        <v>0</v>
      </c>
      <c r="AC47" s="44">
        <f>SUM(AC12:AC41)</f>
        <v>0</v>
      </c>
      <c r="AD47" s="138">
        <f>SUM(AD12:AD41)</f>
        <v>0</v>
      </c>
      <c r="AE47" s="44">
        <f>SUM(AE12:AE42)</f>
        <v>0</v>
      </c>
      <c r="AF47" s="44">
        <f>SUM(AF12:AF42)</f>
        <v>12</v>
      </c>
      <c r="AG47" s="220">
        <f>SUM(AG12:AG42)</f>
        <v>12</v>
      </c>
      <c r="AH47" s="147">
        <f>SUM(AH12:AH43)</f>
        <v>139500</v>
      </c>
      <c r="AI47" s="148">
        <f>AH47/$AL$48</f>
        <v>10.750541958324888</v>
      </c>
      <c r="AJ47" s="219">
        <f>SUM(AJ12:AJ43)</f>
        <v>1375.8699999999862</v>
      </c>
      <c r="AK47" s="145">
        <f>SUM(AK12:AK43)</f>
        <v>10456611.999999896</v>
      </c>
      <c r="AL47" s="146">
        <f>AK47/AL48</f>
        <v>805.83688923241868</v>
      </c>
      <c r="AM47" s="25"/>
    </row>
    <row r="48" spans="1:39" x14ac:dyDescent="0.25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53</v>
      </c>
      <c r="U48" s="154" t="e">
        <f>U47/S47</f>
        <v>#REF!</v>
      </c>
      <c r="V48" s="196" t="s">
        <v>54</v>
      </c>
      <c r="W48" s="10"/>
      <c r="X48" s="10"/>
      <c r="Y48" s="139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49">
        <v>12976.09</v>
      </c>
      <c r="AM48" s="25"/>
    </row>
    <row r="49" spans="1:39" x14ac:dyDescent="0.25">
      <c r="A49" s="25"/>
      <c r="B49" s="25"/>
      <c r="C49" s="4"/>
      <c r="D49" s="10"/>
      <c r="E49" s="4"/>
      <c r="F49" s="4"/>
      <c r="G49" s="10"/>
      <c r="H49" s="4"/>
      <c r="I49" s="8"/>
      <c r="J49" s="8"/>
      <c r="K49" s="8"/>
      <c r="L49" s="15"/>
      <c r="M49" s="63"/>
      <c r="N49" s="67"/>
      <c r="O49" s="9"/>
      <c r="P49" s="67"/>
      <c r="Q49" s="9"/>
      <c r="R49" s="114"/>
      <c r="S49" s="13"/>
      <c r="T49" s="81"/>
      <c r="U49" s="154"/>
      <c r="V49" s="196"/>
      <c r="W49" s="10"/>
      <c r="X49" s="10"/>
      <c r="Y49" s="139"/>
      <c r="Z49" s="10"/>
      <c r="AA49" s="10">
        <v>0</v>
      </c>
      <c r="AB49" s="10"/>
      <c r="AC49" s="14"/>
      <c r="AD49" s="6"/>
      <c r="AE49" s="14"/>
      <c r="AF49" s="14"/>
      <c r="AG49" s="6"/>
      <c r="AH49" s="4"/>
      <c r="AI49" s="10"/>
      <c r="AJ49" s="88"/>
      <c r="AK49" s="10"/>
      <c r="AL49" s="149"/>
      <c r="AM49" s="25"/>
    </row>
    <row r="50" spans="1:39" s="199" customFormat="1" x14ac:dyDescent="0.25">
      <c r="A50" s="197"/>
      <c r="B50" s="197"/>
      <c r="C50" s="198"/>
      <c r="E50" s="198"/>
      <c r="F50" s="198"/>
      <c r="H50" s="198"/>
      <c r="L50" s="198"/>
      <c r="M50" s="200"/>
      <c r="N50" s="201"/>
      <c r="P50" s="201"/>
      <c r="R50" s="202"/>
      <c r="AD50" s="198"/>
      <c r="AH50" s="198"/>
      <c r="AJ50" s="202"/>
      <c r="AL50" s="203"/>
      <c r="AM50" s="197"/>
    </row>
    <row r="51" spans="1:39" s="199" customFormat="1" x14ac:dyDescent="0.25">
      <c r="A51" s="197"/>
      <c r="B51" s="197"/>
      <c r="C51" s="198"/>
      <c r="E51" s="198"/>
      <c r="F51" s="198"/>
      <c r="H51" s="198"/>
      <c r="L51" s="198"/>
      <c r="M51" s="200"/>
      <c r="N51" s="201"/>
      <c r="P51" s="201"/>
      <c r="R51" s="202"/>
      <c r="AD51" s="198"/>
      <c r="AH51" s="198"/>
      <c r="AJ51" s="202"/>
      <c r="AL51" s="203"/>
      <c r="AM51" s="197"/>
    </row>
    <row r="52" spans="1:39" s="199" customFormat="1" x14ac:dyDescent="0.25">
      <c r="A52" s="197"/>
      <c r="B52" s="197"/>
      <c r="C52" s="198"/>
      <c r="E52" s="198"/>
      <c r="F52" s="198"/>
      <c r="H52" s="198"/>
      <c r="L52" s="198"/>
      <c r="M52" s="200"/>
      <c r="N52" s="201"/>
      <c r="P52" s="201"/>
      <c r="R52" s="202"/>
      <c r="AD52" s="198"/>
      <c r="AH52" s="198"/>
      <c r="AJ52" s="202"/>
      <c r="AL52" s="203"/>
      <c r="AM52" s="197"/>
    </row>
    <row r="53" spans="1:39" s="199" customFormat="1" x14ac:dyDescent="0.25">
      <c r="A53" s="197"/>
      <c r="B53" s="197"/>
      <c r="C53" s="198"/>
      <c r="E53" s="198"/>
      <c r="F53" s="198"/>
      <c r="H53" s="198"/>
      <c r="L53" s="198"/>
      <c r="M53" s="200"/>
      <c r="N53" s="201"/>
      <c r="P53" s="201"/>
      <c r="R53" s="202"/>
      <c r="AD53" s="198"/>
      <c r="AH53" s="198"/>
      <c r="AJ53" s="202"/>
      <c r="AL53" s="203"/>
      <c r="AM53" s="197"/>
    </row>
    <row r="54" spans="1:39" s="199" customFormat="1" x14ac:dyDescent="0.25">
      <c r="A54" s="197"/>
      <c r="B54" s="197"/>
      <c r="C54" s="198"/>
      <c r="E54" s="198"/>
      <c r="F54" s="198"/>
      <c r="H54" s="198"/>
      <c r="L54" s="198"/>
      <c r="M54" s="200"/>
      <c r="N54" s="201"/>
      <c r="P54" s="201"/>
      <c r="R54" s="202"/>
      <c r="AD54" s="198"/>
      <c r="AH54" s="198"/>
      <c r="AJ54" s="202"/>
      <c r="AL54" s="203"/>
      <c r="AM54" s="197"/>
    </row>
    <row r="55" spans="1:39" s="199" customFormat="1" x14ac:dyDescent="0.25">
      <c r="A55" s="197"/>
      <c r="B55" s="197"/>
      <c r="C55" s="198"/>
      <c r="E55" s="198"/>
      <c r="F55" s="198"/>
      <c r="H55" s="198"/>
      <c r="L55" s="198"/>
      <c r="M55" s="200"/>
      <c r="N55" s="201"/>
      <c r="P55" s="201"/>
      <c r="R55" s="202"/>
      <c r="AD55" s="198"/>
      <c r="AH55" s="198"/>
      <c r="AJ55" s="202"/>
      <c r="AL55" s="203"/>
      <c r="AM55" s="197"/>
    </row>
    <row r="56" spans="1:39" s="199" customFormat="1" x14ac:dyDescent="0.25">
      <c r="A56" s="197"/>
      <c r="B56" s="197"/>
      <c r="C56" s="198"/>
      <c r="E56" s="198"/>
      <c r="F56" s="198"/>
      <c r="H56" s="198"/>
      <c r="L56" s="198"/>
      <c r="M56" s="200"/>
      <c r="N56" s="201"/>
      <c r="P56" s="201"/>
      <c r="R56" s="202"/>
      <c r="AD56" s="198"/>
      <c r="AH56" s="198"/>
      <c r="AJ56" s="202"/>
      <c r="AL56" s="203"/>
      <c r="AM56" s="197"/>
    </row>
    <row r="57" spans="1:39" s="199" customFormat="1" x14ac:dyDescent="0.25">
      <c r="A57" s="197"/>
      <c r="B57" s="197"/>
      <c r="C57" s="198"/>
      <c r="E57" s="198"/>
      <c r="F57" s="198"/>
      <c r="H57" s="198"/>
      <c r="L57" s="198"/>
      <c r="M57" s="200"/>
      <c r="N57" s="201"/>
      <c r="P57" s="201"/>
      <c r="R57" s="202"/>
      <c r="AD57" s="198"/>
      <c r="AH57" s="198"/>
      <c r="AJ57" s="202"/>
      <c r="AL57" s="203"/>
      <c r="AM57" s="197"/>
    </row>
    <row r="58" spans="1:39" s="199" customFormat="1" x14ac:dyDescent="0.25">
      <c r="A58" s="197"/>
      <c r="B58" s="197"/>
      <c r="C58" s="198"/>
      <c r="E58" s="198"/>
      <c r="F58" s="198"/>
      <c r="H58" s="198"/>
      <c r="L58" s="198"/>
      <c r="M58" s="200"/>
      <c r="N58" s="201"/>
      <c r="P58" s="201"/>
      <c r="R58" s="202"/>
      <c r="AD58" s="198"/>
      <c r="AH58" s="198"/>
      <c r="AJ58" s="202"/>
      <c r="AL58" s="203"/>
      <c r="AM58" s="197"/>
    </row>
    <row r="59" spans="1:39" s="199" customFormat="1" x14ac:dyDescent="0.25">
      <c r="A59" s="197"/>
      <c r="B59" s="197"/>
      <c r="C59" s="198"/>
      <c r="E59" s="198"/>
      <c r="F59" s="198"/>
      <c r="H59" s="198"/>
      <c r="L59" s="198"/>
      <c r="M59" s="200"/>
      <c r="N59" s="201"/>
      <c r="P59" s="201"/>
      <c r="R59" s="202"/>
      <c r="AD59" s="198"/>
      <c r="AH59" s="198"/>
      <c r="AJ59" s="202"/>
      <c r="AL59" s="203"/>
      <c r="AM59" s="197"/>
    </row>
    <row r="60" spans="1:39" s="199" customFormat="1" x14ac:dyDescent="0.25">
      <c r="A60" s="197"/>
      <c r="B60" s="197"/>
      <c r="C60" s="198"/>
      <c r="E60" s="198"/>
      <c r="F60" s="198"/>
      <c r="H60" s="198"/>
      <c r="L60" s="198"/>
      <c r="M60" s="200"/>
      <c r="N60" s="201"/>
      <c r="P60" s="201"/>
      <c r="R60" s="202"/>
      <c r="AD60" s="198"/>
      <c r="AH60" s="198"/>
      <c r="AJ60" s="202"/>
      <c r="AL60" s="203"/>
      <c r="AM60" s="197"/>
    </row>
    <row r="61" spans="1:39" s="199" customFormat="1" x14ac:dyDescent="0.25">
      <c r="A61" s="197"/>
      <c r="B61" s="197"/>
      <c r="C61" s="198"/>
      <c r="E61" s="198"/>
      <c r="F61" s="198"/>
      <c r="H61" s="198"/>
      <c r="L61" s="198"/>
      <c r="M61" s="200"/>
      <c r="N61" s="201"/>
      <c r="P61" s="201"/>
      <c r="R61" s="202"/>
      <c r="AD61" s="198"/>
      <c r="AH61" s="198"/>
      <c r="AJ61" s="202"/>
      <c r="AL61" s="203"/>
      <c r="AM61" s="197"/>
    </row>
    <row r="62" spans="1:39" s="199" customFormat="1" x14ac:dyDescent="0.25">
      <c r="A62" s="197"/>
      <c r="B62" s="197"/>
      <c r="C62" s="198"/>
      <c r="E62" s="198"/>
      <c r="F62" s="198"/>
      <c r="H62" s="198"/>
      <c r="L62" s="198"/>
      <c r="M62" s="200"/>
      <c r="N62" s="201"/>
      <c r="P62" s="201"/>
      <c r="R62" s="202"/>
      <c r="AD62" s="198"/>
      <c r="AH62" s="198"/>
      <c r="AJ62" s="202"/>
      <c r="AL62" s="203"/>
      <c r="AM62" s="197"/>
    </row>
  </sheetData>
  <mergeCells count="17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3" sqref="A3:A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6" t="s">
        <v>16</v>
      </c>
    </row>
    <row r="2" spans="1:3" ht="18.75" x14ac:dyDescent="0.3">
      <c r="A2" s="259">
        <v>43952</v>
      </c>
      <c r="B2" s="260"/>
      <c r="C2" s="260"/>
    </row>
    <row r="3" spans="1:3" x14ac:dyDescent="0.25">
      <c r="A3" s="262" t="s">
        <v>18</v>
      </c>
      <c r="B3" s="261" t="s">
        <v>19</v>
      </c>
      <c r="C3" s="261" t="s">
        <v>13</v>
      </c>
    </row>
    <row r="4" spans="1:3" x14ac:dyDescent="0.25">
      <c r="A4" s="262"/>
      <c r="B4" s="261"/>
      <c r="C4" s="261"/>
    </row>
    <row r="5" spans="1:3" x14ac:dyDescent="0.25">
      <c r="A5" s="262"/>
      <c r="B5" s="261"/>
      <c r="C5" s="261"/>
    </row>
    <row r="6" spans="1:3" x14ac:dyDescent="0.25">
      <c r="A6" s="1">
        <v>1</v>
      </c>
      <c r="B6" s="1"/>
      <c r="C6" s="1"/>
    </row>
    <row r="7" spans="1:3" x14ac:dyDescent="0.25">
      <c r="A7" s="1">
        <v>2</v>
      </c>
      <c r="B7" s="1"/>
      <c r="C7" s="1"/>
    </row>
    <row r="8" spans="1:3" x14ac:dyDescent="0.25">
      <c r="A8" s="1">
        <f>A7+1</f>
        <v>3</v>
      </c>
      <c r="B8" s="1"/>
      <c r="C8" s="1"/>
    </row>
    <row r="9" spans="1:3" x14ac:dyDescent="0.25">
      <c r="A9" s="1">
        <f>A8+1</f>
        <v>4</v>
      </c>
      <c r="B9" s="1"/>
      <c r="C9" s="1"/>
    </row>
    <row r="10" spans="1:3" x14ac:dyDescent="0.25">
      <c r="A10" s="1">
        <f t="shared" ref="A10:A36" si="0">A9+1</f>
        <v>5</v>
      </c>
      <c r="B10" s="1"/>
      <c r="C10" s="1"/>
    </row>
    <row r="11" spans="1:3" x14ac:dyDescent="0.25">
      <c r="A11" s="1">
        <f t="shared" si="0"/>
        <v>6</v>
      </c>
      <c r="B11" s="1"/>
      <c r="C11" s="1"/>
    </row>
    <row r="12" spans="1:3" x14ac:dyDescent="0.25">
      <c r="A12" s="1">
        <f t="shared" si="0"/>
        <v>7</v>
      </c>
      <c r="B12" s="1"/>
      <c r="C12" s="1"/>
    </row>
    <row r="13" spans="1:3" x14ac:dyDescent="0.25">
      <c r="A13" s="1">
        <f t="shared" si="0"/>
        <v>8</v>
      </c>
      <c r="B13" s="1"/>
      <c r="C13" s="1"/>
    </row>
    <row r="14" spans="1:3" x14ac:dyDescent="0.25">
      <c r="A14" s="1">
        <f t="shared" si="0"/>
        <v>9</v>
      </c>
      <c r="B14" s="1"/>
      <c r="C14" s="1"/>
    </row>
    <row r="15" spans="1:3" x14ac:dyDescent="0.25">
      <c r="A15" s="1">
        <f t="shared" si="0"/>
        <v>10</v>
      </c>
      <c r="B15" s="1"/>
      <c r="C15" s="1"/>
    </row>
    <row r="16" spans="1:3" x14ac:dyDescent="0.25">
      <c r="A16" s="1">
        <f t="shared" si="0"/>
        <v>11</v>
      </c>
      <c r="B16" s="1"/>
      <c r="C16" s="1"/>
    </row>
    <row r="17" spans="1:3" x14ac:dyDescent="0.25">
      <c r="A17" s="1">
        <f t="shared" si="0"/>
        <v>12</v>
      </c>
      <c r="B17" s="1"/>
      <c r="C17" s="1"/>
    </row>
    <row r="18" spans="1:3" x14ac:dyDescent="0.25">
      <c r="A18" s="1">
        <f t="shared" si="0"/>
        <v>13</v>
      </c>
      <c r="B18" s="1"/>
      <c r="C18" s="1"/>
    </row>
    <row r="19" spans="1:3" x14ac:dyDescent="0.25">
      <c r="A19" s="1">
        <f t="shared" si="0"/>
        <v>14</v>
      </c>
      <c r="B19" s="1"/>
      <c r="C19" s="1"/>
    </row>
    <row r="20" spans="1:3" x14ac:dyDescent="0.25">
      <c r="A20" s="1">
        <f t="shared" si="0"/>
        <v>15</v>
      </c>
      <c r="B20" s="1"/>
      <c r="C20" s="1"/>
    </row>
    <row r="21" spans="1:3" x14ac:dyDescent="0.25">
      <c r="A21" s="1">
        <f t="shared" si="0"/>
        <v>16</v>
      </c>
      <c r="B21" s="1"/>
      <c r="C21" s="1"/>
    </row>
    <row r="22" spans="1:3" x14ac:dyDescent="0.25">
      <c r="A22" s="1">
        <f t="shared" si="0"/>
        <v>17</v>
      </c>
      <c r="B22" s="1"/>
      <c r="C22" s="1"/>
    </row>
    <row r="23" spans="1:3" x14ac:dyDescent="0.25">
      <c r="A23" s="1">
        <f t="shared" si="0"/>
        <v>18</v>
      </c>
      <c r="B23" s="1"/>
      <c r="C23" s="1"/>
    </row>
    <row r="24" spans="1:3" x14ac:dyDescent="0.25">
      <c r="A24" s="1">
        <f t="shared" si="0"/>
        <v>19</v>
      </c>
      <c r="B24" s="1"/>
      <c r="C24" s="1"/>
    </row>
    <row r="25" spans="1:3" x14ac:dyDescent="0.25">
      <c r="A25" s="1">
        <f t="shared" si="0"/>
        <v>20</v>
      </c>
      <c r="B25" s="1"/>
      <c r="C25" s="1"/>
    </row>
    <row r="26" spans="1:3" x14ac:dyDescent="0.25">
      <c r="A26" s="1">
        <f t="shared" si="0"/>
        <v>21</v>
      </c>
      <c r="B26" s="1"/>
      <c r="C26" s="1"/>
    </row>
    <row r="27" spans="1:3" x14ac:dyDescent="0.25">
      <c r="A27" s="1">
        <f t="shared" si="0"/>
        <v>22</v>
      </c>
      <c r="B27" s="1"/>
      <c r="C27" s="1"/>
    </row>
    <row r="28" spans="1:3" x14ac:dyDescent="0.25">
      <c r="A28" s="1">
        <f t="shared" si="0"/>
        <v>23</v>
      </c>
      <c r="B28" s="1"/>
      <c r="C28" s="1"/>
    </row>
    <row r="29" spans="1:3" x14ac:dyDescent="0.25">
      <c r="A29" s="1">
        <f t="shared" si="0"/>
        <v>24</v>
      </c>
      <c r="B29" s="1"/>
      <c r="C29" s="1"/>
    </row>
    <row r="30" spans="1:3" x14ac:dyDescent="0.25">
      <c r="A30" s="1">
        <f t="shared" si="0"/>
        <v>25</v>
      </c>
      <c r="B30" s="1"/>
      <c r="C30" s="1"/>
    </row>
    <row r="31" spans="1:3" x14ac:dyDescent="0.25">
      <c r="A31" s="1">
        <f t="shared" si="0"/>
        <v>26</v>
      </c>
      <c r="B31" s="1"/>
      <c r="C31" s="1"/>
    </row>
    <row r="32" spans="1:3" x14ac:dyDescent="0.25">
      <c r="A32" s="1">
        <f t="shared" si="0"/>
        <v>27</v>
      </c>
      <c r="B32" s="1"/>
      <c r="C32" s="1"/>
    </row>
    <row r="33" spans="1:3" x14ac:dyDescent="0.25">
      <c r="A33" s="1">
        <f t="shared" si="0"/>
        <v>28</v>
      </c>
      <c r="B33" s="1"/>
      <c r="C33" s="1"/>
    </row>
    <row r="34" spans="1:3" x14ac:dyDescent="0.25">
      <c r="A34" s="1">
        <f t="shared" si="0"/>
        <v>29</v>
      </c>
      <c r="B34" s="1"/>
      <c r="C34" s="1"/>
    </row>
    <row r="35" spans="1:3" x14ac:dyDescent="0.25">
      <c r="A35" s="1">
        <f t="shared" si="0"/>
        <v>30</v>
      </c>
      <c r="B35" s="1"/>
      <c r="C35" s="1"/>
    </row>
    <row r="36" spans="1:3" x14ac:dyDescent="0.25">
      <c r="A36" s="1">
        <f t="shared" si="0"/>
        <v>31</v>
      </c>
      <c r="B36" s="1"/>
      <c r="C36" s="1"/>
    </row>
    <row r="38" spans="1:3" x14ac:dyDescent="0.25">
      <c r="B38" s="5">
        <f>SUM(B6:B36)</f>
        <v>0</v>
      </c>
      <c r="C38" s="5">
        <f>SUM(C6:C36)</f>
        <v>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FC67DA-334C-4BF5-B335-4E15284BF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a2b08d59-ce98-408b-b7f1-7ea559ce0d50"/>
    <ds:schemaRef ds:uri="http://purl.org/dc/terms/"/>
    <ds:schemaRef ds:uri="http://schemas.microsoft.com/office/2006/metadata/properties"/>
    <ds:schemaRef ds:uri="2e11796f-5f26-4c51-a1e5-22e0f1616a71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May 2020</vt:lpstr>
      <vt:lpstr>RNs &amp; Covers May 2020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2022-06-06T12:43:17Z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