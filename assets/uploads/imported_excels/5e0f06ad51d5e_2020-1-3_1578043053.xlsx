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8415" yWindow="510" windowWidth="12375" windowHeight="11760" tabRatio="589" firstSheet="2" activeTab="14"/>
  </bookViews>
  <sheets>
    <sheet name="Total" sheetId="81" r:id="rId1"/>
    <sheet name="Submetering" sheetId="82" r:id="rId2"/>
    <sheet name="ELEC" sheetId="2" r:id="rId3"/>
    <sheet name="B5" sheetId="1" r:id="rId4"/>
    <sheet name="GEN" sheetId="3" r:id="rId5"/>
    <sheet name="WATER" sheetId="5" r:id="rId6"/>
    <sheet name="graphic" sheetId="4" r:id="rId7"/>
    <sheet name="General information " sheetId="73" r:id="rId8"/>
    <sheet name="tanks" sheetId="7" r:id="rId9"/>
    <sheet name="EDl log" sheetId="76" r:id="rId10"/>
    <sheet name="Degree Days 2018" sheetId="74" r:id="rId11"/>
    <sheet name="Sheet1" sheetId="63" state="hidden" r:id="rId12"/>
    <sheet name="Report" sheetId="65" state="hidden" r:id="rId13"/>
    <sheet name="Sheet5" sheetId="75" state="hidden" r:id="rId14"/>
    <sheet name="Utility Cost " sheetId="77" r:id="rId15"/>
    <sheet name="MDB" sheetId="78" r:id="rId16"/>
    <sheet name="Swimming Pool quality check " sheetId="79" r:id="rId17"/>
    <sheet name="Sheet2" sheetId="83" state="hidden" r:id="rId18"/>
    <sheet name="Sheet6" sheetId="84" r:id="rId19"/>
    <sheet name="Sheet7" sheetId="85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xlnm.Print_Area" localSheetId="10">'Degree Days 2018'!$A$38:$AJ$92</definedName>
    <definedName name="_xlnm.Print_Area" localSheetId="5">WATER!$A$3:$C$37</definedName>
  </definedNames>
  <calcPr calcId="125725"/>
</workbook>
</file>

<file path=xl/calcChain.xml><?xml version="1.0" encoding="utf-8"?>
<calcChain xmlns="http://schemas.openxmlformats.org/spreadsheetml/2006/main">
  <c r="AS23" i="7"/>
  <c r="AS36"/>
  <c r="AS35"/>
  <c r="AS34"/>
  <c r="AS33"/>
  <c r="AS32"/>
  <c r="AS31"/>
  <c r="AS30"/>
  <c r="AS29"/>
  <c r="AS28"/>
  <c r="AS27"/>
  <c r="AS26"/>
  <c r="AS25"/>
  <c r="AS24"/>
  <c r="AS22"/>
  <c r="AS21"/>
  <c r="AS20"/>
  <c r="AK33" i="3"/>
  <c r="AJ33"/>
  <c r="AI33" s="1"/>
  <c r="X35" i="1"/>
  <c r="B38" i="5"/>
  <c r="B37"/>
  <c r="AR35" i="7"/>
  <c r="H36" i="79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AF31" i="1"/>
  <c r="O30" i="79"/>
  <c r="P30" i="3"/>
  <c r="P31" s="1"/>
  <c r="P32" s="1"/>
  <c r="P33" s="1"/>
  <c r="P29"/>
  <c r="U22" i="2"/>
  <c r="B17" i="5"/>
  <c r="T16"/>
  <c r="AG16"/>
  <c r="AG15"/>
  <c r="AG14"/>
  <c r="AM6"/>
  <c r="AM7"/>
  <c r="AM8"/>
  <c r="AM9"/>
  <c r="AM10"/>
  <c r="AM11"/>
  <c r="AM12"/>
  <c r="AM13"/>
  <c r="AM14"/>
  <c r="AM15"/>
  <c r="AM16"/>
  <c r="AM17"/>
  <c r="AE16" i="1"/>
  <c r="Z16"/>
  <c r="K14" i="5"/>
  <c r="K13"/>
  <c r="K12"/>
  <c r="K11"/>
  <c r="K10"/>
  <c r="K9"/>
  <c r="K8"/>
  <c r="K7"/>
  <c r="K16"/>
  <c r="K15"/>
  <c r="H6" i="79"/>
  <c r="M14" i="1"/>
  <c r="D18" i="77"/>
  <c r="D17"/>
  <c r="D16"/>
  <c r="D15"/>
  <c r="D14"/>
  <c r="AB19" i="74"/>
  <c r="AB18"/>
  <c r="AB17"/>
  <c r="AB16"/>
  <c r="AB15"/>
  <c r="AB14"/>
  <c r="AB13"/>
  <c r="AB12"/>
  <c r="AB11"/>
  <c r="AB10"/>
  <c r="AA19"/>
  <c r="AA18"/>
  <c r="AA17"/>
  <c r="AA16"/>
  <c r="AA15"/>
  <c r="AA14"/>
  <c r="AA13"/>
  <c r="AA12"/>
  <c r="AA11"/>
  <c r="AA10"/>
  <c r="C78"/>
  <c r="B78"/>
  <c r="C77"/>
  <c r="B77"/>
  <c r="C76"/>
  <c r="B76"/>
  <c r="C75"/>
  <c r="B75"/>
  <c r="C74"/>
  <c r="B74"/>
  <c r="C73"/>
  <c r="B73"/>
  <c r="C72"/>
  <c r="B72"/>
  <c r="C71"/>
  <c r="B71"/>
  <c r="C70"/>
  <c r="B70"/>
  <c r="C69"/>
  <c r="B69"/>
  <c r="C68"/>
  <c r="B68"/>
  <c r="C67"/>
  <c r="B67"/>
  <c r="C66"/>
  <c r="B66"/>
  <c r="C65"/>
  <c r="B65"/>
  <c r="C64"/>
  <c r="B64"/>
  <c r="C63"/>
  <c r="B63"/>
  <c r="C62"/>
  <c r="B62"/>
  <c r="C61"/>
  <c r="B61"/>
  <c r="C60"/>
  <c r="B60"/>
  <c r="C59"/>
  <c r="B59"/>
  <c r="C58"/>
  <c r="B58"/>
  <c r="C57"/>
  <c r="B57"/>
  <c r="C56"/>
  <c r="B56"/>
  <c r="C55"/>
  <c r="B55"/>
  <c r="C54"/>
  <c r="B54"/>
  <c r="C53"/>
  <c r="B53"/>
  <c r="C52"/>
  <c r="B52"/>
  <c r="C51"/>
  <c r="B51"/>
  <c r="C50"/>
  <c r="B50"/>
  <c r="C49"/>
  <c r="B49"/>
  <c r="C48"/>
  <c r="B48"/>
  <c r="X40"/>
  <c r="W40"/>
  <c r="V40"/>
  <c r="U40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X39"/>
  <c r="W39"/>
  <c r="V39"/>
  <c r="U39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X38"/>
  <c r="W38"/>
  <c r="V38"/>
  <c r="U38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X37"/>
  <c r="W37"/>
  <c r="V37"/>
  <c r="U37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X36"/>
  <c r="W36"/>
  <c r="V36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X35"/>
  <c r="W35"/>
  <c r="V35"/>
  <c r="U35"/>
  <c r="T35"/>
  <c r="S35"/>
  <c r="R35"/>
  <c r="Q35"/>
  <c r="P35"/>
  <c r="O35"/>
  <c r="N35"/>
  <c r="M35"/>
  <c r="L35"/>
  <c r="K35"/>
  <c r="J35"/>
  <c r="I35"/>
  <c r="H35"/>
  <c r="G35"/>
  <c r="F35"/>
  <c r="E35"/>
  <c r="D35"/>
  <c r="C35"/>
  <c r="X34"/>
  <c r="W34"/>
  <c r="V34"/>
  <c r="U34"/>
  <c r="T34"/>
  <c r="S34"/>
  <c r="R34"/>
  <c r="Q34"/>
  <c r="P34"/>
  <c r="O34"/>
  <c r="N34"/>
  <c r="M34"/>
  <c r="L34"/>
  <c r="K34"/>
  <c r="J34"/>
  <c r="I34"/>
  <c r="H34"/>
  <c r="G34"/>
  <c r="F34"/>
  <c r="E34"/>
  <c r="D34"/>
  <c r="C34"/>
  <c r="X33"/>
  <c r="W33"/>
  <c r="V33"/>
  <c r="U33"/>
  <c r="T33"/>
  <c r="S33"/>
  <c r="R33"/>
  <c r="Q33"/>
  <c r="P33"/>
  <c r="O33"/>
  <c r="N33"/>
  <c r="M33"/>
  <c r="L33"/>
  <c r="K33"/>
  <c r="J33"/>
  <c r="I33"/>
  <c r="H33"/>
  <c r="G33"/>
  <c r="F33"/>
  <c r="E33"/>
  <c r="D33"/>
  <c r="C33"/>
  <c r="X32"/>
  <c r="W32"/>
  <c r="V32"/>
  <c r="U32"/>
  <c r="T32"/>
  <c r="S32"/>
  <c r="R32"/>
  <c r="Q32"/>
  <c r="P32"/>
  <c r="O32"/>
  <c r="N32"/>
  <c r="M32"/>
  <c r="L32"/>
  <c r="K32"/>
  <c r="J32"/>
  <c r="I32"/>
  <c r="H32"/>
  <c r="G32"/>
  <c r="F32"/>
  <c r="E32"/>
  <c r="D32"/>
  <c r="C32"/>
  <c r="X31"/>
  <c r="W31"/>
  <c r="V31"/>
  <c r="U31"/>
  <c r="T31"/>
  <c r="S31"/>
  <c r="R31"/>
  <c r="Q31"/>
  <c r="P31"/>
  <c r="O31"/>
  <c r="N31"/>
  <c r="M31"/>
  <c r="L31"/>
  <c r="K31"/>
  <c r="J31"/>
  <c r="I31"/>
  <c r="H31"/>
  <c r="G31"/>
  <c r="F31"/>
  <c r="E31"/>
  <c r="D31"/>
  <c r="C31"/>
  <c r="X30"/>
  <c r="W30"/>
  <c r="V30"/>
  <c r="U30"/>
  <c r="T30"/>
  <c r="S30"/>
  <c r="R30"/>
  <c r="Q30"/>
  <c r="P30"/>
  <c r="O30"/>
  <c r="N30"/>
  <c r="M30"/>
  <c r="L30"/>
  <c r="K30"/>
  <c r="J30"/>
  <c r="I30"/>
  <c r="H30"/>
  <c r="G30"/>
  <c r="F30"/>
  <c r="E30"/>
  <c r="D30"/>
  <c r="C30"/>
  <c r="X29"/>
  <c r="W29"/>
  <c r="V29"/>
  <c r="U29"/>
  <c r="T29"/>
  <c r="S29"/>
  <c r="R29"/>
  <c r="Q29"/>
  <c r="P29"/>
  <c r="O29"/>
  <c r="N29"/>
  <c r="M29"/>
  <c r="L29"/>
  <c r="K29"/>
  <c r="J29"/>
  <c r="I29"/>
  <c r="H29"/>
  <c r="G29"/>
  <c r="F29"/>
  <c r="E29"/>
  <c r="D29"/>
  <c r="C29"/>
  <c r="X28"/>
  <c r="W28"/>
  <c r="V28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C28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K18" i="5" l="1"/>
  <c r="K17"/>
  <c r="L6" i="3"/>
  <c r="K19" i="5" l="1"/>
  <c r="L5" i="79"/>
  <c r="J5"/>
  <c r="I5"/>
  <c r="K20" i="5" l="1"/>
  <c r="AR6" i="1"/>
  <c r="E5" i="5"/>
  <c r="F5"/>
  <c r="G5"/>
  <c r="AE6" i="1"/>
  <c r="I10" i="77"/>
  <c r="I9"/>
  <c r="I8"/>
  <c r="I7"/>
  <c r="J6"/>
  <c r="X16" i="76"/>
  <c r="X15"/>
  <c r="X14"/>
  <c r="W17"/>
  <c r="W16"/>
  <c r="W15"/>
  <c r="W14"/>
  <c r="W13"/>
  <c r="Y16"/>
  <c r="Y15"/>
  <c r="Y14"/>
  <c r="Y13"/>
  <c r="Y12"/>
  <c r="AA10"/>
  <c r="AA9"/>
  <c r="AA11"/>
  <c r="AA12"/>
  <c r="AB19"/>
  <c r="AB18"/>
  <c r="AB13"/>
  <c r="AB14"/>
  <c r="AC14"/>
  <c r="AC13"/>
  <c r="AC15"/>
  <c r="AD11"/>
  <c r="AD10"/>
  <c r="AD9"/>
  <c r="AC11"/>
  <c r="AC10"/>
  <c r="AC9"/>
  <c r="AB11"/>
  <c r="AB10"/>
  <c r="AB9"/>
  <c r="Z11"/>
  <c r="Z10"/>
  <c r="Z9"/>
  <c r="Y11"/>
  <c r="Y10"/>
  <c r="Y9"/>
  <c r="W11"/>
  <c r="W10"/>
  <c r="W9"/>
  <c r="V11"/>
  <c r="V10"/>
  <c r="V9"/>
  <c r="K21" i="5" l="1"/>
  <c r="T18" i="3"/>
  <c r="T22" s="1"/>
  <c r="T24" s="1"/>
  <c r="T26" s="1"/>
  <c r="T27" s="1"/>
  <c r="T30" s="1"/>
  <c r="T32" s="1"/>
  <c r="L8"/>
  <c r="L9" s="1"/>
  <c r="L10" s="1"/>
  <c r="L16" s="1"/>
  <c r="L18" s="1"/>
  <c r="L22" s="1"/>
  <c r="L24" s="1"/>
  <c r="J8"/>
  <c r="J16" s="1"/>
  <c r="J24" s="1"/>
  <c r="B30"/>
  <c r="B32" s="1"/>
  <c r="AT21" i="5"/>
  <c r="AT37" s="1"/>
  <c r="AE13"/>
  <c r="AE14" s="1"/>
  <c r="AE15" s="1"/>
  <c r="AE21" s="1"/>
  <c r="AE26" s="1"/>
  <c r="X33"/>
  <c r="V12"/>
  <c r="V16" s="1"/>
  <c r="V26" s="1"/>
  <c r="G11"/>
  <c r="G13" s="1"/>
  <c r="G16" s="1"/>
  <c r="G25" s="1"/>
  <c r="G29" s="1"/>
  <c r="B11"/>
  <c r="B16" s="1"/>
  <c r="B19" s="1"/>
  <c r="B21" s="1"/>
  <c r="B26" s="1"/>
  <c r="B29" s="1"/>
  <c r="B35" s="1"/>
  <c r="AR10" i="1"/>
  <c r="AR12" s="1"/>
  <c r="AR20" s="1"/>
  <c r="AP12"/>
  <c r="AP20" s="1"/>
  <c r="AN10"/>
  <c r="AN12" s="1"/>
  <c r="AN20" s="1"/>
  <c r="AN25" s="1"/>
  <c r="AE10"/>
  <c r="AE11" s="1"/>
  <c r="AE12" s="1"/>
  <c r="AE18" s="1"/>
  <c r="AE20" s="1"/>
  <c r="AE25" s="1"/>
  <c r="AE28" s="1"/>
  <c r="AE31" s="1"/>
  <c r="AC10"/>
  <c r="AC11" s="1"/>
  <c r="AC12" s="1"/>
  <c r="AC18" s="1"/>
  <c r="AC20" s="1"/>
  <c r="AC25" s="1"/>
  <c r="AC28" s="1"/>
  <c r="AC31" s="1"/>
  <c r="Z9"/>
  <c r="Z12" s="1"/>
  <c r="Z20" s="1"/>
  <c r="Z25" s="1"/>
  <c r="Z34" s="1"/>
  <c r="Z35" s="1"/>
  <c r="X12"/>
  <c r="X20" s="1"/>
  <c r="X25" s="1"/>
  <c r="X34" s="1"/>
  <c r="Q18"/>
  <c r="Q25" s="1"/>
  <c r="Q28" s="1"/>
  <c r="Q31" s="1"/>
  <c r="Q34" s="1"/>
  <c r="Q35" s="1"/>
  <c r="P18"/>
  <c r="P25" s="1"/>
  <c r="P28" s="1"/>
  <c r="P34" s="1"/>
  <c r="P35" s="1"/>
  <c r="K20"/>
  <c r="K25" s="1"/>
  <c r="K28" s="1"/>
  <c r="H10"/>
  <c r="H31" s="1"/>
  <c r="H34" s="1"/>
  <c r="H35" s="1"/>
  <c r="F10"/>
  <c r="F31" s="1"/>
  <c r="F34" s="1"/>
  <c r="F35" s="1"/>
  <c r="AC9" i="2"/>
  <c r="AC10" s="1"/>
  <c r="AC26" s="1"/>
  <c r="AC29" s="1"/>
  <c r="AA9"/>
  <c r="AA10" s="1"/>
  <c r="AA26" s="1"/>
  <c r="AA29" s="1"/>
  <c r="AA33" s="1"/>
  <c r="Y10"/>
  <c r="Y14" s="1"/>
  <c r="Y15" s="1"/>
  <c r="Y16" s="1"/>
  <c r="Y17" s="1"/>
  <c r="Y18" s="1"/>
  <c r="Y26" s="1"/>
  <c r="Y29" s="1"/>
  <c r="Y32" s="1"/>
  <c r="W10"/>
  <c r="W14" s="1"/>
  <c r="W15" s="1"/>
  <c r="W16" s="1"/>
  <c r="W17" s="1"/>
  <c r="W18" s="1"/>
  <c r="W26" s="1"/>
  <c r="U8"/>
  <c r="U12" s="1"/>
  <c r="U33" s="1"/>
  <c r="S8"/>
  <c r="S33" s="1"/>
  <c r="T3" i="76"/>
  <c r="S3"/>
  <c r="R3"/>
  <c r="Q3"/>
  <c r="P3"/>
  <c r="O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D3" s="1"/>
  <c r="D30" s="1"/>
  <c r="D32" s="1"/>
  <c r="C2"/>
  <c r="B2"/>
  <c r="A2"/>
  <c r="O5" i="73"/>
  <c r="N5"/>
  <c r="M5"/>
  <c r="L5"/>
  <c r="K5"/>
  <c r="J5"/>
  <c r="I5"/>
  <c r="H5"/>
  <c r="G5"/>
  <c r="F5"/>
  <c r="E5"/>
  <c r="D5"/>
  <c r="C5"/>
  <c r="B5"/>
  <c r="A5"/>
  <c r="BG5" i="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C6" s="1"/>
  <c r="AC7" s="1"/>
  <c r="AC8" s="1"/>
  <c r="AC9" s="1"/>
  <c r="AC10" s="1"/>
  <c r="AC11" s="1"/>
  <c r="AC12" s="1"/>
  <c r="AC13" s="1"/>
  <c r="AC14" s="1"/>
  <c r="AC15" s="1"/>
  <c r="AC16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5"/>
  <c r="AB6" s="1"/>
  <c r="AB7" s="1"/>
  <c r="AB8" s="1"/>
  <c r="AB9" s="1"/>
  <c r="AB10" s="1"/>
  <c r="AB12" s="1"/>
  <c r="AB13" s="1"/>
  <c r="AB14" s="1"/>
  <c r="AB15" s="1"/>
  <c r="AB16" s="1"/>
  <c r="AB18" s="1"/>
  <c r="AB19" s="1"/>
  <c r="AB20" s="1"/>
  <c r="AB21" s="1"/>
  <c r="AB22" s="1"/>
  <c r="AB23" s="1"/>
  <c r="AB24" s="1"/>
  <c r="AB25" s="1"/>
  <c r="AB26" s="1"/>
  <c r="AB27" s="1"/>
  <c r="AB28" s="1"/>
  <c r="AB30" s="1"/>
  <c r="AB31" s="1"/>
  <c r="AB32" s="1"/>
  <c r="AB33" s="1"/>
  <c r="AB34" s="1"/>
  <c r="AB35" s="1"/>
  <c r="AB36" s="1"/>
  <c r="AA5"/>
  <c r="Z5"/>
  <c r="Y5"/>
  <c r="X5"/>
  <c r="W5"/>
  <c r="V5"/>
  <c r="U5"/>
  <c r="T5"/>
  <c r="S5"/>
  <c r="R5"/>
  <c r="Q5"/>
  <c r="P5"/>
  <c r="O5"/>
  <c r="O6" s="1"/>
  <c r="O7" s="1"/>
  <c r="N5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L5"/>
  <c r="J5"/>
  <c r="I5"/>
  <c r="H5"/>
  <c r="D5"/>
  <c r="C5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AX4" i="1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K22" i="5" l="1"/>
  <c r="R10" i="3"/>
  <c r="R24" s="1"/>
  <c r="R26" s="1"/>
  <c r="R30" s="1"/>
  <c r="R32" s="1"/>
  <c r="O8" i="5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M11" i="1"/>
  <c r="M20" s="1"/>
  <c r="M25" s="1"/>
  <c r="M28" s="1"/>
  <c r="N7"/>
  <c r="AV6" i="7"/>
  <c r="B32" i="82"/>
  <c r="B32" i="81"/>
  <c r="AC12" i="76"/>
  <c r="AC16"/>
  <c r="AC17"/>
  <c r="AC18"/>
  <c r="AC19"/>
  <c r="AB12"/>
  <c r="AB15"/>
  <c r="AB16"/>
  <c r="AB17"/>
  <c r="AA17"/>
  <c r="V27"/>
  <c r="V28"/>
  <c r="W12"/>
  <c r="V26"/>
  <c r="V12"/>
  <c r="K23" i="5" l="1"/>
  <c r="W26" i="76"/>
  <c r="W27"/>
  <c r="W28"/>
  <c r="AS37" i="7"/>
  <c r="AU37" s="1"/>
  <c r="B6"/>
  <c r="F38" i="5"/>
  <c r="F39"/>
  <c r="F37"/>
  <c r="B39"/>
  <c r="AH7"/>
  <c r="AH6"/>
  <c r="AH36"/>
  <c r="AF6"/>
  <c r="AC33" i="2"/>
  <c r="K24" i="5" l="1"/>
  <c r="AI6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D7"/>
  <c r="D8"/>
  <c r="D9"/>
  <c r="D10"/>
  <c r="D11"/>
  <c r="D12"/>
  <c r="D13"/>
  <c r="D14"/>
  <c r="D15"/>
  <c r="D16"/>
  <c r="D17"/>
  <c r="D18"/>
  <c r="AM18" i="5" s="1"/>
  <c r="D19" i="73"/>
  <c r="AM19" i="5" s="1"/>
  <c r="D20" i="73"/>
  <c r="AM20" i="5" s="1"/>
  <c r="D21" i="73"/>
  <c r="AM21" i="5" s="1"/>
  <c r="D22" i="73"/>
  <c r="AM22" i="5" s="1"/>
  <c r="D23" i="73"/>
  <c r="D24"/>
  <c r="D25"/>
  <c r="D26"/>
  <c r="D27"/>
  <c r="D28"/>
  <c r="D29"/>
  <c r="D30"/>
  <c r="D31"/>
  <c r="D32"/>
  <c r="D33"/>
  <c r="D34"/>
  <c r="D35"/>
  <c r="D36"/>
  <c r="S49" i="74"/>
  <c r="S50"/>
  <c r="S51"/>
  <c r="S52"/>
  <c r="S53"/>
  <c r="S54"/>
  <c r="S55"/>
  <c r="S56"/>
  <c r="S57"/>
  <c r="S58"/>
  <c r="S59"/>
  <c r="S60"/>
  <c r="S61"/>
  <c r="S62"/>
  <c r="S63"/>
  <c r="S64"/>
  <c r="S65"/>
  <c r="S66"/>
  <c r="S67"/>
  <c r="S68"/>
  <c r="S69"/>
  <c r="S70"/>
  <c r="S71"/>
  <c r="S72"/>
  <c r="S73"/>
  <c r="S74"/>
  <c r="S75"/>
  <c r="S76"/>
  <c r="S77"/>
  <c r="S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48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" i="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K25" i="5" l="1"/>
  <c r="AI25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G7" s="1"/>
  <c r="E16" i="77"/>
  <c r="E15"/>
  <c r="E14"/>
  <c r="O78" i="74"/>
  <c r="N78"/>
  <c r="O77"/>
  <c r="N77"/>
  <c r="O76"/>
  <c r="N76"/>
  <c r="O75"/>
  <c r="N75"/>
  <c r="O74"/>
  <c r="N74"/>
  <c r="O73"/>
  <c r="N73"/>
  <c r="O72"/>
  <c r="P72" s="1"/>
  <c r="N72"/>
  <c r="O71"/>
  <c r="N71"/>
  <c r="O70"/>
  <c r="N70"/>
  <c r="O69"/>
  <c r="N69"/>
  <c r="O68"/>
  <c r="N68"/>
  <c r="O67"/>
  <c r="N67"/>
  <c r="O66"/>
  <c r="N66"/>
  <c r="O65"/>
  <c r="N65"/>
  <c r="O64"/>
  <c r="N64"/>
  <c r="O63"/>
  <c r="N63"/>
  <c r="O62"/>
  <c r="N62"/>
  <c r="O61"/>
  <c r="N61"/>
  <c r="O60"/>
  <c r="N60"/>
  <c r="O59"/>
  <c r="N59"/>
  <c r="O58"/>
  <c r="N58"/>
  <c r="O57"/>
  <c r="N57"/>
  <c r="O56"/>
  <c r="N56"/>
  <c r="O55"/>
  <c r="N55"/>
  <c r="O54"/>
  <c r="N54"/>
  <c r="O53"/>
  <c r="N53"/>
  <c r="O52"/>
  <c r="N52"/>
  <c r="O51"/>
  <c r="N51"/>
  <c r="O50"/>
  <c r="N50"/>
  <c r="O49"/>
  <c r="N49"/>
  <c r="O48"/>
  <c r="N48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AB21"/>
  <c r="AA21"/>
  <c r="V13" i="76"/>
  <c r="V14"/>
  <c r="V15"/>
  <c r="V16"/>
  <c r="AC28"/>
  <c r="AC27"/>
  <c r="X11"/>
  <c r="X10"/>
  <c r="X9"/>
  <c r="I4"/>
  <c r="M4" s="1"/>
  <c r="C4"/>
  <c r="X3" i="3"/>
  <c r="U3"/>
  <c r="S3"/>
  <c r="P3"/>
  <c r="M3"/>
  <c r="H3"/>
  <c r="I3" s="1"/>
  <c r="E3"/>
  <c r="G5" i="65"/>
  <c r="AS6" i="5"/>
  <c r="AD7"/>
  <c r="AJ6"/>
  <c r="Y6"/>
  <c r="J2" i="82" s="1"/>
  <c r="W6" i="5"/>
  <c r="U6"/>
  <c r="G2" i="63"/>
  <c r="H6" i="5"/>
  <c r="AX5" i="1"/>
  <c r="D5" i="75"/>
  <c r="E5" s="1"/>
  <c r="AD5" i="1"/>
  <c r="AG5" s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I13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W30" i="76" s="1"/>
  <c r="BB18" i="7"/>
  <c r="J9" i="63"/>
  <c r="K9" i="73"/>
  <c r="G9"/>
  <c r="X13" i="76"/>
  <c r="C6"/>
  <c r="K4"/>
  <c r="N4" s="1"/>
  <c r="K3" i="3"/>
  <c r="C6" i="5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C8" i="77" s="1"/>
  <c r="J11" i="63"/>
  <c r="E7" i="77"/>
  <c r="P34" i="3"/>
  <c r="F2" i="63"/>
  <c r="BB36" i="7"/>
  <c r="O8" i="79"/>
  <c r="O9"/>
  <c r="O10"/>
  <c r="O11"/>
  <c r="O12"/>
  <c r="O13"/>
  <c r="O14"/>
  <c r="A36"/>
  <c r="L36" s="1"/>
  <c r="AK38" i="5"/>
  <c r="AU6"/>
  <c r="AZ6" s="1"/>
  <c r="BC6" s="1"/>
  <c r="A36"/>
  <c r="AR36" s="1"/>
  <c r="AN36"/>
  <c r="AP36"/>
  <c r="AV36" i="1"/>
  <c r="AV39" s="1"/>
  <c r="AM36" i="5"/>
  <c r="A33" i="2"/>
  <c r="AZ36" i="7" s="1"/>
  <c r="BA6" i="5"/>
  <c r="BA7"/>
  <c r="BA8"/>
  <c r="BA9"/>
  <c r="BA10"/>
  <c r="BA13"/>
  <c r="AA5" i="76"/>
  <c r="Z17"/>
  <c r="K36" i="73"/>
  <c r="G36"/>
  <c r="A34" i="65"/>
  <c r="N43" i="74"/>
  <c r="O43"/>
  <c r="G6" i="73"/>
  <c r="K6"/>
  <c r="G7"/>
  <c r="K7"/>
  <c r="G8"/>
  <c r="K8"/>
  <c r="G10"/>
  <c r="K10"/>
  <c r="G11"/>
  <c r="K11"/>
  <c r="G12"/>
  <c r="K12"/>
  <c r="G13"/>
  <c r="K13"/>
  <c r="G14"/>
  <c r="BA15" i="7"/>
  <c r="BA16"/>
  <c r="G16" i="73"/>
  <c r="K16"/>
  <c r="G17"/>
  <c r="K17"/>
  <c r="G18"/>
  <c r="K18"/>
  <c r="BA19" i="7"/>
  <c r="G19" i="73"/>
  <c r="K19"/>
  <c r="BA20" i="7"/>
  <c r="G20" i="73"/>
  <c r="K20"/>
  <c r="G21"/>
  <c r="K21"/>
  <c r="BA22" i="7"/>
  <c r="G22" i="73"/>
  <c r="K22"/>
  <c r="BA23" i="7"/>
  <c r="G23" i="73"/>
  <c r="K23"/>
  <c r="AM24" i="5"/>
  <c r="G24" i="73"/>
  <c r="K24"/>
  <c r="BA25" i="7"/>
  <c r="G25" i="73"/>
  <c r="BA26" i="7"/>
  <c r="G26" i="73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J12" i="77"/>
  <c r="AP21" i="5"/>
  <c r="AP12"/>
  <c r="AP8"/>
  <c r="I12" i="77"/>
  <c r="AP16" i="5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W49" i="74"/>
  <c r="AP34" i="5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7"/>
  <c r="BB8"/>
  <c r="BB9"/>
  <c r="BB10"/>
  <c r="BB11"/>
  <c r="BB12"/>
  <c r="BB13"/>
  <c r="BB14"/>
  <c r="BB15"/>
  <c r="BB16"/>
  <c r="BB17"/>
  <c r="BB19"/>
  <c r="BB20"/>
  <c r="BB21"/>
  <c r="BB22"/>
  <c r="BB23"/>
  <c r="BB24"/>
  <c r="BB25"/>
  <c r="BB26"/>
  <c r="BB27"/>
  <c r="BB28"/>
  <c r="BB29"/>
  <c r="BB30"/>
  <c r="BB31"/>
  <c r="BB32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B6" s="1"/>
  <c r="A7"/>
  <c r="AZ10" i="7" s="1"/>
  <c r="A8" i="2"/>
  <c r="AZ11" i="7" s="1"/>
  <c r="A9" i="2"/>
  <c r="A10"/>
  <c r="AZ13" i="7" s="1"/>
  <c r="A11" i="2"/>
  <c r="B11" s="1"/>
  <c r="L10" i="82" s="1"/>
  <c r="A12" i="2"/>
  <c r="B12" s="1"/>
  <c r="L11" i="82" s="1"/>
  <c r="A13" i="2"/>
  <c r="AZ16" i="7" s="1"/>
  <c r="A14" i="2"/>
  <c r="AZ17" i="7" s="1"/>
  <c r="A15" i="2"/>
  <c r="AZ18" i="7" s="1"/>
  <c r="A16" i="2"/>
  <c r="B16" s="1"/>
  <c r="O15" i="81" s="1"/>
  <c r="A17" i="2"/>
  <c r="A18"/>
  <c r="B18" s="1"/>
  <c r="A19"/>
  <c r="AZ22" i="7" s="1"/>
  <c r="A20" i="2"/>
  <c r="A21"/>
  <c r="B21" s="1"/>
  <c r="A22"/>
  <c r="A23"/>
  <c r="B23" s="1"/>
  <c r="A24"/>
  <c r="A25"/>
  <c r="AZ28" i="7" s="1"/>
  <c r="A26" i="2"/>
  <c r="B26" s="1"/>
  <c r="A27"/>
  <c r="B27" s="1"/>
  <c r="A28"/>
  <c r="A29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V49" i="74"/>
  <c r="W50"/>
  <c r="W48"/>
  <c r="V48"/>
  <c r="V50"/>
  <c r="W51"/>
  <c r="V51"/>
  <c r="W52"/>
  <c r="BA9" i="7"/>
  <c r="W53" i="74"/>
  <c r="V52"/>
  <c r="W54"/>
  <c r="V53"/>
  <c r="V54"/>
  <c r="W55"/>
  <c r="W56"/>
  <c r="V55"/>
  <c r="W57"/>
  <c r="V56"/>
  <c r="V57"/>
  <c r="W58"/>
  <c r="W59"/>
  <c r="V58"/>
  <c r="V59"/>
  <c r="W60"/>
  <c r="V60"/>
  <c r="W61"/>
  <c r="V61"/>
  <c r="W62"/>
  <c r="V62"/>
  <c r="W63"/>
  <c r="W64"/>
  <c r="V63"/>
  <c r="W65"/>
  <c r="V64"/>
  <c r="W66"/>
  <c r="V65"/>
  <c r="W67"/>
  <c r="V66"/>
  <c r="W68"/>
  <c r="V67"/>
  <c r="W69"/>
  <c r="V68"/>
  <c r="W70"/>
  <c r="V69"/>
  <c r="V70"/>
  <c r="W71"/>
  <c r="V71"/>
  <c r="W72"/>
  <c r="V72"/>
  <c r="W73"/>
  <c r="V73"/>
  <c r="W74"/>
  <c r="V74"/>
  <c r="W75"/>
  <c r="V75"/>
  <c r="W76"/>
  <c r="V76"/>
  <c r="W77"/>
  <c r="BA34" i="7"/>
  <c r="V77" i="74"/>
  <c r="AM35" i="5"/>
  <c r="AV7" i="7"/>
  <c r="AN13" i="5"/>
  <c r="AP10"/>
  <c r="F7" i="77"/>
  <c r="H7" s="1"/>
  <c r="B32" i="63"/>
  <c r="A32"/>
  <c r="E32"/>
  <c r="C32"/>
  <c r="Z43" i="76"/>
  <c r="BA31" i="7"/>
  <c r="BA33"/>
  <c r="BA36"/>
  <c r="BA12"/>
  <c r="M5" i="3"/>
  <c r="AJ7" i="5"/>
  <c r="AQ5" i="1"/>
  <c r="AS6"/>
  <c r="M4" i="2"/>
  <c r="E3" i="82" s="1"/>
  <c r="K4" i="2"/>
  <c r="F3" i="82" s="1"/>
  <c r="E5" i="2"/>
  <c r="H4" i="82" s="1"/>
  <c r="E4" i="2"/>
  <c r="H3" i="82" s="1"/>
  <c r="I6" i="76"/>
  <c r="M6" s="1"/>
  <c r="I5"/>
  <c r="M5" s="1"/>
  <c r="G6"/>
  <c r="L6" s="1"/>
  <c r="G5"/>
  <c r="G4"/>
  <c r="L4" s="1"/>
  <c r="C5"/>
  <c r="S5" i="3"/>
  <c r="V5" s="1"/>
  <c r="S4"/>
  <c r="V4" s="1"/>
  <c r="M4"/>
  <c r="C4"/>
  <c r="F4" s="1"/>
  <c r="C3"/>
  <c r="O7" i="79"/>
  <c r="W8" i="5"/>
  <c r="W7"/>
  <c r="Y8"/>
  <c r="J4" i="82" s="1"/>
  <c r="Y7" i="5"/>
  <c r="J3" i="82" s="1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BA7"/>
  <c r="BA10"/>
  <c r="AM26" i="5"/>
  <c r="AM34"/>
  <c r="AD5" i="2"/>
  <c r="AB5"/>
  <c r="Z5"/>
  <c r="Z4"/>
  <c r="T5"/>
  <c r="T4"/>
  <c r="Q5"/>
  <c r="Q4"/>
  <c r="BE6" i="7" s="1"/>
  <c r="BG6" s="1"/>
  <c r="Q3" i="2"/>
  <c r="I5" i="65" s="1"/>
  <c r="I5" i="2"/>
  <c r="G4" i="82" s="1"/>
  <c r="G5" i="2"/>
  <c r="I4" i="82" s="1"/>
  <c r="G4" i="2"/>
  <c r="E3"/>
  <c r="H2" i="82" s="1"/>
  <c r="A5" i="79"/>
  <c r="J2" i="63"/>
  <c r="K31" i="73"/>
  <c r="BA29" i="7"/>
  <c r="AB4" i="2"/>
  <c r="AD6" i="1"/>
  <c r="AG6" s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AD5" i="3"/>
  <c r="E4" i="63"/>
  <c r="I7" i="65"/>
  <c r="BE7" i="7"/>
  <c r="BG7" s="1"/>
  <c r="Q6" i="2"/>
  <c r="BE8" i="7" s="1"/>
  <c r="BG8" s="1"/>
  <c r="K5" i="2"/>
  <c r="F4" i="82" s="1"/>
  <c r="I6" i="2"/>
  <c r="G5" i="82" s="1"/>
  <c r="G6" i="2"/>
  <c r="G6" i="1"/>
  <c r="I6"/>
  <c r="J6" s="1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AS8" i="1"/>
  <c r="AQ8"/>
  <c r="R9"/>
  <c r="S8"/>
  <c r="T8" s="1"/>
  <c r="Z9" i="7"/>
  <c r="AB9" s="1"/>
  <c r="D8" i="1"/>
  <c r="E8" s="1"/>
  <c r="B9" i="7"/>
  <c r="C9" s="1"/>
  <c r="AD7" i="2"/>
  <c r="AB7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/>
  <c r="H9"/>
  <c r="AF8" i="1"/>
  <c r="X7" i="2"/>
  <c r="AA11" i="5"/>
  <c r="AJ11"/>
  <c r="C12"/>
  <c r="D12" s="1"/>
  <c r="AS10" i="1"/>
  <c r="AQ10"/>
  <c r="AD11"/>
  <c r="R11"/>
  <c r="B11" i="7"/>
  <c r="AB9" i="2"/>
  <c r="Q9"/>
  <c r="BE11" i="7" s="1"/>
  <c r="BG11" s="1"/>
  <c r="M8" i="2"/>
  <c r="E7" i="82" s="1"/>
  <c r="I9" i="1"/>
  <c r="G10"/>
  <c r="J10" s="1"/>
  <c r="X8" i="2"/>
  <c r="C13" i="5"/>
  <c r="D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H10" i="3"/>
  <c r="E12"/>
  <c r="C12"/>
  <c r="Y14" i="1"/>
  <c r="AB14" s="1"/>
  <c r="M11" i="2"/>
  <c r="E10" i="82" s="1"/>
  <c r="E13" i="3"/>
  <c r="AC26" i="76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J11" s="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V7" s="1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H11" i="3"/>
  <c r="R12" i="1"/>
  <c r="E8" i="2"/>
  <c r="H7" i="82" s="1"/>
  <c r="AM25" i="5"/>
  <c r="BA21" i="7"/>
  <c r="BA17"/>
  <c r="BA13"/>
  <c r="BA8"/>
  <c r="AZ9"/>
  <c r="A30" i="65"/>
  <c r="BA18" i="7"/>
  <c r="BA14"/>
  <c r="I12" i="1"/>
  <c r="A24" i="65"/>
  <c r="J22" i="63"/>
  <c r="BA11" i="7"/>
  <c r="BA6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I11" i="3"/>
  <c r="H12"/>
  <c r="S10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I12" i="3"/>
  <c r="H13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3"/>
  <c r="S12"/>
  <c r="AD19" i="5"/>
  <c r="H14"/>
  <c r="AS15" i="1"/>
  <c r="AO13"/>
  <c r="K12" i="2"/>
  <c r="F11" i="82" s="1"/>
  <c r="I12" i="2"/>
  <c r="G11" i="82" s="1"/>
  <c r="I13" i="2"/>
  <c r="G12" i="82" s="1"/>
  <c r="H15" i="3"/>
  <c r="V8" i="2"/>
  <c r="AD20" i="5"/>
  <c r="H16"/>
  <c r="H15"/>
  <c r="AO14" i="1"/>
  <c r="V9" i="2"/>
  <c r="H16" i="3"/>
  <c r="AD21" i="5"/>
  <c r="T12" i="2"/>
  <c r="T14"/>
  <c r="H17" i="3"/>
  <c r="V10" i="2"/>
  <c r="AD22" i="5"/>
  <c r="H18" i="3"/>
  <c r="V12" i="2"/>
  <c r="V11"/>
  <c r="AD23" i="5"/>
  <c r="H19" i="3"/>
  <c r="AD24" i="5"/>
  <c r="H20" i="3"/>
  <c r="AD25" i="5"/>
  <c r="H21" i="3"/>
  <c r="AD26" i="5"/>
  <c r="H22" i="3"/>
  <c r="AD27" i="5"/>
  <c r="H23" i="3"/>
  <c r="AD28" i="5"/>
  <c r="H24" i="3"/>
  <c r="AD29" i="5"/>
  <c r="H25" i="3"/>
  <c r="AD30" i="5"/>
  <c r="H26" i="3"/>
  <c r="AD31" i="5"/>
  <c r="H27" i="3"/>
  <c r="AD32" i="5"/>
  <c r="H28" i="3"/>
  <c r="H29"/>
  <c r="H30"/>
  <c r="H31"/>
  <c r="H32"/>
  <c r="H33"/>
  <c r="P77" i="74" l="1"/>
  <c r="P68"/>
  <c r="F12" i="3"/>
  <c r="K26" i="5"/>
  <c r="V8" i="3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E10" i="5"/>
  <c r="G5" i="63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AB4" s="1"/>
  <c r="Z4"/>
  <c r="F4" i="63" s="1"/>
  <c r="BD8" i="5"/>
  <c r="BD10"/>
  <c r="BD13"/>
  <c r="BC9"/>
  <c r="AT9" i="1"/>
  <c r="V3" i="3"/>
  <c r="BD12" i="5"/>
  <c r="AL11"/>
  <c r="D6"/>
  <c r="E6"/>
  <c r="G8" i="63"/>
  <c r="E13" i="5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E12" i="5"/>
  <c r="D11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/>
  <c r="S81"/>
  <c r="L6" i="1"/>
  <c r="U6" s="1"/>
  <c r="N8" i="2"/>
  <c r="S9" i="76" s="1"/>
  <c r="N7" i="2"/>
  <c r="C6" i="63" s="1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L25" i="82"/>
  <c r="O25" i="81"/>
  <c r="AI5" i="3"/>
  <c r="A10" i="65"/>
  <c r="P52" i="74"/>
  <c r="O11" i="81"/>
  <c r="AA6" i="7"/>
  <c r="J7" i="63"/>
  <c r="AZ21" i="7"/>
  <c r="A32" i="65"/>
  <c r="P63" i="74"/>
  <c r="P75"/>
  <c r="A18" i="65"/>
  <c r="D32" i="63"/>
  <c r="P48" i="74"/>
  <c r="B13" i="2"/>
  <c r="O12" i="81" s="1"/>
  <c r="X77" i="74"/>
  <c r="X70"/>
  <c r="P66"/>
  <c r="P78"/>
  <c r="AZ14" i="7"/>
  <c r="AZ29"/>
  <c r="AZ15"/>
  <c r="O10" i="81"/>
  <c r="J31" i="63"/>
  <c r="X75" i="74"/>
  <c r="X68"/>
  <c r="X59"/>
  <c r="E3" i="65"/>
  <c r="BA32" i="7"/>
  <c r="P74" i="74"/>
  <c r="AD33" i="5"/>
  <c r="BA30" i="7"/>
  <c r="B43" i="74"/>
  <c r="H61"/>
  <c r="L57"/>
  <c r="D54"/>
  <c r="D68"/>
  <c r="H73"/>
  <c r="L56"/>
  <c r="L65"/>
  <c r="H75"/>
  <c r="H58"/>
  <c r="L48"/>
  <c r="L76"/>
  <c r="L73"/>
  <c r="H63"/>
  <c r="F43"/>
  <c r="C43"/>
  <c r="H68"/>
  <c r="D70"/>
  <c r="H52"/>
  <c r="L71"/>
  <c r="D51"/>
  <c r="D58"/>
  <c r="L54"/>
  <c r="P71"/>
  <c r="C9" i="77"/>
  <c r="E9" s="1"/>
  <c r="P70" i="74"/>
  <c r="BA28" i="7"/>
  <c r="BA27"/>
  <c r="X69" i="74"/>
  <c r="B14" i="2"/>
  <c r="O22" i="81"/>
  <c r="B33" i="2"/>
  <c r="A20" i="65"/>
  <c r="AZ30" i="7"/>
  <c r="AB10"/>
  <c r="AC10" s="1"/>
  <c r="B30" i="2"/>
  <c r="O29" i="81" s="1"/>
  <c r="J27" i="63"/>
  <c r="A11" i="65"/>
  <c r="P49" i="74"/>
  <c r="P53"/>
  <c r="X55"/>
  <c r="B8" i="2"/>
  <c r="B4"/>
  <c r="O5" i="81"/>
  <c r="AB12" i="7"/>
  <c r="AC12" s="1"/>
  <c r="L22" i="82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AZ24" i="7"/>
  <c r="B3" i="2"/>
  <c r="O2" i="81" s="1"/>
  <c r="A14" i="65"/>
  <c r="P69" i="74"/>
  <c r="P73"/>
  <c r="AZ26" i="7"/>
  <c r="P51" i="74"/>
  <c r="P55"/>
  <c r="P59"/>
  <c r="N3" i="3"/>
  <c r="U5" i="1"/>
  <c r="AV38"/>
  <c r="X66" i="74"/>
  <c r="BA24" i="7"/>
  <c r="AM23" i="5"/>
  <c r="P64" i="74"/>
  <c r="X63"/>
  <c r="P62"/>
  <c r="X62"/>
  <c r="P61"/>
  <c r="X61"/>
  <c r="L15" i="82"/>
  <c r="AZ19" i="7"/>
  <c r="I10" i="79"/>
  <c r="N3" i="2"/>
  <c r="F2" i="82"/>
  <c r="AS7" i="5"/>
  <c r="AY6"/>
  <c r="BB6" s="1"/>
  <c r="I12" i="79"/>
  <c r="N5" i="1"/>
  <c r="V5" s="1"/>
  <c r="AX6"/>
  <c r="J2" i="81"/>
  <c r="AA3" i="3"/>
  <c r="P6" i="5"/>
  <c r="I8" i="79"/>
  <c r="I6" i="5"/>
  <c r="G3" i="63"/>
  <c r="N6" i="5"/>
  <c r="X4" i="3"/>
  <c r="Y3"/>
  <c r="AL5" i="1"/>
  <c r="D6" i="75" s="1"/>
  <c r="E6" s="1"/>
  <c r="AE3" i="2"/>
  <c r="I11" i="79"/>
  <c r="AB5" i="1"/>
  <c r="AM5"/>
  <c r="F6" i="75" s="1"/>
  <c r="G6" s="1"/>
  <c r="P4" i="3"/>
  <c r="Q3"/>
  <c r="I9" i="79"/>
  <c r="AK6" i="5"/>
  <c r="AL6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C17" i="77"/>
  <c r="F17" s="1"/>
  <c r="P60" i="74"/>
  <c r="H3" i="81"/>
  <c r="AV8" i="7"/>
  <c r="C13"/>
  <c r="J3"/>
  <c r="L3" s="1"/>
  <c r="N3" s="1"/>
  <c r="P3" s="1"/>
  <c r="R3" s="1"/>
  <c r="T3" s="1"/>
  <c r="V3" s="1"/>
  <c r="AC6"/>
  <c r="C7"/>
  <c r="E12"/>
  <c r="C6"/>
  <c r="D8" i="77"/>
  <c r="E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O11" s="1"/>
  <c r="H10" i="82"/>
  <c r="I14" i="79"/>
  <c r="I13"/>
  <c r="E7" i="7"/>
  <c r="F7"/>
  <c r="AC9"/>
  <c r="AD9"/>
  <c r="J20" i="63"/>
  <c r="A22" i="65"/>
  <c r="J13" i="63"/>
  <c r="A15" i="65"/>
  <c r="D8" i="7"/>
  <c r="C8"/>
  <c r="L17" i="82"/>
  <c r="O17" i="81"/>
  <c r="AE6" i="7"/>
  <c r="AF6"/>
  <c r="A5" i="65"/>
  <c r="J3" i="63"/>
  <c r="L26" i="82"/>
  <c r="O26" i="81"/>
  <c r="D10" i="7"/>
  <c r="C10"/>
  <c r="AA8"/>
  <c r="AB8"/>
  <c r="AZ27"/>
  <c r="B24" i="2"/>
  <c r="B17"/>
  <c r="AZ20" i="7"/>
  <c r="X74" i="74"/>
  <c r="J14" i="63"/>
  <c r="D6" i="7"/>
  <c r="F12"/>
  <c r="J25" i="63"/>
  <c r="AZ23" i="7"/>
  <c r="B20" i="2"/>
  <c r="D11" i="7"/>
  <c r="C11"/>
  <c r="B22" i="2"/>
  <c r="AZ25" i="7"/>
  <c r="A31" i="65"/>
  <c r="J29" i="63"/>
  <c r="A7" i="65"/>
  <c r="J5" i="63"/>
  <c r="P67" i="74"/>
  <c r="L20" i="82"/>
  <c r="D9" i="7"/>
  <c r="X64" i="74"/>
  <c r="X52"/>
  <c r="AZ35" i="7"/>
  <c r="B32" i="2"/>
  <c r="AZ31" i="7"/>
  <c r="B28" i="2"/>
  <c r="A26" i="65"/>
  <c r="J24" i="63"/>
  <c r="B19" i="2"/>
  <c r="C12" i="7"/>
  <c r="B10" i="2"/>
  <c r="O20" i="81"/>
  <c r="AZ12" i="7"/>
  <c r="B9" i="2"/>
  <c r="P76" i="74"/>
  <c r="O28" i="81" l="1"/>
  <c r="K27" i="5"/>
  <c r="V81" i="74"/>
  <c r="AA20" s="1"/>
  <c r="BE6" i="5"/>
  <c r="I2" i="63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J43" i="74"/>
  <c r="H11" i="65"/>
  <c r="D5" i="63"/>
  <c r="O6" i="2"/>
  <c r="AU9" i="1"/>
  <c r="I6" i="81" s="1"/>
  <c r="R9" i="2"/>
  <c r="AI9" s="1"/>
  <c r="K43" i="74"/>
  <c r="J81"/>
  <c r="W32" i="76" s="1"/>
  <c r="AU10" i="1"/>
  <c r="I7" i="81" s="1"/>
  <c r="H4"/>
  <c r="AV9" i="7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R43"/>
  <c r="C15" i="77" s="1"/>
  <c r="F15" s="1"/>
  <c r="B81" i="74"/>
  <c r="E5" i="3"/>
  <c r="AA5" s="1"/>
  <c r="F5"/>
  <c r="AB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Q6" i="5"/>
  <c r="M2" i="81" s="1"/>
  <c r="AL6" i="1"/>
  <c r="D7" i="75" s="1"/>
  <c r="E7" s="1"/>
  <c r="S8" i="76"/>
  <c r="J11" i="65"/>
  <c r="E6" i="81"/>
  <c r="E4"/>
  <c r="C4" i="63"/>
  <c r="D4" s="1"/>
  <c r="R5" i="2"/>
  <c r="S6" i="76"/>
  <c r="B2" i="63"/>
  <c r="AC11" i="7"/>
  <c r="AD11"/>
  <c r="AK3" i="3"/>
  <c r="D7" i="65"/>
  <c r="L8" i="5"/>
  <c r="H5" i="63" s="1"/>
  <c r="O30" i="81"/>
  <c r="L2" i="82"/>
  <c r="AD13" i="7"/>
  <c r="AE13" s="1"/>
  <c r="L9" i="5"/>
  <c r="H6" i="63" s="1"/>
  <c r="AD7" i="7"/>
  <c r="AE7" s="1"/>
  <c r="AD10"/>
  <c r="AF10" s="1"/>
  <c r="AD34" i="5"/>
  <c r="C81" i="74"/>
  <c r="G81"/>
  <c r="K81"/>
  <c r="W33" i="76" s="1"/>
  <c r="S43" i="74"/>
  <c r="C14" i="77" s="1"/>
  <c r="F14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L32"/>
  <c r="O32" i="81"/>
  <c r="O33" i="2"/>
  <c r="O3" i="81"/>
  <c r="L29" i="82"/>
  <c r="L10" i="5"/>
  <c r="AK10" s="1"/>
  <c r="L12"/>
  <c r="F12" i="65" s="1"/>
  <c r="L14" i="5"/>
  <c r="AK14" s="1"/>
  <c r="W81" i="74"/>
  <c r="AB20" s="1"/>
  <c r="W43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N7" i="5"/>
  <c r="H3" i="63"/>
  <c r="F6" i="65"/>
  <c r="N6" i="1"/>
  <c r="V6" s="1"/>
  <c r="AY7" i="5"/>
  <c r="BB7" s="1"/>
  <c r="AS8"/>
  <c r="L11"/>
  <c r="P7"/>
  <c r="Y4" i="3"/>
  <c r="X5"/>
  <c r="AE3"/>
  <c r="AF3" s="1"/>
  <c r="AG3" s="1"/>
  <c r="L13" i="5"/>
  <c r="H10" i="63" s="1"/>
  <c r="O3" i="2"/>
  <c r="W3" i="7"/>
  <c r="AO3" s="1"/>
  <c r="H17" i="5"/>
  <c r="AE13" i="2"/>
  <c r="E15" i="3"/>
  <c r="F13"/>
  <c r="C14"/>
  <c r="F14" s="1"/>
  <c r="I14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K15" i="76"/>
  <c r="N15" s="1"/>
  <c r="I14"/>
  <c r="M14" s="1"/>
  <c r="L13"/>
  <c r="D13"/>
  <c r="E13" s="1"/>
  <c r="G14"/>
  <c r="C13"/>
  <c r="U12" i="3"/>
  <c r="S15"/>
  <c r="M14"/>
  <c r="K12"/>
  <c r="BA16" i="5"/>
  <c r="BD16" s="1"/>
  <c r="AA15"/>
  <c r="AJ15"/>
  <c r="W15"/>
  <c r="U16"/>
  <c r="C16"/>
  <c r="G12" i="63"/>
  <c r="E15" i="5"/>
  <c r="I1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S12" i="76"/>
  <c r="R11" i="2"/>
  <c r="E10" i="81"/>
  <c r="C10" i="63"/>
  <c r="O15" i="79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K28" i="5" l="1"/>
  <c r="BF6"/>
  <c r="BG6" s="1"/>
  <c r="G6" i="65" s="1"/>
  <c r="F8"/>
  <c r="AF7" i="7"/>
  <c r="AG7" s="1"/>
  <c r="AF14" i="5"/>
  <c r="AI14" s="1"/>
  <c r="AJ5" i="1"/>
  <c r="AK5" s="1"/>
  <c r="P6" i="3"/>
  <c r="Q5"/>
  <c r="AH4"/>
  <c r="J4" i="81"/>
  <c r="AX8" i="1"/>
  <c r="AK8" i="5"/>
  <c r="AV10" i="7"/>
  <c r="H5" i="81"/>
  <c r="D10" i="63"/>
  <c r="AK4" i="3"/>
  <c r="AI8" i="2"/>
  <c r="AI6"/>
  <c r="F13" i="65"/>
  <c r="E6" i="3"/>
  <c r="AA6" s="1"/>
  <c r="AC5"/>
  <c r="F5" i="63"/>
  <c r="AE5" i="3"/>
  <c r="AF5" s="1"/>
  <c r="AG5" s="1"/>
  <c r="I7"/>
  <c r="C7"/>
  <c r="F6"/>
  <c r="AB6" s="1"/>
  <c r="Z6"/>
  <c r="AK6" s="1"/>
  <c r="AK5"/>
  <c r="AK13" i="5"/>
  <c r="AK9"/>
  <c r="AU13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H11" i="63"/>
  <c r="AF13" i="7"/>
  <c r="AH13" s="1"/>
  <c r="F9" i="65"/>
  <c r="H9" i="63"/>
  <c r="AF12" i="7"/>
  <c r="AH12" s="1"/>
  <c r="F14" i="65"/>
  <c r="AK12" i="5"/>
  <c r="AD36"/>
  <c r="AD35"/>
  <c r="F10" i="65"/>
  <c r="AB23" i="74"/>
  <c r="D12" i="65"/>
  <c r="H7" i="63"/>
  <c r="AI11" i="3"/>
  <c r="AI12"/>
  <c r="D14" i="65" s="1"/>
  <c r="AH3" i="3"/>
  <c r="Q7" i="5"/>
  <c r="M3" i="81" s="1"/>
  <c r="O86" i="74"/>
  <c r="P8" i="5"/>
  <c r="W6" i="1"/>
  <c r="AI6"/>
  <c r="AW7" i="7" s="1"/>
  <c r="B6" i="65"/>
  <c r="E6" s="1"/>
  <c r="N8" i="5"/>
  <c r="X6" i="3"/>
  <c r="Y5"/>
  <c r="AY8" i="5"/>
  <c r="BB8" s="1"/>
  <c r="BE8" s="1"/>
  <c r="BF8" s="1"/>
  <c r="BG8" s="1"/>
  <c r="G8" i="65" s="1"/>
  <c r="AS9" i="5"/>
  <c r="BE7"/>
  <c r="V7" i="1"/>
  <c r="L8"/>
  <c r="AK11" i="5"/>
  <c r="F11" i="65"/>
  <c r="H8" i="63"/>
  <c r="AG10" i="7"/>
  <c r="AH10"/>
  <c r="AA12" i="3"/>
  <c r="V12"/>
  <c r="H18" i="5"/>
  <c r="E16" i="3"/>
  <c r="I15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E16" i="5"/>
  <c r="D16"/>
  <c r="I16"/>
  <c r="K11" i="81"/>
  <c r="J15" i="5"/>
  <c r="L11" i="81" s="1"/>
  <c r="C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N12" i="2"/>
  <c r="O12" s="1"/>
  <c r="H11" i="82"/>
  <c r="AI11" i="2"/>
  <c r="J13" i="65"/>
  <c r="E13" i="2"/>
  <c r="L15" i="5"/>
  <c r="I15" i="79"/>
  <c r="O16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AH7" l="1"/>
  <c r="AI7" s="1"/>
  <c r="K29" i="5"/>
  <c r="AF15"/>
  <c r="AI15" s="1"/>
  <c r="P7" i="3"/>
  <c r="Q6"/>
  <c r="AB12"/>
  <c r="AX9" i="1"/>
  <c r="J5" i="81"/>
  <c r="H6"/>
  <c r="AV11" i="7"/>
  <c r="AG13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N9" i="5"/>
  <c r="U8" i="1"/>
  <c r="AL8"/>
  <c r="D9" i="75" s="1"/>
  <c r="E9" s="1"/>
  <c r="X7" i="3"/>
  <c r="Y6"/>
  <c r="P9" i="5"/>
  <c r="L9" i="1"/>
  <c r="Q8" i="5"/>
  <c r="I4" i="63"/>
  <c r="AY9" i="5"/>
  <c r="BB9" s="1"/>
  <c r="BE9" s="1"/>
  <c r="AS10"/>
  <c r="G3" i="81"/>
  <c r="AJ6" i="1"/>
  <c r="AK6" s="1"/>
  <c r="BF7" i="5"/>
  <c r="BG7" s="1"/>
  <c r="G7" i="65" s="1"/>
  <c r="I3" i="63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I16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E17"/>
  <c r="D17"/>
  <c r="C18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F15" i="65"/>
  <c r="AK15" i="5"/>
  <c r="H12" i="63"/>
  <c r="L16" i="5"/>
  <c r="I16" i="79"/>
  <c r="O17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J7" l="1"/>
  <c r="AK7" s="1"/>
  <c r="K30" i="5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H7"/>
  <c r="AV12" i="7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BF9" i="5"/>
  <c r="BG9" s="1"/>
  <c r="G9" i="65" s="1"/>
  <c r="I5" i="63"/>
  <c r="P10" i="5"/>
  <c r="AI8" i="1"/>
  <c r="AW9" i="7" s="1"/>
  <c r="W8" i="1"/>
  <c r="B8" i="65"/>
  <c r="E8" s="1"/>
  <c r="AY10" i="5"/>
  <c r="BB10" s="1"/>
  <c r="BE10" s="1"/>
  <c r="AS11"/>
  <c r="V9" i="1"/>
  <c r="L10"/>
  <c r="N10" i="5"/>
  <c r="Q9"/>
  <c r="M5" i="81" s="1"/>
  <c r="U9" i="1"/>
  <c r="AL9"/>
  <c r="D10" i="75" s="1"/>
  <c r="E10" s="1"/>
  <c r="AJ7" i="1"/>
  <c r="AK7" s="1"/>
  <c r="G4" i="81"/>
  <c r="M4"/>
  <c r="X8" i="3"/>
  <c r="Y7"/>
  <c r="AA14"/>
  <c r="V14"/>
  <c r="AK13" i="7"/>
  <c r="AL13"/>
  <c r="AM13" s="1"/>
  <c r="AL10"/>
  <c r="AM10" s="1"/>
  <c r="AK10"/>
  <c r="AB13" i="3"/>
  <c r="H20" i="5"/>
  <c r="E18" i="3"/>
  <c r="C17"/>
  <c r="I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E18" i="5"/>
  <c r="G15" i="63"/>
  <c r="I18" i="5"/>
  <c r="D18"/>
  <c r="C19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F16" i="65"/>
  <c r="H13" i="63"/>
  <c r="AK16" i="5"/>
  <c r="L17"/>
  <c r="I17" i="79"/>
  <c r="O18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L7" l="1"/>
  <c r="AM7" s="1"/>
  <c r="AO7" s="1"/>
  <c r="AN7" s="1"/>
  <c r="K31" i="5"/>
  <c r="F8" i="3"/>
  <c r="AB8" s="1"/>
  <c r="P9"/>
  <c r="Q8"/>
  <c r="J7" i="81"/>
  <c r="AX11" i="1"/>
  <c r="AO9" i="7"/>
  <c r="AN9" s="1"/>
  <c r="AV13"/>
  <c r="H8" i="8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AN10" s="1"/>
  <c r="Q10" i="5"/>
  <c r="M6" i="81" s="1"/>
  <c r="AY11" i="5"/>
  <c r="BB11" s="1"/>
  <c r="BE11" s="1"/>
  <c r="AS12"/>
  <c r="V10" i="1"/>
  <c r="L11"/>
  <c r="P11" i="5"/>
  <c r="U10" i="1"/>
  <c r="AL10"/>
  <c r="D11" i="75" s="1"/>
  <c r="E11" s="1"/>
  <c r="G5" i="81"/>
  <c r="AJ8" i="1"/>
  <c r="AK8" s="1"/>
  <c r="Y8" i="3"/>
  <c r="X9"/>
  <c r="N11" i="5"/>
  <c r="B9" i="65"/>
  <c r="E9" s="1"/>
  <c r="W9" i="1"/>
  <c r="AI9"/>
  <c r="AW10" i="7" s="1"/>
  <c r="I6" i="63"/>
  <c r="BF10" i="5"/>
  <c r="BG10" s="1"/>
  <c r="G10" i="65" s="1"/>
  <c r="AA15" i="3"/>
  <c r="V15"/>
  <c r="AB14"/>
  <c r="AO12" i="7"/>
  <c r="AN12" s="1"/>
  <c r="AO13"/>
  <c r="AN13" s="1"/>
  <c r="H21" i="5"/>
  <c r="E19" i="3"/>
  <c r="I18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U16" i="3"/>
  <c r="S19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E19"/>
  <c r="D19"/>
  <c r="G16" i="63"/>
  <c r="I19" i="5"/>
  <c r="C20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N14" s="1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O15" s="1"/>
  <c r="E13" i="81"/>
  <c r="C13" i="63"/>
  <c r="D13" s="1"/>
  <c r="R14" i="2"/>
  <c r="S15" i="76"/>
  <c r="E16" i="2"/>
  <c r="AI13"/>
  <c r="J15" i="65"/>
  <c r="AK17" i="5"/>
  <c r="F17" i="65"/>
  <c r="H14" i="63"/>
  <c r="O19" i="79"/>
  <c r="I18"/>
  <c r="L18" i="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K32" i="5" l="1"/>
  <c r="Q9" i="3"/>
  <c r="AX12" i="1"/>
  <c r="J8" i="81"/>
  <c r="AO8" i="7"/>
  <c r="AN8" s="1"/>
  <c r="AV14"/>
  <c r="H9" i="81"/>
  <c r="E10" i="3"/>
  <c r="AA10" s="1"/>
  <c r="E11"/>
  <c r="AA11" s="1"/>
  <c r="F9" i="63"/>
  <c r="AC9" i="3"/>
  <c r="AE9"/>
  <c r="AF9" s="1"/>
  <c r="AG9" s="1"/>
  <c r="AK9"/>
  <c r="AH8"/>
  <c r="F11"/>
  <c r="AB11" s="1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N11" s="1"/>
  <c r="Q11" i="5"/>
  <c r="M7" i="81" s="1"/>
  <c r="AA16" i="3"/>
  <c r="V16"/>
  <c r="N11" i="1"/>
  <c r="V11" s="1"/>
  <c r="AL11"/>
  <c r="D12" i="75" s="1"/>
  <c r="E12" s="1"/>
  <c r="U11" i="1"/>
  <c r="I7" i="63"/>
  <c r="BF11" i="5"/>
  <c r="BG11" s="1"/>
  <c r="G11" i="65" s="1"/>
  <c r="W10" i="1"/>
  <c r="B10" i="65"/>
  <c r="E10" s="1"/>
  <c r="AI10" i="1"/>
  <c r="AW11" i="7" s="1"/>
  <c r="L13" i="1"/>
  <c r="L12"/>
  <c r="N12" i="5"/>
  <c r="AS13"/>
  <c r="AY12"/>
  <c r="BB12" s="1"/>
  <c r="BE12" s="1"/>
  <c r="G6" i="81"/>
  <c r="AJ9" i="1"/>
  <c r="AK9" s="1"/>
  <c r="Y9" i="3"/>
  <c r="X10"/>
  <c r="P12" i="5"/>
  <c r="AB15" i="3"/>
  <c r="H22" i="5"/>
  <c r="E20" i="3"/>
  <c r="I19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U17" i="3"/>
  <c r="S20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G17" i="63"/>
  <c r="D20" i="5"/>
  <c r="E20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S16" i="76"/>
  <c r="E14" i="81"/>
  <c r="E17" i="2"/>
  <c r="J16" i="65"/>
  <c r="AI14" i="2"/>
  <c r="N16"/>
  <c r="O16" s="1"/>
  <c r="H15" i="82"/>
  <c r="O20" i="79"/>
  <c r="I19"/>
  <c r="L19" i="5"/>
  <c r="AK18"/>
  <c r="H15" i="63"/>
  <c r="F18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K33" i="5" l="1"/>
  <c r="Q10" i="3"/>
  <c r="P11"/>
  <c r="J9" i="81"/>
  <c r="AX13" i="1"/>
  <c r="AV15" i="7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N15" s="1"/>
  <c r="AA17" i="3"/>
  <c r="V17"/>
  <c r="AB16"/>
  <c r="AJ10" i="1"/>
  <c r="AK10" s="1"/>
  <c r="G7" i="81"/>
  <c r="AY13" i="5"/>
  <c r="BB13" s="1"/>
  <c r="BE13" s="1"/>
  <c r="AS14"/>
  <c r="B11" i="65"/>
  <c r="E11" s="1"/>
  <c r="W11" i="1"/>
  <c r="AI11"/>
  <c r="AW12" i="7" s="1"/>
  <c r="BF12" i="5"/>
  <c r="BG12" s="1"/>
  <c r="G12" i="65" s="1"/>
  <c r="I8" i="63"/>
  <c r="AL12" i="1"/>
  <c r="D13" i="75" s="1"/>
  <c r="E13" s="1"/>
  <c r="U12" i="1"/>
  <c r="Q12" i="5"/>
  <c r="N12" i="1"/>
  <c r="V12" s="1"/>
  <c r="AL13"/>
  <c r="D14" i="75" s="1"/>
  <c r="E14" s="1"/>
  <c r="U13" i="1"/>
  <c r="N13" i="5"/>
  <c r="X11" i="3"/>
  <c r="Y10"/>
  <c r="P13" i="5"/>
  <c r="AL20"/>
  <c r="H23"/>
  <c r="E21" i="3"/>
  <c r="F19"/>
  <c r="C20"/>
  <c r="F20" s="1"/>
  <c r="I20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U18" i="3"/>
  <c r="S21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E21"/>
  <c r="J20"/>
  <c r="L16" i="81" s="1"/>
  <c r="K16"/>
  <c r="C22" i="5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D21" i="1"/>
  <c r="E21" s="1"/>
  <c r="AH18" i="7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Q19" i="2"/>
  <c r="M19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S17" i="76"/>
  <c r="N17" i="2"/>
  <c r="O17" s="1"/>
  <c r="H16" i="82"/>
  <c r="E18" i="2"/>
  <c r="O21" i="79"/>
  <c r="AK19" i="5"/>
  <c r="H16" i="63"/>
  <c r="F19" i="65"/>
  <c r="I20" i="79"/>
  <c r="L20" i="5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M35" i="79" l="1"/>
  <c r="K34" i="5"/>
  <c r="Q11" i="3"/>
  <c r="P12"/>
  <c r="J10" i="81"/>
  <c r="AX14" i="1"/>
  <c r="H11" i="81"/>
  <c r="AV16" i="7"/>
  <c r="AH10" i="3"/>
  <c r="AH11"/>
  <c r="AU19" i="5"/>
  <c r="AZ18"/>
  <c r="BC18" s="1"/>
  <c r="AA18" i="3"/>
  <c r="V18"/>
  <c r="AB17"/>
  <c r="N14" i="5"/>
  <c r="AS15"/>
  <c r="AY14"/>
  <c r="BB14" s="1"/>
  <c r="BE14" s="1"/>
  <c r="Y11" i="3"/>
  <c r="X12"/>
  <c r="X13" s="1"/>
  <c r="M8" i="81"/>
  <c r="BF13" i="5"/>
  <c r="BG13" s="1"/>
  <c r="G13" i="65" s="1"/>
  <c r="I9" i="63"/>
  <c r="P14" i="5"/>
  <c r="AJ11" i="1"/>
  <c r="AK11" s="1"/>
  <c r="G8" i="81"/>
  <c r="W12" i="1"/>
  <c r="AI12"/>
  <c r="AW13" i="7" s="1"/>
  <c r="B12" i="65"/>
  <c r="E12" s="1"/>
  <c r="N13" i="1"/>
  <c r="V13" s="1"/>
  <c r="Q13" i="5"/>
  <c r="M9" i="81" s="1"/>
  <c r="AL21" i="5"/>
  <c r="H24"/>
  <c r="E22" i="3"/>
  <c r="C21"/>
  <c r="I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U19" i="3"/>
  <c r="S22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E22"/>
  <c r="G19" i="63"/>
  <c r="D22" i="5"/>
  <c r="J21"/>
  <c r="L17" i="81" s="1"/>
  <c r="K17"/>
  <c r="C23" i="5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N16" s="1"/>
  <c r="D22" i="1"/>
  <c r="E22" s="1"/>
  <c r="AB22" i="7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O18" s="1"/>
  <c r="H17" i="82"/>
  <c r="E19" i="2"/>
  <c r="J18" i="65"/>
  <c r="AI16" i="2"/>
  <c r="R17"/>
  <c r="S18" i="76"/>
  <c r="E16" i="81"/>
  <c r="C16" i="63"/>
  <c r="D16" s="1"/>
  <c r="F20" i="65"/>
  <c r="AK20" i="5"/>
  <c r="H17" i="63"/>
  <c r="I21" i="79"/>
  <c r="O22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K35" i="5" l="1"/>
  <c r="M36" i="79"/>
  <c r="K36" i="5" s="1"/>
  <c r="Q12" i="3"/>
  <c r="P13"/>
  <c r="J11" i="81"/>
  <c r="AX15" i="1"/>
  <c r="AV17" i="7"/>
  <c r="H12" i="81"/>
  <c r="AU20" i="5"/>
  <c r="AZ19"/>
  <c r="BC19" s="1"/>
  <c r="X14" i="7"/>
  <c r="AA19" i="3"/>
  <c r="V19"/>
  <c r="AB18"/>
  <c r="G9" i="81"/>
  <c r="AJ12" i="1"/>
  <c r="AK12" s="1"/>
  <c r="N15" i="5"/>
  <c r="N14" i="1"/>
  <c r="V14" s="1"/>
  <c r="AS16" i="5"/>
  <c r="AY15"/>
  <c r="BB15" s="1"/>
  <c r="BE15" s="1"/>
  <c r="BF14"/>
  <c r="BG14" s="1"/>
  <c r="G14" i="65" s="1"/>
  <c r="I10" i="63"/>
  <c r="Q14" i="5"/>
  <c r="M10" i="81" s="1"/>
  <c r="B13" i="65"/>
  <c r="E13" s="1"/>
  <c r="W13" i="1"/>
  <c r="AI13"/>
  <c r="AW14" i="7" s="1"/>
  <c r="Y12" i="3"/>
  <c r="P15" i="5"/>
  <c r="Y7" i="7"/>
  <c r="AR7" s="1"/>
  <c r="H25" i="5"/>
  <c r="E23" i="3"/>
  <c r="I22"/>
  <c r="C22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E23"/>
  <c r="C24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D24" i="1"/>
  <c r="E24" s="1"/>
  <c r="Z24" i="7"/>
  <c r="AA23"/>
  <c r="AB23"/>
  <c r="AE21"/>
  <c r="AF21"/>
  <c r="AL18"/>
  <c r="AM18" s="1"/>
  <c r="AK18"/>
  <c r="D23" i="1"/>
  <c r="E23" s="1"/>
  <c r="AO17" i="7"/>
  <c r="AN17" s="1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S19" i="76"/>
  <c r="N19" i="2"/>
  <c r="O19" s="1"/>
  <c r="H18" i="82"/>
  <c r="E20" i="2"/>
  <c r="I22" i="79"/>
  <c r="L22" i="5"/>
  <c r="L21"/>
  <c r="O23" i="79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Q13" i="3" l="1"/>
  <c r="P14"/>
  <c r="J12" i="81"/>
  <c r="AX16" i="1"/>
  <c r="H13" i="81"/>
  <c r="AV18" i="7"/>
  <c r="Y9"/>
  <c r="AR9" s="1"/>
  <c r="AU21" i="5"/>
  <c r="AZ20"/>
  <c r="BC20" s="1"/>
  <c r="Y11" i="7"/>
  <c r="AR11" s="1"/>
  <c r="Q15" i="5"/>
  <c r="M11" i="81" s="1"/>
  <c r="AA20" i="3"/>
  <c r="V20"/>
  <c r="AB19"/>
  <c r="P16" i="5"/>
  <c r="N15" i="1"/>
  <c r="V15" s="1"/>
  <c r="B14" i="65"/>
  <c r="E14" s="1"/>
  <c r="W14" i="1"/>
  <c r="AI14"/>
  <c r="AW15" i="7" s="1"/>
  <c r="N16" i="5"/>
  <c r="G10" i="81"/>
  <c r="AJ13" i="1"/>
  <c r="AK13" s="1"/>
  <c r="AS17" i="5"/>
  <c r="AY16"/>
  <c r="BB16" s="1"/>
  <c r="BE16" s="1"/>
  <c r="X14" i="3"/>
  <c r="Y13"/>
  <c r="I11" i="63"/>
  <c r="BF15" i="5"/>
  <c r="BG15" s="1"/>
  <c r="G15" i="65" s="1"/>
  <c r="AT24" i="1"/>
  <c r="AU24" s="1"/>
  <c r="I21" i="81" s="1"/>
  <c r="Y8" i="7"/>
  <c r="AR8" s="1"/>
  <c r="BC8" s="1"/>
  <c r="X7"/>
  <c r="Y13"/>
  <c r="X13" s="1"/>
  <c r="Y10"/>
  <c r="X10" s="1"/>
  <c r="H26" i="5"/>
  <c r="E24" i="3"/>
  <c r="I23"/>
  <c r="C23"/>
  <c r="F23" s="1"/>
  <c r="Y25" i="5"/>
  <c r="J21" i="82" s="1"/>
  <c r="AO25" i="1"/>
  <c r="AA25"/>
  <c r="Y25"/>
  <c r="AB25" s="1"/>
  <c r="L26"/>
  <c r="AO18" i="7"/>
  <c r="AN18" s="1"/>
  <c r="Y15"/>
  <c r="AR15" s="1"/>
  <c r="V23" i="2"/>
  <c r="T24"/>
  <c r="K24" i="76"/>
  <c r="N24" s="1"/>
  <c r="I23"/>
  <c r="M23" s="1"/>
  <c r="G23"/>
  <c r="L22"/>
  <c r="D22"/>
  <c r="E22" s="1"/>
  <c r="C22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I24"/>
  <c r="D24"/>
  <c r="E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D25" i="1"/>
  <c r="E25" s="1"/>
  <c r="Z25" i="7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s="1"/>
  <c r="AI18"/>
  <c r="J20" i="65"/>
  <c r="C18" i="63"/>
  <c r="D18" s="1"/>
  <c r="E18" i="81"/>
  <c r="S20" i="76"/>
  <c r="R19" i="2"/>
  <c r="AK22" i="5"/>
  <c r="H19" i="63"/>
  <c r="F22" i="65"/>
  <c r="O24" i="79"/>
  <c r="I23"/>
  <c r="L23" i="5"/>
  <c r="F21" i="65"/>
  <c r="AK21" i="5"/>
  <c r="H18" i="63"/>
  <c r="AQ7" i="7"/>
  <c r="X12"/>
  <c r="AR12"/>
  <c r="Y6"/>
  <c r="Q14" i="3" l="1"/>
  <c r="P15"/>
  <c r="Q18"/>
  <c r="X9" i="7"/>
  <c r="D23" i="76"/>
  <c r="E23" s="1"/>
  <c r="X15" i="7"/>
  <c r="J13" i="81"/>
  <c r="AX17" i="1"/>
  <c r="AB20" i="3"/>
  <c r="AV19" i="7"/>
  <c r="H14" i="81"/>
  <c r="AU22" i="5"/>
  <c r="AZ21"/>
  <c r="BC21" s="1"/>
  <c r="X11" i="7"/>
  <c r="AR10"/>
  <c r="BC10" s="1"/>
  <c r="AR13"/>
  <c r="AS14" s="1"/>
  <c r="AX14" s="1"/>
  <c r="Q16" i="5"/>
  <c r="M12" i="81" s="1"/>
  <c r="AA21" i="3"/>
  <c r="V21"/>
  <c r="N17" i="5"/>
  <c r="B15" i="65"/>
  <c r="E15" s="1"/>
  <c r="AI15" i="1"/>
  <c r="AW16" i="7" s="1"/>
  <c r="W15" i="1"/>
  <c r="N16"/>
  <c r="V16" s="1"/>
  <c r="AS18" i="5"/>
  <c r="AY17"/>
  <c r="BB17" s="1"/>
  <c r="BE17" s="1"/>
  <c r="I12" i="63"/>
  <c r="BF16" i="5"/>
  <c r="BG16" s="1"/>
  <c r="G16" i="65" s="1"/>
  <c r="P17" i="5"/>
  <c r="X15" i="3"/>
  <c r="Y14"/>
  <c r="AJ14" i="1"/>
  <c r="AK14" s="1"/>
  <c r="G11" i="81"/>
  <c r="X8" i="7"/>
  <c r="AO19"/>
  <c r="AN19" s="1"/>
  <c r="H27" i="5"/>
  <c r="E25" i="3"/>
  <c r="I24"/>
  <c r="C24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D25"/>
  <c r="G22" i="63"/>
  <c r="E25" i="5"/>
  <c r="I2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D26" i="1"/>
  <c r="E26" s="1"/>
  <c r="AA25" i="7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s="1"/>
  <c r="H20" i="82"/>
  <c r="J21" i="65"/>
  <c r="AI19" i="2"/>
  <c r="E22"/>
  <c r="C19" i="63"/>
  <c r="D19" s="1"/>
  <c r="R20" i="2"/>
  <c r="E19" i="81"/>
  <c r="S21" i="76"/>
  <c r="I24" i="79"/>
  <c r="L24" i="5"/>
  <c r="O25" i="79"/>
  <c r="H20" i="63"/>
  <c r="AK23" i="5"/>
  <c r="F23" i="65"/>
  <c r="AS15" i="7"/>
  <c r="AX15" s="1"/>
  <c r="AQ15"/>
  <c r="BC15"/>
  <c r="X6"/>
  <c r="AR6"/>
  <c r="AQ6" s="1"/>
  <c r="AS9"/>
  <c r="AX9" s="1"/>
  <c r="AQ9"/>
  <c r="AQ8"/>
  <c r="BC9"/>
  <c r="AS8"/>
  <c r="AX8" s="1"/>
  <c r="AS12"/>
  <c r="AX12" s="1"/>
  <c r="AQ12"/>
  <c r="AQ11"/>
  <c r="BC12"/>
  <c r="Q15" i="3" l="1"/>
  <c r="P16"/>
  <c r="AA22"/>
  <c r="V22"/>
  <c r="J14" i="81"/>
  <c r="AX18" i="1"/>
  <c r="H15" i="81"/>
  <c r="AV20" i="7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Q17" i="5"/>
  <c r="M13" i="81" s="1"/>
  <c r="AB21" i="3"/>
  <c r="N18" i="5"/>
  <c r="I13" i="63"/>
  <c r="BF17" i="5"/>
  <c r="BG17" s="1"/>
  <c r="G17" i="65" s="1"/>
  <c r="G12" i="81"/>
  <c r="AJ15" i="1"/>
  <c r="AK15" s="1"/>
  <c r="B16" i="65"/>
  <c r="E16" s="1"/>
  <c r="AI16" i="1"/>
  <c r="AW17" i="7" s="1"/>
  <c r="W16" i="1"/>
  <c r="P18" i="5"/>
  <c r="X16" i="3"/>
  <c r="Y15"/>
  <c r="N17" i="1"/>
  <c r="V17" s="1"/>
  <c r="AS19" i="5"/>
  <c r="AY18"/>
  <c r="BB18" s="1"/>
  <c r="BE18" s="1"/>
  <c r="H28"/>
  <c r="AT26" i="1"/>
  <c r="AU26" s="1"/>
  <c r="I23" i="81" s="1"/>
  <c r="AO20" i="7"/>
  <c r="AN20" s="1"/>
  <c r="Y16"/>
  <c r="X16" s="1"/>
  <c r="E26" i="3"/>
  <c r="C25"/>
  <c r="F25" s="1"/>
  <c r="I25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E26"/>
  <c r="D26"/>
  <c r="C27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D27" i="1"/>
  <c r="E27" s="1"/>
  <c r="Z27" i="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s="1"/>
  <c r="N22" i="2"/>
  <c r="O22" s="1"/>
  <c r="H21" i="82"/>
  <c r="E23" i="2"/>
  <c r="J22" i="65"/>
  <c r="AI20" i="2"/>
  <c r="O26" i="79"/>
  <c r="AK24" i="5"/>
  <c r="H21" i="63"/>
  <c r="F24" i="65"/>
  <c r="L25" i="5"/>
  <c r="I25" i="79"/>
  <c r="AY15" i="7"/>
  <c r="Q13" i="76"/>
  <c r="AY9" i="7"/>
  <c r="Q7" i="76"/>
  <c r="BC6" i="7"/>
  <c r="AS6"/>
  <c r="AS7"/>
  <c r="AX7" s="1"/>
  <c r="AY12"/>
  <c r="Q10" i="76"/>
  <c r="Q6"/>
  <c r="AY8" i="7"/>
  <c r="AL26" i="5" l="1"/>
  <c r="P17" i="3"/>
  <c r="Q16"/>
  <c r="Q9" i="76"/>
  <c r="AB22" i="3"/>
  <c r="J15" i="81"/>
  <c r="AX19" i="1"/>
  <c r="AV21" i="7"/>
  <c r="H16" i="81"/>
  <c r="AU24" i="5"/>
  <c r="AZ23"/>
  <c r="BC23" s="1"/>
  <c r="AY10" i="7"/>
  <c r="AY13"/>
  <c r="AA23" i="3"/>
  <c r="V23"/>
  <c r="Q18" i="5"/>
  <c r="M14" i="81" s="1"/>
  <c r="AS20" i="5"/>
  <c r="AY19"/>
  <c r="BB19" s="1"/>
  <c r="BE19" s="1"/>
  <c r="N19"/>
  <c r="P19"/>
  <c r="X17" i="3"/>
  <c r="Y16"/>
  <c r="I14" i="63"/>
  <c r="BF18" i="5"/>
  <c r="BG18" s="1"/>
  <c r="G18" i="65" s="1"/>
  <c r="AI17" i="1"/>
  <c r="AW18" i="7" s="1"/>
  <c r="B17" i="65"/>
  <c r="E17" s="1"/>
  <c r="N18" i="1"/>
  <c r="V18" s="1"/>
  <c r="AJ16"/>
  <c r="AK16" s="1"/>
  <c r="G13" i="81"/>
  <c r="AO21" i="7"/>
  <c r="AN21" s="1"/>
  <c r="AR16"/>
  <c r="AS16" s="1"/>
  <c r="AX16" s="1"/>
  <c r="Y17"/>
  <c r="AR17" s="1"/>
  <c r="H29" i="5"/>
  <c r="E27" i="3"/>
  <c r="I26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U24" i="3"/>
  <c r="AH21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E27"/>
  <c r="D27"/>
  <c r="G24" i="63"/>
  <c r="C28" i="5"/>
  <c r="J26"/>
  <c r="L22" i="81" s="1"/>
  <c r="K22"/>
  <c r="AS29" i="1"/>
  <c r="AQ28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D28" i="1"/>
  <c r="E28" s="1"/>
  <c r="V18" i="7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R7" i="2"/>
  <c r="E23" i="6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S23" i="76"/>
  <c r="E21" i="81"/>
  <c r="R22" i="2"/>
  <c r="N23"/>
  <c r="O23" s="1"/>
  <c r="H22" i="82"/>
  <c r="E24" i="2"/>
  <c r="I26" i="79"/>
  <c r="L26" i="5"/>
  <c r="O27" i="79"/>
  <c r="F25" i="65"/>
  <c r="H22" i="63"/>
  <c r="AK25" i="5"/>
  <c r="AX6" i="7"/>
  <c r="Q4" i="76" s="1"/>
  <c r="AY7" i="7"/>
  <c r="Q5" i="76"/>
  <c r="Q17" i="3" l="1"/>
  <c r="P18"/>
  <c r="P19" s="1"/>
  <c r="AX20" i="1"/>
  <c r="J16" i="81"/>
  <c r="AV22" i="7"/>
  <c r="H17" i="81"/>
  <c r="AU25" i="5"/>
  <c r="AZ24"/>
  <c r="BC24" s="1"/>
  <c r="X17" i="7"/>
  <c r="AA24" i="3"/>
  <c r="V24"/>
  <c r="AB23"/>
  <c r="Q19" i="5"/>
  <c r="M15" i="81" s="1"/>
  <c r="X18" i="3"/>
  <c r="Y17"/>
  <c r="G14" i="81"/>
  <c r="AJ17" i="1"/>
  <c r="AK17" s="1"/>
  <c r="AS21" i="5"/>
  <c r="AY20"/>
  <c r="BB20" s="1"/>
  <c r="BE20" s="1"/>
  <c r="N20"/>
  <c r="B18" i="65"/>
  <c r="E18" s="1"/>
  <c r="AI18" i="1"/>
  <c r="AW19" i="7" s="1"/>
  <c r="I15" i="63"/>
  <c r="BF19" i="5"/>
  <c r="BG19" s="1"/>
  <c r="G19" i="65" s="1"/>
  <c r="N19" i="1"/>
  <c r="V19" s="1"/>
  <c r="P20" i="5"/>
  <c r="AQ16" i="7"/>
  <c r="BC16"/>
  <c r="H30" i="5"/>
  <c r="AO22" i="7"/>
  <c r="AN22" s="1"/>
  <c r="E28" i="3"/>
  <c r="C27"/>
  <c r="F27" s="1"/>
  <c r="I27"/>
  <c r="Y29" i="5"/>
  <c r="J25" i="82" s="1"/>
  <c r="AO29" i="1"/>
  <c r="AT28"/>
  <c r="AU28" s="1"/>
  <c r="I25" i="81" s="1"/>
  <c r="AA29" i="1"/>
  <c r="Y29"/>
  <c r="AB29" s="1"/>
  <c r="L30"/>
  <c r="Y18" i="7"/>
  <c r="X18" s="1"/>
  <c r="V27" i="2"/>
  <c r="T28"/>
  <c r="K28" i="76"/>
  <c r="N28" s="1"/>
  <c r="I27"/>
  <c r="M27" s="1"/>
  <c r="G27"/>
  <c r="L26"/>
  <c r="D26"/>
  <c r="E26" s="1"/>
  <c r="C26"/>
  <c r="U25" i="3"/>
  <c r="S28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G25" i="63"/>
  <c r="D28" i="5"/>
  <c r="E28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O24" s="1"/>
  <c r="H23" i="82"/>
  <c r="E25" i="2"/>
  <c r="J24" i="65"/>
  <c r="AI22" i="2"/>
  <c r="R23"/>
  <c r="S24" i="76"/>
  <c r="E22" i="81"/>
  <c r="C22" i="63"/>
  <c r="D22" s="1"/>
  <c r="O28" i="79"/>
  <c r="AK26" i="5"/>
  <c r="F26" i="65"/>
  <c r="H23" i="63"/>
  <c r="L27" i="5"/>
  <c r="I27" i="79"/>
  <c r="AY6" i="7"/>
  <c r="Q19" i="3" l="1"/>
  <c r="P20"/>
  <c r="AX21" i="1"/>
  <c r="J17" i="81"/>
  <c r="AV23" i="7"/>
  <c r="H18" i="81"/>
  <c r="AU26" i="5"/>
  <c r="AZ25"/>
  <c r="BC25" s="1"/>
  <c r="AA25" i="3"/>
  <c r="V25"/>
  <c r="AB24"/>
  <c r="Q20" i="5"/>
  <c r="M16" i="81" s="1"/>
  <c r="X19" i="3"/>
  <c r="Y18"/>
  <c r="P21" i="5"/>
  <c r="AJ18" i="1"/>
  <c r="AK18" s="1"/>
  <c r="G15" i="81"/>
  <c r="AS22" i="5"/>
  <c r="AY21"/>
  <c r="BB21" s="1"/>
  <c r="BE21" s="1"/>
  <c r="I16" i="63"/>
  <c r="BF20" i="5"/>
  <c r="BG20" s="1"/>
  <c r="G20" i="65" s="1"/>
  <c r="B19"/>
  <c r="E19" s="1"/>
  <c r="AI19" i="1"/>
  <c r="AW20" i="7" s="1"/>
  <c r="N21" i="5"/>
  <c r="N20" i="1"/>
  <c r="V20" s="1"/>
  <c r="H31" i="5"/>
  <c r="AR18" i="7"/>
  <c r="AQ18" s="1"/>
  <c r="E29" i="3"/>
  <c r="I28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E29" i="5"/>
  <c r="I29"/>
  <c r="C30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D30" i="1"/>
  <c r="E30" s="1"/>
  <c r="AF27" i="7"/>
  <c r="AE27"/>
  <c r="AO23"/>
  <c r="AN23" s="1"/>
  <c r="D29" i="1"/>
  <c r="E29" s="1"/>
  <c r="AB29" i="7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S25" i="76"/>
  <c r="H24" i="82"/>
  <c r="N25" i="2"/>
  <c r="O25" s="1"/>
  <c r="E26"/>
  <c r="F27" i="65"/>
  <c r="H24" i="63"/>
  <c r="AK27" i="5"/>
  <c r="I28" i="79"/>
  <c r="L28" i="5"/>
  <c r="O29" i="79"/>
  <c r="Q20" i="3" l="1"/>
  <c r="P21"/>
  <c r="J18" i="81"/>
  <c r="AX22" i="1"/>
  <c r="AV24" i="7"/>
  <c r="H19" i="81"/>
  <c r="AU27" i="5"/>
  <c r="AZ26"/>
  <c r="BC26" s="1"/>
  <c r="BC18" i="7"/>
  <c r="AS18"/>
  <c r="AX18" s="1"/>
  <c r="AY18" s="1"/>
  <c r="AG27" i="2"/>
  <c r="AA26" i="3"/>
  <c r="V26"/>
  <c r="AB25"/>
  <c r="Q21" i="5"/>
  <c r="M17" i="81" s="1"/>
  <c r="N21" i="1"/>
  <c r="V21" s="1"/>
  <c r="P22" i="5"/>
  <c r="AI20" i="1"/>
  <c r="AW21" i="7" s="1"/>
  <c r="B20" i="65"/>
  <c r="E20" s="1"/>
  <c r="X20" i="3"/>
  <c r="Y19"/>
  <c r="G16" i="81"/>
  <c r="AJ19" i="1"/>
  <c r="AK19" s="1"/>
  <c r="N22" i="5"/>
  <c r="AS23"/>
  <c r="AY22"/>
  <c r="BB22" s="1"/>
  <c r="BE22" s="1"/>
  <c r="I17" i="63"/>
  <c r="BF21" i="5"/>
  <c r="BG21" s="1"/>
  <c r="G21" i="65" s="1"/>
  <c r="AO24" i="7"/>
  <c r="AN24" s="1"/>
  <c r="H32" i="5"/>
  <c r="AT30" i="1"/>
  <c r="AU30" s="1"/>
  <c r="I27" i="81" s="1"/>
  <c r="E30" i="3"/>
  <c r="I29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0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X20" s="1"/>
  <c r="B31"/>
  <c r="I27"/>
  <c r="J27"/>
  <c r="M25"/>
  <c r="N25"/>
  <c r="Q23"/>
  <c r="R23"/>
  <c r="S22"/>
  <c r="T22"/>
  <c r="K26"/>
  <c r="L26"/>
  <c r="Q15" i="76"/>
  <c r="AY17" i="7"/>
  <c r="O24"/>
  <c r="P24"/>
  <c r="AR19"/>
  <c r="X19"/>
  <c r="E29"/>
  <c r="F29"/>
  <c r="C30"/>
  <c r="D30"/>
  <c r="V21"/>
  <c r="W21" s="1"/>
  <c r="U21"/>
  <c r="H28"/>
  <c r="G28"/>
  <c r="AD28" i="2"/>
  <c r="AB29"/>
  <c r="Z27"/>
  <c r="AF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O26" s="1"/>
  <c r="J26" i="65"/>
  <c r="AI24" i="2"/>
  <c r="E24" i="81"/>
  <c r="R25" i="2"/>
  <c r="C24" i="63"/>
  <c r="D24" s="1"/>
  <c r="S26" i="76"/>
  <c r="AK28" i="5"/>
  <c r="H25" i="63"/>
  <c r="F28" i="65"/>
  <c r="I29" i="79"/>
  <c r="L29" i="5"/>
  <c r="Q21" i="3" l="1"/>
  <c r="P22"/>
  <c r="AX23" i="1"/>
  <c r="J19" i="81"/>
  <c r="H20"/>
  <c r="AV25" i="7"/>
  <c r="AU28" i="5"/>
  <c r="AZ27"/>
  <c r="BC27" s="1"/>
  <c r="Q16" i="76"/>
  <c r="AA27" i="3"/>
  <c r="V27"/>
  <c r="AB26"/>
  <c r="Q22" i="5"/>
  <c r="M18" i="81" s="1"/>
  <c r="AI21" i="1"/>
  <c r="AW22" i="7" s="1"/>
  <c r="B21" i="65"/>
  <c r="E21" s="1"/>
  <c r="N22" i="1"/>
  <c r="V22" s="1"/>
  <c r="P23" i="5"/>
  <c r="G17" i="81"/>
  <c r="AJ20" i="1"/>
  <c r="AK20" s="1"/>
  <c r="AS24" i="5"/>
  <c r="AY23"/>
  <c r="BB23" s="1"/>
  <c r="BE23" s="1"/>
  <c r="N23"/>
  <c r="I18" i="63"/>
  <c r="BF22" i="5"/>
  <c r="BG22" s="1"/>
  <c r="G22" i="65" s="1"/>
  <c r="X21" i="3"/>
  <c r="X22" s="1"/>
  <c r="Y20"/>
  <c r="Y21" s="1"/>
  <c r="AT31" i="1"/>
  <c r="AU31" s="1"/>
  <c r="H33" i="5"/>
  <c r="E31" i="3"/>
  <c r="AH25"/>
  <c r="I30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E31" i="5"/>
  <c r="D31"/>
  <c r="I31"/>
  <c r="C32"/>
  <c r="AS33" i="1"/>
  <c r="AQ32"/>
  <c r="AH3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D31" i="1"/>
  <c r="E31" s="1"/>
  <c r="AJ27" i="7"/>
  <c r="AI27"/>
  <c r="AF29"/>
  <c r="AE29"/>
  <c r="AC30"/>
  <c r="AD30"/>
  <c r="AO25"/>
  <c r="AN25" s="1"/>
  <c r="AR20"/>
  <c r="AX20" s="1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O27" s="1"/>
  <c r="H26" i="82"/>
  <c r="S27" i="76"/>
  <c r="E25" i="81"/>
  <c r="C25" i="63"/>
  <c r="D25" s="1"/>
  <c r="R26" i="2"/>
  <c r="J27" i="65"/>
  <c r="AI25" i="2"/>
  <c r="F29" i="65"/>
  <c r="H26" i="63"/>
  <c r="AK29" i="5"/>
  <c r="O31" i="79"/>
  <c r="I30"/>
  <c r="L30" i="5"/>
  <c r="Q22" i="3" l="1"/>
  <c r="P23"/>
  <c r="J20" i="81"/>
  <c r="AX24" i="1"/>
  <c r="H21" i="81"/>
  <c r="AV26" i="7"/>
  <c r="AU29" i="5"/>
  <c r="AZ28"/>
  <c r="BC28" s="1"/>
  <c r="AB27" i="3"/>
  <c r="AA28"/>
  <c r="V28"/>
  <c r="G18" i="81"/>
  <c r="AJ21" i="1"/>
  <c r="AK21" s="1"/>
  <c r="AS25" i="5"/>
  <c r="AY24"/>
  <c r="BB24" s="1"/>
  <c r="BE24" s="1"/>
  <c r="I19" i="63"/>
  <c r="BF23" i="5"/>
  <c r="BG23" s="1"/>
  <c r="G23" i="65" s="1"/>
  <c r="N24" i="5"/>
  <c r="P24"/>
  <c r="Q23"/>
  <c r="M19" i="81" s="1"/>
  <c r="N23" i="1"/>
  <c r="V23" s="1"/>
  <c r="B22" i="65"/>
  <c r="E22" s="1"/>
  <c r="AI22" i="1"/>
  <c r="AW23" i="7" s="1"/>
  <c r="X23" i="3"/>
  <c r="Y22"/>
  <c r="Y22" i="7"/>
  <c r="AR22" s="1"/>
  <c r="BC22" s="1"/>
  <c r="H34" i="5"/>
  <c r="AT32" i="1"/>
  <c r="AU32" s="1"/>
  <c r="I29" i="81" s="1"/>
  <c r="E33" i="3"/>
  <c r="E32"/>
  <c r="I31"/>
  <c r="C31"/>
  <c r="F31" s="1"/>
  <c r="Y33" i="5"/>
  <c r="J29" i="82" s="1"/>
  <c r="AO33" i="1"/>
  <c r="AA33"/>
  <c r="Y33"/>
  <c r="AB33" s="1"/>
  <c r="L35"/>
  <c r="L34"/>
  <c r="X21" i="7"/>
  <c r="V31" i="2"/>
  <c r="T33"/>
  <c r="T32"/>
  <c r="K32" i="76"/>
  <c r="N32" s="1"/>
  <c r="I31"/>
  <c r="M31" s="1"/>
  <c r="L30"/>
  <c r="D30"/>
  <c r="E30" s="1"/>
  <c r="G31"/>
  <c r="C30"/>
  <c r="U29" i="3"/>
  <c r="S32"/>
  <c r="M31"/>
  <c r="F27" i="63"/>
  <c r="AK27" i="3"/>
  <c r="AC27"/>
  <c r="AH27" s="1"/>
  <c r="N28"/>
  <c r="Z28"/>
  <c r="AE28" s="1"/>
  <c r="AF28" s="1"/>
  <c r="AG28" s="1"/>
  <c r="K29"/>
  <c r="Q29"/>
  <c r="BA33" i="5"/>
  <c r="BD33" s="1"/>
  <c r="AA32"/>
  <c r="AJ32"/>
  <c r="K28" i="82" s="1"/>
  <c r="AL31" i="5"/>
  <c r="W32"/>
  <c r="U33"/>
  <c r="C33"/>
  <c r="D32"/>
  <c r="E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R32" i="1"/>
  <c r="S33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AN26" s="1"/>
  <c r="BC20"/>
  <c r="AQ20"/>
  <c r="S24"/>
  <c r="T24"/>
  <c r="Q18" i="76"/>
  <c r="AY20" i="7"/>
  <c r="AQ21"/>
  <c r="AX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3" i="2"/>
  <c r="I32" i="82" s="1"/>
  <c r="G32" i="2"/>
  <c r="I31" i="82" s="1"/>
  <c r="E29" i="2"/>
  <c r="N28"/>
  <c r="O28" s="1"/>
  <c r="H27" i="82"/>
  <c r="C26" i="63"/>
  <c r="D26" s="1"/>
  <c r="E26" i="81"/>
  <c r="S28" i="76"/>
  <c r="R27" i="2"/>
  <c r="J28" i="65"/>
  <c r="AI26" i="2"/>
  <c r="L31" i="5"/>
  <c r="I31" i="79"/>
  <c r="O32"/>
  <c r="AK30" i="5"/>
  <c r="F30" i="65"/>
  <c r="H27" i="63"/>
  <c r="Q23" i="3" l="1"/>
  <c r="P24"/>
  <c r="T33" i="1"/>
  <c r="AA29" i="3"/>
  <c r="V29"/>
  <c r="AX25" i="1"/>
  <c r="J21" i="81"/>
  <c r="H22"/>
  <c r="AV27" i="7"/>
  <c r="AB28" i="3"/>
  <c r="AU30" i="5"/>
  <c r="AZ29"/>
  <c r="BC29" s="1"/>
  <c r="Q24"/>
  <c r="M20" i="81" s="1"/>
  <c r="X24" i="3"/>
  <c r="Y23"/>
  <c r="P25" i="5"/>
  <c r="AS26"/>
  <c r="AY25"/>
  <c r="BB25" s="1"/>
  <c r="BE25" s="1"/>
  <c r="AI23" i="1"/>
  <c r="AW24" i="7" s="1"/>
  <c r="B23" i="65"/>
  <c r="E23" s="1"/>
  <c r="N24" i="1"/>
  <c r="V24" s="1"/>
  <c r="I20" i="63"/>
  <c r="BF24" i="5"/>
  <c r="BG24" s="1"/>
  <c r="G24" i="65" s="1"/>
  <c r="AJ22" i="1"/>
  <c r="AK22" s="1"/>
  <c r="G19" i="81"/>
  <c r="N25" i="5"/>
  <c r="X22" i="7"/>
  <c r="H36" i="5"/>
  <c r="H35"/>
  <c r="D1"/>
  <c r="AT33" i="1"/>
  <c r="AU33" s="1"/>
  <c r="AO27" i="7"/>
  <c r="AN27" s="1"/>
  <c r="C32" i="3"/>
  <c r="F32" s="1"/>
  <c r="I32"/>
  <c r="Y34" i="5"/>
  <c r="J30" i="82" s="1"/>
  <c r="AO35" i="1"/>
  <c r="AO34"/>
  <c r="AA34"/>
  <c r="AA35"/>
  <c r="Y35"/>
  <c r="AB35" s="1"/>
  <c r="Y34"/>
  <c r="AB34" s="1"/>
  <c r="Y23" i="7"/>
  <c r="AR23" s="1"/>
  <c r="BC23" s="1"/>
  <c r="V32" i="2"/>
  <c r="V33"/>
  <c r="K33" i="76"/>
  <c r="N33" s="1"/>
  <c r="I32"/>
  <c r="M32" s="1"/>
  <c r="G32"/>
  <c r="D31"/>
  <c r="E31" s="1"/>
  <c r="L31"/>
  <c r="C31"/>
  <c r="U30" i="3"/>
  <c r="S33"/>
  <c r="M32"/>
  <c r="M33"/>
  <c r="K30"/>
  <c r="Q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K28" i="81"/>
  <c r="J32" i="5"/>
  <c r="L28" i="81" s="1"/>
  <c r="G30" i="63"/>
  <c r="D33" i="5"/>
  <c r="E33"/>
  <c r="I33"/>
  <c r="AQ35" i="1"/>
  <c r="AQ34"/>
  <c r="AF33"/>
  <c r="AH33" s="1"/>
  <c r="C33" i="65" s="1"/>
  <c r="AD33" i="1"/>
  <c r="AM32"/>
  <c r="F33" i="75" s="1"/>
  <c r="G33" s="1"/>
  <c r="AG32" i="1"/>
  <c r="R33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AX22"/>
  <c r="AQ22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F32" i="82" s="1"/>
  <c r="K32" i="2"/>
  <c r="F31" i="82" s="1"/>
  <c r="I32" i="2"/>
  <c r="G31" i="82" s="1"/>
  <c r="I33" i="2"/>
  <c r="G32" i="82" s="1"/>
  <c r="J29" i="65"/>
  <c r="AI27" i="2"/>
  <c r="N29"/>
  <c r="O29" s="1"/>
  <c r="H28" i="82"/>
  <c r="E30" i="2"/>
  <c r="C27" i="63"/>
  <c r="D27" s="1"/>
  <c r="R28" i="2"/>
  <c r="E27" i="81"/>
  <c r="S29" i="76"/>
  <c r="O33" i="79"/>
  <c r="AK31" i="5"/>
  <c r="H28" i="63"/>
  <c r="F31" i="65"/>
  <c r="L32" i="5"/>
  <c r="I32" i="79"/>
  <c r="Q24" i="3" l="1"/>
  <c r="P25"/>
  <c r="T34" i="1"/>
  <c r="T35"/>
  <c r="AB29" i="3"/>
  <c r="H37" i="5"/>
  <c r="C7" i="77" s="1"/>
  <c r="J22" i="81"/>
  <c r="AX26" i="1"/>
  <c r="AV28" i="7"/>
  <c r="H23" i="81"/>
  <c r="AU31" i="5"/>
  <c r="AZ30"/>
  <c r="BC30" s="1"/>
  <c r="AA30" i="3"/>
  <c r="V30"/>
  <c r="P26" i="5"/>
  <c r="Q25"/>
  <c r="M21" i="81" s="1"/>
  <c r="X25" i="3"/>
  <c r="Y24"/>
  <c r="N25" i="1"/>
  <c r="V25" s="1"/>
  <c r="AS27" i="5"/>
  <c r="AY26"/>
  <c r="BB26" s="1"/>
  <c r="BE26" s="1"/>
  <c r="BF26" s="1"/>
  <c r="N26"/>
  <c r="B24" i="65"/>
  <c r="E24" s="1"/>
  <c r="AI24" i="1"/>
  <c r="AW25" i="7" s="1"/>
  <c r="I21" i="63"/>
  <c r="BF25" i="5"/>
  <c r="BG25" s="1"/>
  <c r="G25" i="65" s="1"/>
  <c r="AJ23" i="1"/>
  <c r="AK23" s="1"/>
  <c r="G20" i="81"/>
  <c r="AT35" i="1"/>
  <c r="Y24" i="7"/>
  <c r="X24" s="1"/>
  <c r="AT34" i="1"/>
  <c r="AU34" s="1"/>
  <c r="I33" i="3"/>
  <c r="C33"/>
  <c r="Y36" i="5"/>
  <c r="Y35"/>
  <c r="J31" i="82" s="1"/>
  <c r="X23" i="7"/>
  <c r="AA26" i="76"/>
  <c r="AB26" s="1"/>
  <c r="K34"/>
  <c r="N34" s="1"/>
  <c r="N35" s="1"/>
  <c r="N36" s="1"/>
  <c r="I33"/>
  <c r="M33" s="1"/>
  <c r="L32"/>
  <c r="D32"/>
  <c r="E32" s="1"/>
  <c r="G33"/>
  <c r="C32"/>
  <c r="U31" i="3"/>
  <c r="S35"/>
  <c r="Z30"/>
  <c r="AE30" s="1"/>
  <c r="AF30" s="1"/>
  <c r="AG30" s="1"/>
  <c r="N30"/>
  <c r="Q31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C35"/>
  <c r="D34"/>
  <c r="I34"/>
  <c r="E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R35"/>
  <c r="R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Z36"/>
  <c r="AO28"/>
  <c r="AN28" s="1"/>
  <c r="E33"/>
  <c r="F33"/>
  <c r="H32"/>
  <c r="G32"/>
  <c r="I31"/>
  <c r="J31"/>
  <c r="U25"/>
  <c r="V25"/>
  <c r="W25" s="1"/>
  <c r="L30"/>
  <c r="K30"/>
  <c r="M29"/>
  <c r="N29"/>
  <c r="Q27"/>
  <c r="R27"/>
  <c r="D34"/>
  <c r="C34"/>
  <c r="AX23"/>
  <c r="AQ23"/>
  <c r="B35"/>
  <c r="B36"/>
  <c r="P28"/>
  <c r="O28"/>
  <c r="S26"/>
  <c r="T26"/>
  <c r="AD32" i="2"/>
  <c r="AD33"/>
  <c r="AE33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E32" i="82" s="1"/>
  <c r="M32" i="2"/>
  <c r="E31" i="82" s="1"/>
  <c r="C28" i="63"/>
  <c r="D28" s="1"/>
  <c r="S30" i="76"/>
  <c r="E28" i="81"/>
  <c r="R29" i="2"/>
  <c r="N30"/>
  <c r="O30" s="1"/>
  <c r="H29" i="82"/>
  <c r="E31" i="2"/>
  <c r="J30" i="65"/>
  <c r="AI28" i="2"/>
  <c r="H29" i="63"/>
  <c r="F32" i="65"/>
  <c r="AK32" i="5"/>
  <c r="O34" i="79"/>
  <c r="I33"/>
  <c r="L33" i="5"/>
  <c r="Q25" i="3" l="1"/>
  <c r="P26"/>
  <c r="AA31"/>
  <c r="V31"/>
  <c r="J23" i="81"/>
  <c r="AX27" i="1"/>
  <c r="AV29" i="7"/>
  <c r="H24" i="81"/>
  <c r="AU32" i="5"/>
  <c r="AZ31"/>
  <c r="BC31" s="1"/>
  <c r="Q26"/>
  <c r="M22" i="81" s="1"/>
  <c r="AB30" i="3"/>
  <c r="U37" i="5"/>
  <c r="I22" i="63"/>
  <c r="BG26" i="5"/>
  <c r="G26" i="65" s="1"/>
  <c r="P27" i="5"/>
  <c r="X26" i="3"/>
  <c r="Y25"/>
  <c r="B25" i="65"/>
  <c r="E25" s="1"/>
  <c r="AI25" i="1"/>
  <c r="AW26" i="7" s="1"/>
  <c r="N27" i="5"/>
  <c r="AJ24" i="1"/>
  <c r="AK24" s="1"/>
  <c r="G21" i="81"/>
  <c r="N26" i="1"/>
  <c r="V26" s="1"/>
  <c r="AS28" i="5"/>
  <c r="AY27"/>
  <c r="BB27" s="1"/>
  <c r="BE27" s="1"/>
  <c r="BD36"/>
  <c r="AR24" i="7"/>
  <c r="BC24" s="1"/>
  <c r="I31" i="81"/>
  <c r="AU35" i="1"/>
  <c r="I32" i="81" s="1"/>
  <c r="AO29" i="7"/>
  <c r="AN29" s="1"/>
  <c r="Y25"/>
  <c r="AR25" s="1"/>
  <c r="F33" i="3"/>
  <c r="C35"/>
  <c r="J32" i="82"/>
  <c r="Y37" i="5"/>
  <c r="I34" i="76"/>
  <c r="M34" s="1"/>
  <c r="M35" s="1"/>
  <c r="M36" s="1"/>
  <c r="AA27"/>
  <c r="AB27" s="1"/>
  <c r="AA28"/>
  <c r="G34"/>
  <c r="D33"/>
  <c r="E33" s="1"/>
  <c r="L33"/>
  <c r="C34"/>
  <c r="C33"/>
  <c r="U33" i="3"/>
  <c r="U32"/>
  <c r="AC30"/>
  <c r="AH30" s="1"/>
  <c r="F30" i="63"/>
  <c r="AK30" i="3"/>
  <c r="Q32"/>
  <c r="K32"/>
  <c r="N31"/>
  <c r="Z31"/>
  <c r="AJ35" i="5"/>
  <c r="K31" i="82" s="1"/>
  <c r="AA35" i="5"/>
  <c r="AL34"/>
  <c r="W36"/>
  <c r="W35"/>
  <c r="D35"/>
  <c r="D39" s="1"/>
  <c r="I35"/>
  <c r="E35"/>
  <c r="D36"/>
  <c r="E36"/>
  <c r="I36"/>
  <c r="C37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AY23" i="7"/>
  <c r="Q21" i="76"/>
  <c r="P29" i="7"/>
  <c r="O29"/>
  <c r="S27"/>
  <c r="T27"/>
  <c r="E34"/>
  <c r="F34"/>
  <c r="C36"/>
  <c r="D36"/>
  <c r="Z33" i="2"/>
  <c r="AF33" s="1"/>
  <c r="AG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E32" i="2"/>
  <c r="E33"/>
  <c r="O36" i="79"/>
  <c r="O35"/>
  <c r="L34" i="5"/>
  <c r="I34" i="79"/>
  <c r="H30" i="63"/>
  <c r="AK33" i="5"/>
  <c r="F33" i="65"/>
  <c r="AA33" i="3" l="1"/>
  <c r="V33"/>
  <c r="AG32" i="2"/>
  <c r="A36" i="76"/>
  <c r="AB31" i="3"/>
  <c r="Q26"/>
  <c r="P27"/>
  <c r="I37" i="5"/>
  <c r="G39" s="1"/>
  <c r="J24" i="81"/>
  <c r="AX28" i="1"/>
  <c r="E38" i="5"/>
  <c r="H25" i="81"/>
  <c r="AV30" i="7"/>
  <c r="AU33" i="5"/>
  <c r="AZ32"/>
  <c r="BC32" s="1"/>
  <c r="AA32" i="3"/>
  <c r="V32"/>
  <c r="X25" i="7"/>
  <c r="N28" i="5"/>
  <c r="P28"/>
  <c r="X27" i="3"/>
  <c r="Y26"/>
  <c r="Q27" i="5"/>
  <c r="M23" i="81" s="1"/>
  <c r="AS29" i="5"/>
  <c r="AY28"/>
  <c r="BB28" s="1"/>
  <c r="BE28" s="1"/>
  <c r="B26" i="65"/>
  <c r="E26" s="1"/>
  <c r="AI26" i="1"/>
  <c r="AW27" i="7" s="1"/>
  <c r="I23" i="63"/>
  <c r="BF27" i="5"/>
  <c r="BG27" s="1"/>
  <c r="G27" i="65" s="1"/>
  <c r="N27" i="1"/>
  <c r="V27" s="1"/>
  <c r="AJ25"/>
  <c r="AK25" s="1"/>
  <c r="G22" i="81"/>
  <c r="AU36" i="1"/>
  <c r="AU38" s="1"/>
  <c r="BC25" i="7"/>
  <c r="Y26"/>
  <c r="X26" s="1"/>
  <c r="AQ24"/>
  <c r="AO30"/>
  <c r="AN30" s="1"/>
  <c r="AB28" i="76"/>
  <c r="AA29"/>
  <c r="D34"/>
  <c r="E34" s="1"/>
  <c r="L34"/>
  <c r="L35" s="1"/>
  <c r="L36" s="1"/>
  <c r="AK31" i="3"/>
  <c r="F31" i="63"/>
  <c r="AC31" i="3"/>
  <c r="Z32"/>
  <c r="N32"/>
  <c r="Q33"/>
  <c r="K33"/>
  <c r="AE31"/>
  <c r="AF31" s="1"/>
  <c r="AG31" s="1"/>
  <c r="AA36" i="5"/>
  <c r="AJ36"/>
  <c r="AL36" s="1"/>
  <c r="AL35"/>
  <c r="K31" i="81"/>
  <c r="J35" i="5"/>
  <c r="L31" i="81" s="1"/>
  <c r="K32"/>
  <c r="J36" i="5"/>
  <c r="L32" i="81" s="1"/>
  <c r="C6" i="77"/>
  <c r="C38" i="5"/>
  <c r="H39" s="1"/>
  <c r="D37"/>
  <c r="O19" i="1"/>
  <c r="O5"/>
  <c r="O27"/>
  <c r="O12"/>
  <c r="O6"/>
  <c r="O9"/>
  <c r="O16"/>
  <c r="O26"/>
  <c r="O22"/>
  <c r="O14"/>
  <c r="O24"/>
  <c r="O30"/>
  <c r="O29"/>
  <c r="O34"/>
  <c r="O8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X25"/>
  <c r="V27"/>
  <c r="W27" s="1"/>
  <c r="U27"/>
  <c r="S28"/>
  <c r="T28"/>
  <c r="AI32" i="3"/>
  <c r="D34" i="65" s="1"/>
  <c r="H31" i="82"/>
  <c r="N32" i="2"/>
  <c r="O32" s="1"/>
  <c r="N33"/>
  <c r="H32" i="82"/>
  <c r="AI30" i="2"/>
  <c r="J32" i="65"/>
  <c r="R31" i="2"/>
  <c r="E30" i="81"/>
  <c r="C30" i="63"/>
  <c r="D30" s="1"/>
  <c r="S32" i="76"/>
  <c r="I36" i="79"/>
  <c r="I35"/>
  <c r="L35" i="5"/>
  <c r="AK35" s="1"/>
  <c r="F34" i="65"/>
  <c r="H31" i="63"/>
  <c r="AK34" i="5"/>
  <c r="Q27" i="3" l="1"/>
  <c r="P28"/>
  <c r="Q28" s="1"/>
  <c r="I38" i="5"/>
  <c r="J25" i="81"/>
  <c r="AX29" i="1"/>
  <c r="AV31" i="7"/>
  <c r="H26" i="81"/>
  <c r="I36" i="76"/>
  <c r="AU34" i="5"/>
  <c r="AZ33"/>
  <c r="BC33" s="1"/>
  <c r="AB32" i="3"/>
  <c r="D38" i="73"/>
  <c r="C16" i="77" s="1"/>
  <c r="F16" s="1"/>
  <c r="AC30" i="76"/>
  <c r="W39" s="1"/>
  <c r="K35"/>
  <c r="G4" i="77"/>
  <c r="F8" s="1"/>
  <c r="G36" i="76"/>
  <c r="C36"/>
  <c r="AL37" i="5"/>
  <c r="AO31" i="7"/>
  <c r="AN31" s="1"/>
  <c r="AX24"/>
  <c r="Q22" i="76" s="1"/>
  <c r="I24" i="63"/>
  <c r="BF28" i="5"/>
  <c r="BG28" s="1"/>
  <c r="G28" i="65" s="1"/>
  <c r="N29" i="5"/>
  <c r="B27" i="65"/>
  <c r="E27" s="1"/>
  <c r="AI27" i="1"/>
  <c r="AW28" i="7" s="1"/>
  <c r="G23" i="81"/>
  <c r="AJ26" i="1"/>
  <c r="AK26" s="1"/>
  <c r="X28" i="3"/>
  <c r="Y27"/>
  <c r="N28" i="1"/>
  <c r="V28" s="1"/>
  <c r="P29" i="5"/>
  <c r="AS30"/>
  <c r="AY29"/>
  <c r="BB29" s="1"/>
  <c r="BE29" s="1"/>
  <c r="Q28"/>
  <c r="M24" i="81" s="1"/>
  <c r="AR26" i="7"/>
  <c r="BC26" s="1"/>
  <c r="AE28" i="76"/>
  <c r="AF28" s="1"/>
  <c r="AB30"/>
  <c r="AH31" i="3"/>
  <c r="AK32"/>
  <c r="AC32"/>
  <c r="N33"/>
  <c r="AB33" s="1"/>
  <c r="Z33"/>
  <c r="K35"/>
  <c r="U34" s="1"/>
  <c r="W31" i="76" s="1"/>
  <c r="X31" s="1"/>
  <c r="Y31" s="1"/>
  <c r="AE32" i="3"/>
  <c r="AF32" s="1"/>
  <c r="AG32" s="1"/>
  <c r="K32" i="82"/>
  <c r="AJ37" i="5"/>
  <c r="Z38" s="1"/>
  <c r="E6" i="77"/>
  <c r="H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I34"/>
  <c r="J34"/>
  <c r="S29"/>
  <c r="T29"/>
  <c r="R30"/>
  <c r="Q30"/>
  <c r="S33" i="76"/>
  <c r="R32" i="2"/>
  <c r="AI32" s="1"/>
  <c r="E31" i="81"/>
  <c r="C31" i="63"/>
  <c r="D31" s="1"/>
  <c r="E32" i="81"/>
  <c r="R33" i="2"/>
  <c r="AI33" s="1"/>
  <c r="S34" i="76"/>
  <c r="J33" i="65"/>
  <c r="AI31" i="2"/>
  <c r="L36" i="5"/>
  <c r="AX30" i="1" l="1"/>
  <c r="J26" i="81"/>
  <c r="AV32" i="7"/>
  <c r="H27" i="81"/>
  <c r="AU35" i="5"/>
  <c r="AZ34"/>
  <c r="BC34" s="1"/>
  <c r="AC31" i="76"/>
  <c r="O5" s="1"/>
  <c r="P5" s="1"/>
  <c r="R5" s="1"/>
  <c r="F6" i="77"/>
  <c r="G7"/>
  <c r="G37" i="76"/>
  <c r="AD28" s="1"/>
  <c r="K37"/>
  <c r="AD26" s="1"/>
  <c r="I37"/>
  <c r="AD27" s="1"/>
  <c r="F9" i="77"/>
  <c r="H9" s="1"/>
  <c r="AY24" i="7"/>
  <c r="X29" i="3"/>
  <c r="Y28"/>
  <c r="N30" i="5"/>
  <c r="P30"/>
  <c r="N29" i="1"/>
  <c r="V29" s="1"/>
  <c r="Q29" i="5"/>
  <c r="M25" i="81" s="1"/>
  <c r="AI28" i="1"/>
  <c r="AW29" i="7" s="1"/>
  <c r="B28" i="65"/>
  <c r="E28" s="1"/>
  <c r="AS31" i="5"/>
  <c r="AY30"/>
  <c r="BB30" s="1"/>
  <c r="BE30" s="1"/>
  <c r="I25" i="63"/>
  <c r="BF29" i="5"/>
  <c r="BG29" s="1"/>
  <c r="G29" i="65" s="1"/>
  <c r="AQ26" i="7"/>
  <c r="K39" i="5"/>
  <c r="W42" i="76"/>
  <c r="W40"/>
  <c r="W41" s="1"/>
  <c r="H8" i="77"/>
  <c r="G8"/>
  <c r="AC33" i="3"/>
  <c r="Z34"/>
  <c r="C18" i="77" s="1"/>
  <c r="AE33" i="3"/>
  <c r="AF33" s="1"/>
  <c r="AG33" s="1"/>
  <c r="AH32"/>
  <c r="AH36" i="7"/>
  <c r="AG36"/>
  <c r="AG35"/>
  <c r="AH35"/>
  <c r="AK33"/>
  <c r="AL33"/>
  <c r="AM33" s="1"/>
  <c r="AJ34"/>
  <c r="AI34"/>
  <c r="AO32"/>
  <c r="AN32" s="1"/>
  <c r="Y28"/>
  <c r="AR28" s="1"/>
  <c r="X27"/>
  <c r="AR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S35" i="76"/>
  <c r="AK36" i="5"/>
  <c r="J27" i="81" l="1"/>
  <c r="AX31" i="1"/>
  <c r="T5" i="76"/>
  <c r="F3" i="81" s="1"/>
  <c r="H28"/>
  <c r="AV33" i="7"/>
  <c r="G6" i="77"/>
  <c r="AU36" i="5"/>
  <c r="AZ36" s="1"/>
  <c r="AZ35"/>
  <c r="BC35" s="1"/>
  <c r="O21" i="76"/>
  <c r="P21" s="1"/>
  <c r="R21" s="1"/>
  <c r="T21" s="1"/>
  <c r="F19" i="81" s="1"/>
  <c r="G9" i="77"/>
  <c r="O8" i="76"/>
  <c r="P8" s="1"/>
  <c r="R8" s="1"/>
  <c r="T8" s="1"/>
  <c r="F6" i="81" s="1"/>
  <c r="O10" i="76"/>
  <c r="P10" s="1"/>
  <c r="R10" s="1"/>
  <c r="T10" s="1"/>
  <c r="F8" i="81" s="1"/>
  <c r="O34" i="76"/>
  <c r="P34" s="1"/>
  <c r="O17"/>
  <c r="P17" s="1"/>
  <c r="R17" s="1"/>
  <c r="T17" s="1"/>
  <c r="F15" i="81" s="1"/>
  <c r="O7" i="76"/>
  <c r="P7" s="1"/>
  <c r="R7" s="1"/>
  <c r="T7" s="1"/>
  <c r="F5" i="81" s="1"/>
  <c r="O26" i="76"/>
  <c r="P26" s="1"/>
  <c r="O13"/>
  <c r="P13" s="1"/>
  <c r="R13" s="1"/>
  <c r="T13" s="1"/>
  <c r="F11" i="81" s="1"/>
  <c r="O14" i="76"/>
  <c r="P14" s="1"/>
  <c r="R14" s="1"/>
  <c r="T14" s="1"/>
  <c r="F12" i="81" s="1"/>
  <c r="O9" i="76"/>
  <c r="P9" s="1"/>
  <c r="R9" s="1"/>
  <c r="T9" s="1"/>
  <c r="F7" i="81" s="1"/>
  <c r="O29" i="76"/>
  <c r="P29" s="1"/>
  <c r="O25"/>
  <c r="P25" s="1"/>
  <c r="O22"/>
  <c r="P22" s="1"/>
  <c r="R22" s="1"/>
  <c r="T22" s="1"/>
  <c r="F20" i="81" s="1"/>
  <c r="O4" i="76"/>
  <c r="P4" s="1"/>
  <c r="O33"/>
  <c r="P33" s="1"/>
  <c r="O23"/>
  <c r="P23" s="1"/>
  <c r="R23" s="1"/>
  <c r="T23" s="1"/>
  <c r="F21" i="81" s="1"/>
  <c r="O15" i="76"/>
  <c r="P15" s="1"/>
  <c r="R15" s="1"/>
  <c r="T15" s="1"/>
  <c r="F13" i="81" s="1"/>
  <c r="O27" i="76"/>
  <c r="P27" s="1"/>
  <c r="O32"/>
  <c r="P32" s="1"/>
  <c r="AB31"/>
  <c r="O11"/>
  <c r="P11" s="1"/>
  <c r="R11" s="1"/>
  <c r="T11" s="1"/>
  <c r="F9" i="81" s="1"/>
  <c r="O24" i="76"/>
  <c r="P24" s="1"/>
  <c r="O16"/>
  <c r="P16" s="1"/>
  <c r="R16" s="1"/>
  <c r="T16" s="1"/>
  <c r="F14" i="81" s="1"/>
  <c r="O18" i="76"/>
  <c r="P18" s="1"/>
  <c r="R18" s="1"/>
  <c r="T18" s="1"/>
  <c r="F16" i="81" s="1"/>
  <c r="O19" i="76"/>
  <c r="P19" s="1"/>
  <c r="R19" s="1"/>
  <c r="T19" s="1"/>
  <c r="F17" i="81" s="1"/>
  <c r="O6" i="76"/>
  <c r="P6" s="1"/>
  <c r="R6" s="1"/>
  <c r="T6" s="1"/>
  <c r="F4" i="81" s="1"/>
  <c r="O12" i="76"/>
  <c r="P12" s="1"/>
  <c r="R12" s="1"/>
  <c r="T12" s="1"/>
  <c r="F10" i="81" s="1"/>
  <c r="O31" i="76"/>
  <c r="P31" s="1"/>
  <c r="O20"/>
  <c r="P20" s="1"/>
  <c r="R20" s="1"/>
  <c r="T20" s="1"/>
  <c r="F18" i="81" s="1"/>
  <c r="O28" i="76"/>
  <c r="P28" s="1"/>
  <c r="O30"/>
  <c r="P30" s="1"/>
  <c r="C37"/>
  <c r="AX26" i="7"/>
  <c r="AY26" s="1"/>
  <c r="AJ27" i="1"/>
  <c r="AK27" s="1"/>
  <c r="G24" i="81"/>
  <c r="X30" i="3"/>
  <c r="Y29"/>
  <c r="AJ28" i="1"/>
  <c r="AK28" s="1"/>
  <c r="G25" i="81"/>
  <c r="AS32" i="5"/>
  <c r="AY31"/>
  <c r="BB31" s="1"/>
  <c r="BE31" s="1"/>
  <c r="P31"/>
  <c r="Q30"/>
  <c r="M26" i="81" s="1"/>
  <c r="N31" i="5"/>
  <c r="I26" i="63"/>
  <c r="BF30" i="5"/>
  <c r="BG30" s="1"/>
  <c r="G30" i="65" s="1"/>
  <c r="B29"/>
  <c r="E29" s="1"/>
  <c r="AI29" i="1"/>
  <c r="N30"/>
  <c r="V30" s="1"/>
  <c r="AO33" i="7"/>
  <c r="AN33" s="1"/>
  <c r="W43" i="76"/>
  <c r="AH33" i="3"/>
  <c r="F18" i="77"/>
  <c r="C19"/>
  <c r="AJ36" i="7"/>
  <c r="AI36"/>
  <c r="AJ35"/>
  <c r="AI35"/>
  <c r="AK34"/>
  <c r="AL34"/>
  <c r="AM34" s="1"/>
  <c r="X28"/>
  <c r="AQ28"/>
  <c r="AX28"/>
  <c r="U30"/>
  <c r="V30"/>
  <c r="W30" s="1"/>
  <c r="K36"/>
  <c r="L36"/>
  <c r="Y29"/>
  <c r="AQ27"/>
  <c r="BC28"/>
  <c r="AX27"/>
  <c r="BC27"/>
  <c r="P33"/>
  <c r="O33"/>
  <c r="M34"/>
  <c r="N34"/>
  <c r="Q32"/>
  <c r="R32"/>
  <c r="K35"/>
  <c r="L35"/>
  <c r="S31"/>
  <c r="T31"/>
  <c r="E10" i="77" l="1"/>
  <c r="F10" s="1"/>
  <c r="AX32" i="1"/>
  <c r="J28" i="81"/>
  <c r="AV34" i="7"/>
  <c r="H29" i="81"/>
  <c r="BC36" i="5"/>
  <c r="Q31"/>
  <c r="M27" i="81" s="1"/>
  <c r="AB37" i="76"/>
  <c r="AB39" s="1"/>
  <c r="Z40" s="1"/>
  <c r="AB35"/>
  <c r="AB36" s="1"/>
  <c r="AA41"/>
  <c r="AB41" s="1"/>
  <c r="AB42" s="1"/>
  <c r="O35"/>
  <c r="O36" s="1"/>
  <c r="Q24"/>
  <c r="R24" s="1"/>
  <c r="T24" s="1"/>
  <c r="F22" i="81" s="1"/>
  <c r="I27" i="63"/>
  <c r="BF31" i="5"/>
  <c r="BG31" s="1"/>
  <c r="G31" i="65" s="1"/>
  <c r="P32" i="5"/>
  <c r="N32"/>
  <c r="AW30" i="7"/>
  <c r="N31" i="1"/>
  <c r="V31" s="1"/>
  <c r="B30" i="65"/>
  <c r="E30" s="1"/>
  <c r="AI30" i="1"/>
  <c r="AW31" i="7" s="1"/>
  <c r="X31" i="3"/>
  <c r="Y30"/>
  <c r="AS33" i="5"/>
  <c r="AY32"/>
  <c r="BB32" s="1"/>
  <c r="BE32" s="1"/>
  <c r="Y30" i="7"/>
  <c r="X30" s="1"/>
  <c r="AO34"/>
  <c r="P35" i="76"/>
  <c r="R4"/>
  <c r="T4" s="1"/>
  <c r="F2" i="81" s="1"/>
  <c r="AL36" i="7"/>
  <c r="AM36" s="1"/>
  <c r="AK36"/>
  <c r="AK35"/>
  <c r="AL35"/>
  <c r="AM35" s="1"/>
  <c r="Q33"/>
  <c r="R33"/>
  <c r="O34"/>
  <c r="P34"/>
  <c r="T32"/>
  <c r="S32"/>
  <c r="N36"/>
  <c r="M36"/>
  <c r="U31"/>
  <c r="V31"/>
  <c r="W31" s="1"/>
  <c r="AR29"/>
  <c r="X29"/>
  <c r="AY28"/>
  <c r="Q26" i="76"/>
  <c r="R26" s="1"/>
  <c r="T26" s="1"/>
  <c r="F24" i="81" s="1"/>
  <c r="AY27" i="7"/>
  <c r="Q25" i="76"/>
  <c r="R25" s="1"/>
  <c r="T25" s="1"/>
  <c r="F23" i="81" s="1"/>
  <c r="N35" i="7"/>
  <c r="M35"/>
  <c r="F12" i="77" l="1"/>
  <c r="G10"/>
  <c r="G12" s="1"/>
  <c r="H10"/>
  <c r="H12" s="1"/>
  <c r="I14" s="1"/>
  <c r="AN34" i="7"/>
  <c r="AR34"/>
  <c r="J29" i="81"/>
  <c r="AX33" i="1"/>
  <c r="AV35" i="7"/>
  <c r="H30" i="81"/>
  <c r="Q32" i="5"/>
  <c r="M28" i="81" s="1"/>
  <c r="AA42" i="76"/>
  <c r="AO35" i="7"/>
  <c r="N32" i="1"/>
  <c r="V32" s="1"/>
  <c r="G27" i="81"/>
  <c r="AJ30" i="1"/>
  <c r="AK30" s="1"/>
  <c r="P33" i="5"/>
  <c r="N33"/>
  <c r="I28" i="63"/>
  <c r="BF32" i="5"/>
  <c r="BG32" s="1"/>
  <c r="G32" i="65" s="1"/>
  <c r="AI31" i="1"/>
  <c r="B31" i="65"/>
  <c r="E31" s="1"/>
  <c r="X32" i="3"/>
  <c r="Y31"/>
  <c r="AS34" i="5"/>
  <c r="AY33"/>
  <c r="BB33" s="1"/>
  <c r="BE33" s="1"/>
  <c r="G26" i="81"/>
  <c r="AJ29" i="1"/>
  <c r="AK29" s="1"/>
  <c r="AR30" i="7"/>
  <c r="AQ30" s="1"/>
  <c r="Y31"/>
  <c r="AR31" s="1"/>
  <c r="AO36"/>
  <c r="O36"/>
  <c r="P36"/>
  <c r="P35"/>
  <c r="O35"/>
  <c r="Q34"/>
  <c r="R34"/>
  <c r="T33"/>
  <c r="S33"/>
  <c r="AQ29"/>
  <c r="BC29"/>
  <c r="V32"/>
  <c r="W32" s="1"/>
  <c r="U32"/>
  <c r="J14" i="77" l="1"/>
  <c r="AN35" i="7"/>
  <c r="AN36"/>
  <c r="J30" i="81"/>
  <c r="AX34" i="1"/>
  <c r="AV36" i="7"/>
  <c r="H32" i="81" s="1"/>
  <c r="H31"/>
  <c r="AX29" i="7"/>
  <c r="Q27" i="76" s="1"/>
  <c r="R27" s="1"/>
  <c r="T27" s="1"/>
  <c r="F25" i="81" s="1"/>
  <c r="Q33" i="5"/>
  <c r="M29" i="81" s="1"/>
  <c r="AI32" i="1"/>
  <c r="AW33" i="7" s="1"/>
  <c r="B32" i="65"/>
  <c r="E32" s="1"/>
  <c r="X33" i="3"/>
  <c r="Y33" s="1"/>
  <c r="Y32"/>
  <c r="P34" i="5"/>
  <c r="AW32" i="7"/>
  <c r="N33" i="1"/>
  <c r="V33" s="1"/>
  <c r="AS35" i="5"/>
  <c r="AY34"/>
  <c r="BB34" s="1"/>
  <c r="BE34" s="1"/>
  <c r="N34"/>
  <c r="I29" i="63"/>
  <c r="BF33" i="5"/>
  <c r="BG33" s="1"/>
  <c r="G33" i="65" s="1"/>
  <c r="AX30" i="7"/>
  <c r="Q28" i="76" s="1"/>
  <c r="R28" s="1"/>
  <c r="T28" s="1"/>
  <c r="F26" i="81" s="1"/>
  <c r="BC30" i="7"/>
  <c r="Y32"/>
  <c r="X32" s="1"/>
  <c r="BC31"/>
  <c r="AX31"/>
  <c r="AY31" s="1"/>
  <c r="X31"/>
  <c r="Q36"/>
  <c r="R36"/>
  <c r="T34"/>
  <c r="S34"/>
  <c r="AQ31"/>
  <c r="U33"/>
  <c r="V33"/>
  <c r="W33" s="1"/>
  <c r="R35"/>
  <c r="Q35"/>
  <c r="J31" i="81" l="1"/>
  <c r="AX35" i="1"/>
  <c r="J32" i="81" s="1"/>
  <c r="AY29" i="7"/>
  <c r="AJ32" i="1"/>
  <c r="AK32" s="1"/>
  <c r="G29" i="81"/>
  <c r="N34" i="1"/>
  <c r="V34" s="1"/>
  <c r="N35"/>
  <c r="V35" s="1"/>
  <c r="AI35" s="1"/>
  <c r="AW36" i="7" s="1"/>
  <c r="AS36" i="5"/>
  <c r="AY36" s="1"/>
  <c r="AY35"/>
  <c r="BB35" s="1"/>
  <c r="BE35" s="1"/>
  <c r="N36"/>
  <c r="N35"/>
  <c r="Q34"/>
  <c r="M30" i="81" s="1"/>
  <c r="AI33" i="1"/>
  <c r="B33" i="65"/>
  <c r="E33" s="1"/>
  <c r="I30" i="63"/>
  <c r="BF34" i="5"/>
  <c r="BG34" s="1"/>
  <c r="G34" i="65" s="1"/>
  <c r="P35" i="5"/>
  <c r="P36"/>
  <c r="G28" i="81"/>
  <c r="AJ31" i="1"/>
  <c r="AK31" s="1"/>
  <c r="AR32" i="7"/>
  <c r="BC32" s="1"/>
  <c r="AY30"/>
  <c r="Q29" i="76"/>
  <c r="R29" s="1"/>
  <c r="T29" s="1"/>
  <c r="F27" i="81" s="1"/>
  <c r="Y33" i="7"/>
  <c r="AR33" s="1"/>
  <c r="V34"/>
  <c r="W34" s="1"/>
  <c r="U34"/>
  <c r="S36"/>
  <c r="T36"/>
  <c r="T35"/>
  <c r="S35"/>
  <c r="BB36" i="5" l="1"/>
  <c r="BE36" s="1"/>
  <c r="BF36" s="1"/>
  <c r="BG36" s="1"/>
  <c r="Q35"/>
  <c r="Q37" s="1"/>
  <c r="O38" s="1"/>
  <c r="AI34" i="1"/>
  <c r="AW35" i="7" s="1"/>
  <c r="B34" i="65"/>
  <c r="E34" s="1"/>
  <c r="AW34" i="7"/>
  <c r="G32" i="81"/>
  <c r="AJ35" i="1"/>
  <c r="AK35" s="1"/>
  <c r="I31" i="63"/>
  <c r="BF35" i="5"/>
  <c r="BG35" s="1"/>
  <c r="Q36"/>
  <c r="M32" i="81" s="1"/>
  <c r="AQ32" i="7"/>
  <c r="X33"/>
  <c r="Y34"/>
  <c r="AX33"/>
  <c r="AQ33"/>
  <c r="U36"/>
  <c r="V36"/>
  <c r="W36" s="1"/>
  <c r="U35"/>
  <c r="V35"/>
  <c r="W35" s="1"/>
  <c r="BC33"/>
  <c r="AX32" l="1"/>
  <c r="M31" i="81"/>
  <c r="Y35" i="7"/>
  <c r="AI37" i="1"/>
  <c r="AJ34"/>
  <c r="AK34" s="1"/>
  <c r="G31" i="81"/>
  <c r="AJ33" i="1"/>
  <c r="AK33" s="1"/>
  <c r="G30" i="81"/>
  <c r="Y36" i="7"/>
  <c r="X34"/>
  <c r="AQ34"/>
  <c r="AX34"/>
  <c r="AY33"/>
  <c r="Q31" i="76"/>
  <c r="R31" s="1"/>
  <c r="T31" s="1"/>
  <c r="F29" i="81" s="1"/>
  <c r="BC34" i="7"/>
  <c r="BC35" l="1"/>
  <c r="AX35"/>
  <c r="X36"/>
  <c r="AR36"/>
  <c r="AY32"/>
  <c r="Q30" i="76"/>
  <c r="R30" s="1"/>
  <c r="T30" s="1"/>
  <c r="F28" i="81" s="1"/>
  <c r="X35" i="7"/>
  <c r="Q32" i="76"/>
  <c r="R32" s="1"/>
  <c r="T32" s="1"/>
  <c r="F30" i="81" s="1"/>
  <c r="AY34" i="7"/>
  <c r="AQ35" l="1"/>
  <c r="AX36"/>
  <c r="AQ36"/>
  <c r="AY35"/>
  <c r="Q33" i="76"/>
  <c r="R33" s="1"/>
  <c r="T33" s="1"/>
  <c r="F31" i="81" s="1"/>
  <c r="AS40" i="7" l="1"/>
  <c r="AY36"/>
  <c r="AY37" s="1"/>
  <c r="Q34" i="76"/>
  <c r="AX37" i="7"/>
  <c r="Z41" i="76" s="1"/>
  <c r="Z42" s="1"/>
  <c r="Z44" s="1"/>
  <c r="R34" l="1"/>
  <c r="Q35"/>
  <c r="R35" l="1"/>
  <c r="T34"/>
  <c r="F32" i="81" s="1"/>
  <c r="O6" i="79"/>
  <c r="I7"/>
  <c r="K6" i="5" l="1"/>
  <c r="L7" s="1"/>
  <c r="L37" s="1"/>
  <c r="AK37" s="1"/>
  <c r="F7" i="65" l="1"/>
  <c r="H4" i="63"/>
  <c r="AK7" i="5"/>
</calcChain>
</file>

<file path=xl/comments1.xml><?xml version="1.0" encoding="utf-8"?>
<comments xmlns="http://schemas.openxmlformats.org/spreadsheetml/2006/main">
  <authors>
    <author>hussein.saleh</author>
  </authors>
  <commentList>
    <comment ref="AH33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Please Double check these values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  <author>hussein.saleh</author>
  </authors>
  <commentList>
    <comment ref="S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need to review consumption </t>
        </r>
      </text>
    </comment>
    <comment ref="D24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please double check 
</t>
        </r>
      </text>
    </comment>
  </commentList>
</comments>
</file>

<file path=xl/comments3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comments5.xml><?xml version="1.0" encoding="utf-8"?>
<comments xmlns="http://schemas.openxmlformats.org/spreadsheetml/2006/main">
  <authors>
    <author>Amjad.abouhassan</author>
    <author>hussein.saleh</author>
  </authors>
  <commentList>
    <comment ref="G19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Heating not required and will be turned off </t>
        </r>
      </text>
    </comment>
    <comment ref="M25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please double check 
</t>
        </r>
      </text>
    </comment>
    <comment ref="Q25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sharedStrings.xml><?xml version="1.0" encoding="utf-8"?>
<sst xmlns="http://schemas.openxmlformats.org/spreadsheetml/2006/main" count="654" uniqueCount="414">
  <si>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</si>
  <si>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</si>
  <si>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</si>
  <si>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</si>
  <si>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</si>
  <si>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</si>
  <si>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</si>
  <si>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</si>
  <si>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</si>
  <si>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</si>
  <si>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</si>
  <si>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</si>
  <si>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</si>
  <si>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</si>
  <si>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</si>
  <si>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</si>
  <si>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</si>
  <si>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</si>
  <si>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</si>
  <si>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</si>
  <si>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</si>
  <si>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</si>
  <si>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</si>
  <si>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</si>
  <si>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</si>
  <si>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</si>
  <si>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</si>
  <si>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</si>
  <si>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</si>
  <si>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</si>
  <si>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</si>
  <si>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</si>
  <si>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</si>
  <si>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</si>
  <si>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</si>
  <si>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</si>
  <si>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</si>
  <si>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</si>
  <si>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</si>
  <si>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</si>
  <si>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</si>
  <si>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</si>
  <si>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</si>
  <si>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</si>
  <si>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</si>
  <si>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</si>
  <si>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</si>
  <si>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</si>
  <si>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</si>
  <si>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</si>
  <si>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</si>
  <si>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</si>
  <si>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</si>
  <si>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</si>
  <si>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</si>
  <si>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</si>
  <si>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</si>
  <si>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</si>
  <si>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</si>
  <si>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</si>
  <si>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</si>
  <si>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</si>
  <si>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</si>
  <si>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</si>
  <si>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</si>
  <si>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</si>
  <si>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</si>
  <si>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</si>
  <si>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</si>
  <si>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</si>
  <si>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</si>
  <si>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</si>
  <si>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</si>
  <si>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</si>
  <si>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</si>
  <si>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</si>
  <si>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</si>
  <si>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</si>
  <si>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</si>
  <si>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</si>
  <si>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</si>
  <si>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</si>
  <si>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</si>
  <si>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</si>
  <si>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</si>
  <si>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</si>
  <si>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</si>
  <si>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</si>
  <si>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</si>
  <si>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</si>
  <si>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</si>
  <si>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</si>
  <si>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</si>
  <si>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</si>
  <si>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</si>
  <si>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</si>
  <si>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</si>
  <si>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</si>
  <si>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</si>
  <si>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</si>
  <si>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</si>
  <si>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</si>
  <si>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</si>
  <si>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</si>
  <si>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</si>
  <si>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</si>
  <si>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</si>
  <si>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</si>
  <si>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</si>
  <si>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</si>
  <si>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</si>
  <si>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</si>
  <si>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</si>
  <si>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</si>
  <si>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</si>
  <si>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</si>
  <si>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</si>
  <si>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</si>
  <si>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</si>
  <si>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</si>
  <si>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</si>
  <si>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</si>
  <si>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</si>
  <si>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</si>
  <si>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</si>
  <si>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</si>
  <si>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</si>
  <si>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</si>
  <si>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</si>
  <si>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</si>
  <si>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</si>
  <si>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</si>
  <si>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</si>
  <si>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</si>
  <si>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</si>
  <si>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</si>
  <si>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</si>
  <si>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</si>
  <si>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</si>
  <si>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</si>
  <si>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</si>
  <si>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</si>
  <si>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</si>
  <si>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</si>
  <si>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</si>
  <si>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</si>
  <si>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</si>
  <si>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</si>
  <si>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</si>
  <si>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</si>
  <si>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</si>
  <si>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</si>
  <si>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</si>
  <si>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</si>
  <si>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</si>
  <si>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</si>
  <si>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</si>
  <si>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</si>
  <si>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</si>
  <si>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</si>
  <si>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</si>
  <si>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</si>
  <si>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</si>
  <si>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</si>
  <si>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</si>
  <si>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</si>
  <si>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</si>
  <si>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</si>
  <si>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</si>
  <si>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</si>
  <si>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</si>
  <si>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</si>
  <si>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</si>
  <si>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</si>
  <si>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</si>
  <si>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</si>
  <si>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</si>
  <si>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</si>
  <si>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</si>
  <si>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</si>
  <si>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</si>
  <si>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</si>
  <si>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</si>
  <si>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</si>
  <si>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</si>
  <si>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</si>
  <si>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</si>
  <si>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</si>
  <si>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</si>
  <si>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</si>
  <si>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</si>
  <si>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</si>
  <si>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</si>
  <si>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</si>
  <si>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</si>
  <si>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</si>
  <si>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</si>
  <si>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</si>
  <si>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</si>
  <si>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</si>
  <si>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</si>
  <si>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</si>
  <si>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</si>
  <si>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</si>
  <si>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</si>
  <si>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</si>
  <si>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</si>
  <si>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</si>
  <si>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</si>
  <si>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</si>
  <si>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</si>
  <si>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</si>
  <si>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</si>
  <si>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</si>
  <si>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</si>
  <si>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</si>
  <si>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</si>
  <si>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</si>
  <si>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</si>
  <si>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</si>
  <si>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</si>
  <si>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</si>
  <si>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</si>
  <si>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</si>
  <si>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</si>
  <si>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</si>
  <si>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</si>
  <si>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</si>
  <si>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</si>
  <si>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</si>
  <si>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</si>
  <si>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</si>
  <si>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</si>
  <si>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</si>
  <si>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</si>
  <si>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</si>
  <si>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</si>
  <si>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</si>
  <si>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</si>
  <si>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</si>
  <si>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</si>
  <si>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</si>
  <si>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</si>
  <si>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</si>
  <si>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</si>
  <si>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</si>
  <si>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</si>
  <si>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</si>
  <si>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</si>
  <si>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</si>
  <si>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</si>
  <si>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</si>
  <si>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</si>
  <si>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</si>
  <si>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</si>
  <si>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</si>
  <si>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</si>
  <si>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</si>
  <si>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</si>
  <si>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</si>
  <si>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</si>
  <si>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</si>
  <si>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</si>
  <si>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</si>
  <si>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</si>
  <si>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</si>
  <si>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</si>
  <si>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</si>
  <si>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</si>
  <si>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</si>
  <si>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</si>
  <si>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</si>
  <si>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</si>
  <si>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</si>
  <si>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</si>
  <si>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</si>
  <si>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</si>
  <si>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</si>
  <si>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</si>
  <si>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</si>
  <si>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</si>
  <si>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</si>
  <si>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</si>
  <si>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</si>
  <si>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</si>
  <si>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</si>
  <si>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</si>
  <si>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</si>
  <si>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</si>
  <si>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</si>
  <si>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</si>
  <si>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</si>
  <si>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</si>
  <si>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</si>
  <si>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</si>
  <si>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</si>
  <si>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</si>
  <si>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</si>
  <si>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</si>
  <si>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</si>
  <si>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</si>
  <si>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</si>
  <si>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</si>
  <si>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</si>
  <si>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</si>
  <si>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</si>
  <si>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</si>
  <si>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</si>
  <si>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</si>
  <si>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</si>
  <si>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</si>
  <si>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</si>
  <si>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</si>
  <si>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</si>
  <si>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</si>
  <si>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</si>
  <si>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</si>
  <si>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</si>
  <si>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</si>
  <si>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</si>
  <si>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</si>
  <si>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</si>
  <si>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</si>
  <si>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</si>
  <si>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</si>
  <si>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</si>
  <si>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</si>
  <si>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</si>
  <si>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</si>
  <si>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</si>
  <si>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</si>
  <si>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</si>
  <si>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</si>
  <si>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</si>
  <si>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</si>
  <si>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</si>
  <si>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</si>
  <si>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</si>
  <si>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</si>
  <si>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</si>
  <si>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</si>
  <si>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</si>
  <si>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</si>
  <si>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</si>
  <si>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</si>
  <si>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</si>
  <si>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</si>
  <si>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</si>
  <si>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</si>
  <si>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</si>
  <si>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</si>
  <si>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</si>
  <si>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</si>
  <si>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</si>
  <si>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</si>
  <si>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</si>
  <si>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</si>
  <si>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</si>
  <si>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</si>
  <si>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</si>
  <si>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</si>
  <si>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</si>
  <si>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</si>
  <si>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</si>
  <si>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</si>
  <si>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</si>
  <si>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</si>
  <si>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</si>
  <si>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</si>
  <si>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</si>
  <si>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</si>
  <si>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</si>
  <si>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</si>
  <si>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</si>
  <si>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</si>
  <si>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</si>
  <si>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</si>
  <si>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</si>
  <si>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</si>
  <si>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</si>
  <si>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</si>
  <si>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</si>
  <si>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</si>
  <si>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</si>
  <si>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</si>
  <si>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</si>
  <si>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</si>
  <si>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</si>
  <si>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</si>
  <si>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</si>
  <si>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</si>
  <si>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</si>
  <si>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( Heating Degree Days / Cooling Degree Days ) 2019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</si>
  <si>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</si>
  <si>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</si>
  <si>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</si>
  <si>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</si>
  <si>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</si>
  <si>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</si>
  <si>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</si>
  <si>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</si>
  <si>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</si>
  <si>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</si>
  <si>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</si>
  <si>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</si>
  <si>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</si>
  <si>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</si>
  <si>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</si>
  <si>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</si>
  <si>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</si>
  <si>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</si>
  <si>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</si>
  <si>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</si>
  <si>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 xml:space="preserve">Empty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</si>
</sst>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8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0" fillId="0" borderId="25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0" fillId="0" borderId="66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0" fontId="0" fillId="0" borderId="1" xfId="0" applyFill="1" applyBorder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175" fontId="18" fillId="25" borderId="1" xfId="1" applyNumberFormat="1" applyFont="1" applyFill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69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70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172" fontId="0" fillId="0" borderId="6" xfId="0" applyNumberFormat="1" applyBorder="1" applyAlignment="1">
      <alignment horizontal="center" vertical="center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43" fontId="0" fillId="0" borderId="0" xfId="0" applyNumberFormat="1" applyBorder="1"/>
    <xf numFmtId="0" fontId="21" fillId="3" borderId="71" xfId="0" applyNumberFormat="1" applyFont="1" applyFill="1" applyBorder="1" applyAlignment="1">
      <alignment vertical="top" wrapText="1"/>
    </xf>
    <xf numFmtId="4" fontId="21" fillId="3" borderId="71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0" fontId="0" fillId="0" borderId="1" xfId="0" applyFill="1" applyBorder="1" applyAlignment="1">
      <alignment horizontal="center" vertical="center" wrapText="1"/>
    </xf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0" fontId="18" fillId="0" borderId="1" xfId="4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43" fontId="18" fillId="0" borderId="1" xfId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41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/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169" fontId="0" fillId="0" borderId="0" xfId="0" applyNumberFormat="1"/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0" fontId="0" fillId="0" borderId="17" xfId="0" applyFont="1" applyBorder="1"/>
    <xf numFmtId="0" fontId="0" fillId="0" borderId="18" xfId="0" applyFont="1" applyBorder="1" applyAlignment="1"/>
    <xf numFmtId="0" fontId="0" fillId="0" borderId="17" xfId="0" applyBorder="1"/>
    <xf numFmtId="0" fontId="0" fillId="0" borderId="50" xfId="0" applyBorder="1"/>
    <xf numFmtId="180" fontId="0" fillId="0" borderId="19" xfId="0" applyNumberFormat="1" applyBorder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9" fontId="0" fillId="0" borderId="31" xfId="0" applyNumberFormat="1" applyBorder="1"/>
    <xf numFmtId="172" fontId="0" fillId="0" borderId="72" xfId="0" applyNumberFormat="1" applyBorder="1" applyAlignment="1">
      <alignment horizontal="center" vertical="center"/>
    </xf>
    <xf numFmtId="0" fontId="0" fillId="0" borderId="52" xfId="0" applyBorder="1"/>
    <xf numFmtId="0" fontId="29" fillId="0" borderId="54" xfId="0" applyFont="1" applyBorder="1" applyAlignment="1">
      <alignment horizontal="center"/>
    </xf>
    <xf numFmtId="0" fontId="0" fillId="0" borderId="1" xfId="0" applyBorder="1" applyAlignment="1"/>
    <xf numFmtId="9" fontId="0" fillId="0" borderId="1" xfId="4" applyFont="1" applyBorder="1" applyAlignment="1">
      <alignment horizontal="center"/>
    </xf>
    <xf numFmtId="181" fontId="0" fillId="3" borderId="1" xfId="0" applyNumberFormat="1" applyFill="1" applyBorder="1"/>
    <xf numFmtId="41" fontId="23" fillId="26" borderId="1" xfId="0" applyNumberFormat="1" applyFont="1" applyFill="1" applyBorder="1"/>
    <xf numFmtId="167" fontId="23" fillId="26" borderId="1" xfId="1" applyNumberFormat="1" applyFont="1" applyFill="1" applyBorder="1"/>
    <xf numFmtId="0" fontId="0" fillId="26" borderId="1" xfId="0" applyFill="1" applyBorder="1" applyAlignment="1"/>
    <xf numFmtId="41" fontId="0" fillId="26" borderId="1" xfId="0" applyNumberForma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26" borderId="1" xfId="0" applyFill="1" applyBorder="1"/>
    <xf numFmtId="0" fontId="23" fillId="31" borderId="1" xfId="0" applyFont="1" applyFill="1" applyBorder="1" applyAlignment="1">
      <alignment horizontal="right"/>
    </xf>
    <xf numFmtId="1" fontId="0" fillId="31" borderId="15" xfId="0" applyNumberFormat="1" applyFill="1" applyBorder="1" applyAlignment="1">
      <alignment horizontal="right"/>
    </xf>
    <xf numFmtId="43" fontId="18" fillId="31" borderId="35" xfId="1" applyFont="1" applyFill="1" applyBorder="1" applyAlignment="1">
      <alignment horizontal="right"/>
    </xf>
    <xf numFmtId="167" fontId="18" fillId="31" borderId="5" xfId="1" applyNumberFormat="1" applyFont="1" applyFill="1" applyBorder="1" applyAlignment="1">
      <alignment horizontal="right"/>
    </xf>
    <xf numFmtId="0" fontId="0" fillId="5" borderId="51" xfId="0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3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29" borderId="1" xfId="0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61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2" xfId="0" applyFont="1" applyBorder="1" applyAlignment="1">
      <alignment horizontal="center"/>
    </xf>
    <xf numFmtId="0" fontId="29" fillId="0" borderId="16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6"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14417.599999999627</c:v>
                </c:pt>
                <c:pt idx="1">
                  <c:v>14340.200000000186</c:v>
                </c:pt>
                <c:pt idx="2">
                  <c:v>14840</c:v>
                </c:pt>
                <c:pt idx="3">
                  <c:v>15111</c:v>
                </c:pt>
                <c:pt idx="4">
                  <c:v>15739</c:v>
                </c:pt>
                <c:pt idx="5">
                  <c:v>13473</c:v>
                </c:pt>
                <c:pt idx="6">
                  <c:v>14010.399999999907</c:v>
                </c:pt>
                <c:pt idx="7">
                  <c:v>15285.600000000093</c:v>
                </c:pt>
                <c:pt idx="8">
                  <c:v>16664</c:v>
                </c:pt>
                <c:pt idx="9">
                  <c:v>13515</c:v>
                </c:pt>
                <c:pt idx="10">
                  <c:v>15465</c:v>
                </c:pt>
                <c:pt idx="11">
                  <c:v>13877</c:v>
                </c:pt>
                <c:pt idx="12">
                  <c:v>14595</c:v>
                </c:pt>
                <c:pt idx="13">
                  <c:v>15369</c:v>
                </c:pt>
                <c:pt idx="14">
                  <c:v>15707</c:v>
                </c:pt>
                <c:pt idx="15">
                  <c:v>12865</c:v>
                </c:pt>
                <c:pt idx="16">
                  <c:v>15541</c:v>
                </c:pt>
                <c:pt idx="17">
                  <c:v>15509.600000000093</c:v>
                </c:pt>
                <c:pt idx="18">
                  <c:v>15084.399999999907</c:v>
                </c:pt>
                <c:pt idx="19">
                  <c:v>16194</c:v>
                </c:pt>
                <c:pt idx="20">
                  <c:v>15960</c:v>
                </c:pt>
                <c:pt idx="21">
                  <c:v>14265.200000000186</c:v>
                </c:pt>
                <c:pt idx="22">
                  <c:v>15174.799999999814</c:v>
                </c:pt>
                <c:pt idx="23">
                  <c:v>17513.200000000186</c:v>
                </c:pt>
                <c:pt idx="24">
                  <c:v>15392.799999999814</c:v>
                </c:pt>
                <c:pt idx="25">
                  <c:v>13694</c:v>
                </c:pt>
                <c:pt idx="26">
                  <c:v>13820</c:v>
                </c:pt>
                <c:pt idx="27">
                  <c:v>16588</c:v>
                </c:pt>
                <c:pt idx="28">
                  <c:v>15682</c:v>
                </c:pt>
                <c:pt idx="29">
                  <c:v>17673</c:v>
                </c:pt>
                <c:pt idx="30">
                  <c:v>18161</c:v>
                </c:pt>
                <c:pt idx="31">
                  <c:v>16085</c:v>
                </c:pt>
              </c:numCache>
            </c:numRef>
          </c:val>
        </c:ser>
        <c:marker val="1"/>
        <c:axId val="135862528"/>
        <c:axId val="135626752"/>
      </c:lineChart>
      <c:catAx>
        <c:axId val="135862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26752"/>
        <c:crosses val="autoZero"/>
        <c:auto val="1"/>
        <c:lblAlgn val="ctr"/>
        <c:lblOffset val="100"/>
      </c:catAx>
      <c:valAx>
        <c:axId val="1356267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6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1736"/>
          <c:w val="0.11899800868449698"/>
          <c:h val="4.498269896194009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6435</c:v>
                </c:pt>
                <c:pt idx="1">
                  <c:v>6079</c:v>
                </c:pt>
                <c:pt idx="2">
                  <c:v>6500</c:v>
                </c:pt>
                <c:pt idx="3">
                  <c:v>6633</c:v>
                </c:pt>
                <c:pt idx="4">
                  <c:v>7006</c:v>
                </c:pt>
                <c:pt idx="5">
                  <c:v>5670</c:v>
                </c:pt>
                <c:pt idx="6">
                  <c:v>5689</c:v>
                </c:pt>
                <c:pt idx="7">
                  <c:v>6809</c:v>
                </c:pt>
                <c:pt idx="8">
                  <c:v>7435</c:v>
                </c:pt>
                <c:pt idx="9">
                  <c:v>5867</c:v>
                </c:pt>
                <c:pt idx="10">
                  <c:v>6939</c:v>
                </c:pt>
                <c:pt idx="11">
                  <c:v>5925</c:v>
                </c:pt>
                <c:pt idx="12">
                  <c:v>6114</c:v>
                </c:pt>
                <c:pt idx="13">
                  <c:v>6716</c:v>
                </c:pt>
                <c:pt idx="14">
                  <c:v>6382</c:v>
                </c:pt>
                <c:pt idx="15">
                  <c:v>5457</c:v>
                </c:pt>
                <c:pt idx="16">
                  <c:v>6709</c:v>
                </c:pt>
                <c:pt idx="17">
                  <c:v>6687</c:v>
                </c:pt>
                <c:pt idx="18">
                  <c:v>6649</c:v>
                </c:pt>
                <c:pt idx="19">
                  <c:v>7316</c:v>
                </c:pt>
                <c:pt idx="20">
                  <c:v>6846</c:v>
                </c:pt>
                <c:pt idx="21">
                  <c:v>6073</c:v>
                </c:pt>
                <c:pt idx="22">
                  <c:v>6853</c:v>
                </c:pt>
                <c:pt idx="23">
                  <c:v>7333</c:v>
                </c:pt>
                <c:pt idx="24">
                  <c:v>6550</c:v>
                </c:pt>
                <c:pt idx="25">
                  <c:v>5779</c:v>
                </c:pt>
                <c:pt idx="26">
                  <c:v>5605</c:v>
                </c:pt>
                <c:pt idx="27">
                  <c:v>6142</c:v>
                </c:pt>
                <c:pt idx="28">
                  <c:v>6839</c:v>
                </c:pt>
                <c:pt idx="29">
                  <c:v>7275</c:v>
                </c:pt>
                <c:pt idx="30">
                  <c:v>7854</c:v>
                </c:pt>
              </c:numCache>
            </c:numRef>
          </c:val>
        </c:ser>
        <c:marker val="1"/>
        <c:axId val="135675904"/>
        <c:axId val="135677440"/>
      </c:lineChart>
      <c:catAx>
        <c:axId val="135675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77440"/>
        <c:crosses val="autoZero"/>
        <c:auto val="1"/>
        <c:lblAlgn val="ctr"/>
        <c:lblOffset val="100"/>
      </c:catAx>
      <c:valAx>
        <c:axId val="135677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7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004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0.1565</c:v>
                </c:pt>
                <c:pt idx="1">
                  <c:v>0.13039999999999999</c:v>
                </c:pt>
                <c:pt idx="2">
                  <c:v>0.1522</c:v>
                </c:pt>
                <c:pt idx="3">
                  <c:v>0.17829999999999999</c:v>
                </c:pt>
                <c:pt idx="4">
                  <c:v>0.21299999999999999</c:v>
                </c:pt>
                <c:pt idx="5">
                  <c:v>0.17799999999999999</c:v>
                </c:pt>
                <c:pt idx="6">
                  <c:v>0.13900000000000001</c:v>
                </c:pt>
                <c:pt idx="7">
                  <c:v>0.16220000000000001</c:v>
                </c:pt>
                <c:pt idx="8">
                  <c:v>0.1739</c:v>
                </c:pt>
                <c:pt idx="9">
                  <c:v>0.187</c:v>
                </c:pt>
                <c:pt idx="10">
                  <c:v>0.1565</c:v>
                </c:pt>
                <c:pt idx="11">
                  <c:v>0.21740000000000001</c:v>
                </c:pt>
                <c:pt idx="12">
                  <c:v>0.23480000000000001</c:v>
                </c:pt>
                <c:pt idx="13">
                  <c:v>0.1696</c:v>
                </c:pt>
                <c:pt idx="14">
                  <c:v>0.16520000000000001</c:v>
                </c:pt>
                <c:pt idx="15">
                  <c:v>0.13900000000000001</c:v>
                </c:pt>
                <c:pt idx="16">
                  <c:v>0.1522</c:v>
                </c:pt>
                <c:pt idx="17">
                  <c:v>0.1696</c:v>
                </c:pt>
                <c:pt idx="18">
                  <c:v>0.1739</c:v>
                </c:pt>
                <c:pt idx="19">
                  <c:v>0.24779999999999999</c:v>
                </c:pt>
                <c:pt idx="20">
                  <c:v>0.18260000000000001</c:v>
                </c:pt>
                <c:pt idx="21">
                  <c:v>0.26090000000000002</c:v>
                </c:pt>
                <c:pt idx="22">
                  <c:v>0.25650000000000001</c:v>
                </c:pt>
                <c:pt idx="23">
                  <c:v>0.21740000000000001</c:v>
                </c:pt>
                <c:pt idx="24">
                  <c:v>0.20430000000000001</c:v>
                </c:pt>
                <c:pt idx="25">
                  <c:v>0.21740000000000001</c:v>
                </c:pt>
                <c:pt idx="26">
                  <c:v>0.2913</c:v>
                </c:pt>
                <c:pt idx="27">
                  <c:v>0.2913</c:v>
                </c:pt>
                <c:pt idx="28">
                  <c:v>0.34499999999999997</c:v>
                </c:pt>
                <c:pt idx="29">
                  <c:v>0.34499999999999997</c:v>
                </c:pt>
                <c:pt idx="30">
                  <c:v>0.5</c:v>
                </c:pt>
              </c:numCache>
            </c:numRef>
          </c:val>
        </c:ser>
        <c:marker val="1"/>
        <c:axId val="136062080"/>
        <c:axId val="136063616"/>
      </c:lineChart>
      <c:catAx>
        <c:axId val="13606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63616"/>
        <c:crosses val="autoZero"/>
        <c:auto val="1"/>
        <c:lblAlgn val="ctr"/>
        <c:lblOffset val="100"/>
      </c:catAx>
      <c:valAx>
        <c:axId val="13606361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6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0153"/>
          <c:y val="0.62975887529631736"/>
          <c:w val="7.9124755870162669E-2"/>
          <c:h val="4.498269896194009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35.994999999999997</c:v>
                </c:pt>
                <c:pt idx="1">
                  <c:v>29.991999999999997</c:v>
                </c:pt>
                <c:pt idx="2">
                  <c:v>35.006</c:v>
                </c:pt>
                <c:pt idx="3">
                  <c:v>41.009</c:v>
                </c:pt>
                <c:pt idx="4">
                  <c:v>48.99</c:v>
                </c:pt>
                <c:pt idx="5">
                  <c:v>40.94</c:v>
                </c:pt>
                <c:pt idx="6">
                  <c:v>31.970000000000002</c:v>
                </c:pt>
                <c:pt idx="7">
                  <c:v>37.306000000000004</c:v>
                </c:pt>
                <c:pt idx="8">
                  <c:v>39.997</c:v>
                </c:pt>
                <c:pt idx="9">
                  <c:v>43.01</c:v>
                </c:pt>
                <c:pt idx="10">
                  <c:v>35.994999999999997</c:v>
                </c:pt>
                <c:pt idx="11">
                  <c:v>50.002000000000002</c:v>
                </c:pt>
                <c:pt idx="12">
                  <c:v>54.004000000000005</c:v>
                </c:pt>
                <c:pt idx="13">
                  <c:v>39.008000000000003</c:v>
                </c:pt>
                <c:pt idx="14">
                  <c:v>37.996000000000002</c:v>
                </c:pt>
                <c:pt idx="15">
                  <c:v>31.970000000000002</c:v>
                </c:pt>
                <c:pt idx="16">
                  <c:v>35.006</c:v>
                </c:pt>
                <c:pt idx="17">
                  <c:v>39.008000000000003</c:v>
                </c:pt>
                <c:pt idx="18">
                  <c:v>39.997</c:v>
                </c:pt>
                <c:pt idx="19">
                  <c:v>56.994</c:v>
                </c:pt>
                <c:pt idx="20">
                  <c:v>41.998000000000005</c:v>
                </c:pt>
                <c:pt idx="21">
                  <c:v>60.007000000000005</c:v>
                </c:pt>
                <c:pt idx="22">
                  <c:v>58.995000000000005</c:v>
                </c:pt>
                <c:pt idx="23">
                  <c:v>50.002000000000002</c:v>
                </c:pt>
                <c:pt idx="24">
                  <c:v>46.989000000000004</c:v>
                </c:pt>
                <c:pt idx="25">
                  <c:v>50.002000000000002</c:v>
                </c:pt>
                <c:pt idx="26">
                  <c:v>66.998999999999995</c:v>
                </c:pt>
                <c:pt idx="27">
                  <c:v>66.998999999999995</c:v>
                </c:pt>
                <c:pt idx="28">
                  <c:v>79.349999999999994</c:v>
                </c:pt>
                <c:pt idx="29">
                  <c:v>79.349999999999994</c:v>
                </c:pt>
                <c:pt idx="30">
                  <c:v>115</c:v>
                </c:pt>
              </c:numCache>
            </c:numRef>
          </c:val>
        </c:ser>
        <c:marker val="1"/>
        <c:axId val="92956928"/>
        <c:axId val="92962816"/>
      </c:lineChart>
      <c:catAx>
        <c:axId val="92956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62816"/>
        <c:crosses val="autoZero"/>
        <c:auto val="1"/>
        <c:lblAlgn val="ctr"/>
        <c:lblOffset val="100"/>
      </c:catAx>
      <c:valAx>
        <c:axId val="929628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56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325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178</c:v>
                </c:pt>
                <c:pt idx="1">
                  <c:v>163.80000000000001</c:v>
                </c:pt>
                <c:pt idx="2">
                  <c:v>202.45454545454547</c:v>
                </c:pt>
                <c:pt idx="3">
                  <c:v>202.42857142857142</c:v>
                </c:pt>
                <c:pt idx="4">
                  <c:v>245.66666666666666</c:v>
                </c:pt>
                <c:pt idx="5">
                  <c:v>175.83333333333334</c:v>
                </c:pt>
                <c:pt idx="6">
                  <c:v>164.18181818181819</c:v>
                </c:pt>
                <c:pt idx="7">
                  <c:v>185</c:v>
                </c:pt>
                <c:pt idx="8">
                  <c:v>171.42857142857142</c:v>
                </c:pt>
                <c:pt idx="9">
                  <c:v>193.42857142857142</c:v>
                </c:pt>
                <c:pt idx="10">
                  <c:v>179.44444444444446</c:v>
                </c:pt>
                <c:pt idx="11">
                  <c:v>189.8</c:v>
                </c:pt>
                <c:pt idx="12">
                  <c:v>244.83333333333334</c:v>
                </c:pt>
                <c:pt idx="13">
                  <c:v>181.22222222222223</c:v>
                </c:pt>
                <c:pt idx="14">
                  <c:v>222.6</c:v>
                </c:pt>
                <c:pt idx="15">
                  <c:v>203.33333333333334</c:v>
                </c:pt>
                <c:pt idx="16">
                  <c:v>185.63636363636363</c:v>
                </c:pt>
                <c:pt idx="17">
                  <c:v>400.25</c:v>
                </c:pt>
                <c:pt idx="18">
                  <c:v>129</c:v>
                </c:pt>
                <c:pt idx="19">
                  <c:v>187.27272727272728</c:v>
                </c:pt>
                <c:pt idx="20">
                  <c:v>236</c:v>
                </c:pt>
                <c:pt idx="21">
                  <c:v>213.5</c:v>
                </c:pt>
                <c:pt idx="22">
                  <c:v>218.5</c:v>
                </c:pt>
                <c:pt idx="23">
                  <c:v>180</c:v>
                </c:pt>
                <c:pt idx="24">
                  <c:v>162.16666666666666</c:v>
                </c:pt>
                <c:pt idx="25">
                  <c:v>209.75</c:v>
                </c:pt>
                <c:pt idx="26">
                  <c:v>205.42857142857142</c:v>
                </c:pt>
                <c:pt idx="27">
                  <c:v>154.22222222222223</c:v>
                </c:pt>
                <c:pt idx="28">
                  <c:v>186.66666666666666</c:v>
                </c:pt>
                <c:pt idx="29">
                  <c:v>158.5</c:v>
                </c:pt>
                <c:pt idx="30">
                  <c:v>172.6</c:v>
                </c:pt>
              </c:numCache>
            </c:numRef>
          </c:val>
        </c:ser>
        <c:marker val="1"/>
        <c:axId val="92978560"/>
        <c:axId val="93394048"/>
      </c:lineChart>
      <c:catAx>
        <c:axId val="92978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94048"/>
        <c:crosses val="autoZero"/>
        <c:auto val="1"/>
        <c:lblAlgn val="ctr"/>
        <c:lblOffset val="100"/>
      </c:catAx>
      <c:valAx>
        <c:axId val="933940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78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363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601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2.5900000000001455</c:v>
                </c:pt>
                <c:pt idx="1">
                  <c:v>2.7199999999993452</c:v>
                </c:pt>
                <c:pt idx="2">
                  <c:v>4</c:v>
                </c:pt>
                <c:pt idx="3">
                  <c:v>3</c:v>
                </c:pt>
                <c:pt idx="4">
                  <c:v>3.3999999999996362</c:v>
                </c:pt>
                <c:pt idx="5">
                  <c:v>4.1700000000000728</c:v>
                </c:pt>
                <c:pt idx="6">
                  <c:v>4.430000000000291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3</c:v>
                </c:pt>
                <c:pt idx="20">
                  <c:v>3.8299999999999272</c:v>
                </c:pt>
                <c:pt idx="21">
                  <c:v>2.680000000000291</c:v>
                </c:pt>
                <c:pt idx="22">
                  <c:v>4.4899999999997817</c:v>
                </c:pt>
                <c:pt idx="23">
                  <c:v>3.2099999999991269</c:v>
                </c:pt>
                <c:pt idx="24">
                  <c:v>4.1100000000005821</c:v>
                </c:pt>
                <c:pt idx="25">
                  <c:v>4.680000000000291</c:v>
                </c:pt>
                <c:pt idx="26">
                  <c:v>8.3500000000003638</c:v>
                </c:pt>
                <c:pt idx="27">
                  <c:v>4</c:v>
                </c:pt>
                <c:pt idx="28">
                  <c:v>4.6499999999996362</c:v>
                </c:pt>
                <c:pt idx="29">
                  <c:v>4</c:v>
                </c:pt>
              </c:numCache>
            </c:numRef>
          </c:val>
        </c:ser>
        <c:marker val="1"/>
        <c:axId val="93721728"/>
        <c:axId val="93723264"/>
      </c:lineChart>
      <c:catAx>
        <c:axId val="93721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23264"/>
        <c:crosses val="autoZero"/>
        <c:auto val="1"/>
        <c:lblAlgn val="ctr"/>
        <c:lblOffset val="100"/>
      </c:catAx>
      <c:valAx>
        <c:axId val="937232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21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9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3</c:v>
                </c:pt>
                <c:pt idx="11">
                  <c:v>7</c:v>
                </c:pt>
                <c:pt idx="12">
                  <c:v>3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8</c:v>
                </c:pt>
                <c:pt idx="17">
                  <c:v>6</c:v>
                </c:pt>
                <c:pt idx="18">
                  <c:v>4</c:v>
                </c:pt>
                <c:pt idx="19">
                  <c:v>11</c:v>
                </c:pt>
                <c:pt idx="20">
                  <c:v>3</c:v>
                </c:pt>
                <c:pt idx="21">
                  <c:v>8</c:v>
                </c:pt>
                <c:pt idx="22">
                  <c:v>3</c:v>
                </c:pt>
                <c:pt idx="23">
                  <c:v>9</c:v>
                </c:pt>
                <c:pt idx="24">
                  <c:v>4</c:v>
                </c:pt>
                <c:pt idx="25">
                  <c:v>2</c:v>
                </c:pt>
                <c:pt idx="26">
                  <c:v>0</c:v>
                </c:pt>
                <c:pt idx="27">
                  <c:v>11</c:v>
                </c:pt>
                <c:pt idx="28">
                  <c:v>4</c:v>
                </c:pt>
                <c:pt idx="29">
                  <c:v>0</c:v>
                </c:pt>
              </c:numCache>
            </c:numRef>
          </c:val>
        </c:ser>
        <c:marker val="1"/>
        <c:axId val="93649152"/>
        <c:axId val="93974528"/>
      </c:lineChart>
      <c:catAx>
        <c:axId val="93649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74528"/>
        <c:crosses val="autoZero"/>
        <c:auto val="1"/>
        <c:lblAlgn val="ctr"/>
        <c:lblOffset val="100"/>
      </c:catAx>
      <c:valAx>
        <c:axId val="93974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49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87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80</c:v>
                </c:pt>
                <c:pt idx="8">
                  <c:v>81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212</c:v>
                </c:pt>
                <c:pt idx="27">
                  <c:v>0</c:v>
                </c:pt>
                <c:pt idx="28">
                  <c:v>80</c:v>
                </c:pt>
                <c:pt idx="29">
                  <c:v>0</c:v>
                </c:pt>
              </c:numCache>
            </c:numRef>
          </c:val>
        </c:ser>
        <c:marker val="1"/>
        <c:axId val="92671360"/>
        <c:axId val="92693632"/>
      </c:lineChart>
      <c:catAx>
        <c:axId val="92671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93632"/>
        <c:crosses val="autoZero"/>
        <c:auto val="1"/>
        <c:lblAlgn val="ctr"/>
        <c:lblOffset val="100"/>
      </c:catAx>
      <c:valAx>
        <c:axId val="92693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71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155</c:v>
                </c:pt>
                <c:pt idx="1">
                  <c:v>0</c:v>
                </c:pt>
                <c:pt idx="2">
                  <c:v>179</c:v>
                </c:pt>
                <c:pt idx="3">
                  <c:v>0</c:v>
                </c:pt>
                <c:pt idx="4">
                  <c:v>189</c:v>
                </c:pt>
                <c:pt idx="5">
                  <c:v>0</c:v>
                </c:pt>
                <c:pt idx="6">
                  <c:v>158</c:v>
                </c:pt>
                <c:pt idx="7">
                  <c:v>0</c:v>
                </c:pt>
                <c:pt idx="8">
                  <c:v>43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295</c:v>
                </c:pt>
                <c:pt idx="15">
                  <c:v>20</c:v>
                </c:pt>
                <c:pt idx="16">
                  <c:v>285</c:v>
                </c:pt>
                <c:pt idx="17">
                  <c:v>18</c:v>
                </c:pt>
                <c:pt idx="18">
                  <c:v>306</c:v>
                </c:pt>
                <c:pt idx="19">
                  <c:v>0</c:v>
                </c:pt>
                <c:pt idx="20">
                  <c:v>234</c:v>
                </c:pt>
                <c:pt idx="21">
                  <c:v>0</c:v>
                </c:pt>
                <c:pt idx="22">
                  <c:v>262</c:v>
                </c:pt>
                <c:pt idx="23">
                  <c:v>0</c:v>
                </c:pt>
                <c:pt idx="24">
                  <c:v>198</c:v>
                </c:pt>
                <c:pt idx="25">
                  <c:v>0</c:v>
                </c:pt>
                <c:pt idx="26">
                  <c:v>123</c:v>
                </c:pt>
                <c:pt idx="27">
                  <c:v>0</c:v>
                </c:pt>
                <c:pt idx="28">
                  <c:v>189</c:v>
                </c:pt>
                <c:pt idx="29">
                  <c:v>71</c:v>
                </c:pt>
              </c:numCache>
            </c:numRef>
          </c:val>
        </c:ser>
        <c:marker val="1"/>
        <c:axId val="92717824"/>
        <c:axId val="92719360"/>
      </c:lineChart>
      <c:catAx>
        <c:axId val="92717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19360"/>
        <c:crosses val="autoZero"/>
        <c:auto val="1"/>
        <c:lblAlgn val="ctr"/>
        <c:lblOffset val="100"/>
      </c:catAx>
      <c:valAx>
        <c:axId val="92719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17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17.5</c:v>
                </c:pt>
                <c:pt idx="1">
                  <c:v>18.5</c:v>
                </c:pt>
                <c:pt idx="2">
                  <c:v>19</c:v>
                </c:pt>
                <c:pt idx="3">
                  <c:v>15.5</c:v>
                </c:pt>
                <c:pt idx="4">
                  <c:v>14.5</c:v>
                </c:pt>
                <c:pt idx="5">
                  <c:v>14.5</c:v>
                </c:pt>
                <c:pt idx="6">
                  <c:v>16.5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16.5</c:v>
                </c:pt>
                <c:pt idx="11">
                  <c:v>17.5</c:v>
                </c:pt>
                <c:pt idx="12">
                  <c:v>16.5</c:v>
                </c:pt>
                <c:pt idx="13">
                  <c:v>15</c:v>
                </c:pt>
                <c:pt idx="14">
                  <c:v>14.5</c:v>
                </c:pt>
                <c:pt idx="15">
                  <c:v>16.5</c:v>
                </c:pt>
                <c:pt idx="16">
                  <c:v>18</c:v>
                </c:pt>
                <c:pt idx="17">
                  <c:v>18</c:v>
                </c:pt>
                <c:pt idx="18">
                  <c:v>18.5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17.5</c:v>
                </c:pt>
                <c:pt idx="23">
                  <c:v>17</c:v>
                </c:pt>
                <c:pt idx="24">
                  <c:v>16</c:v>
                </c:pt>
                <c:pt idx="25">
                  <c:v>15.5</c:v>
                </c:pt>
                <c:pt idx="26">
                  <c:v>14.5</c:v>
                </c:pt>
                <c:pt idx="27">
                  <c:v>15</c:v>
                </c:pt>
                <c:pt idx="28">
                  <c:v>14.5</c:v>
                </c:pt>
                <c:pt idx="29">
                  <c:v>14</c:v>
                </c:pt>
              </c:numCache>
            </c:numRef>
          </c:val>
        </c:ser>
        <c:marker val="1"/>
        <c:axId val="93988736"/>
        <c:axId val="93990272"/>
      </c:lineChart>
      <c:catAx>
        <c:axId val="93988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90272"/>
        <c:crosses val="autoZero"/>
        <c:auto val="1"/>
        <c:lblAlgn val="ctr"/>
        <c:lblOffset val="100"/>
      </c:catAx>
      <c:valAx>
        <c:axId val="939902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88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6113"/>
          <c:w val="0.1272403315177080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7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9</c:v>
                </c:pt>
                <c:pt idx="8">
                  <c:v>4</c:v>
                </c:pt>
                <c:pt idx="9">
                  <c:v>6</c:v>
                </c:pt>
                <c:pt idx="10">
                  <c:v>0</c:v>
                </c:pt>
                <c:pt idx="11">
                  <c:v>3</c:v>
                </c:pt>
                <c:pt idx="12">
                  <c:v>7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5</c:v>
                </c:pt>
                <c:pt idx="19">
                  <c:v>2</c:v>
                </c:pt>
                <c:pt idx="20">
                  <c:v>6</c:v>
                </c:pt>
                <c:pt idx="21">
                  <c:v>8</c:v>
                </c:pt>
                <c:pt idx="22">
                  <c:v>7</c:v>
                </c:pt>
                <c:pt idx="23">
                  <c:v>8</c:v>
                </c:pt>
                <c:pt idx="24">
                  <c:v>9</c:v>
                </c:pt>
                <c:pt idx="25">
                  <c:v>6</c:v>
                </c:pt>
                <c:pt idx="26">
                  <c:v>8</c:v>
                </c:pt>
                <c:pt idx="27">
                  <c:v>11</c:v>
                </c:pt>
                <c:pt idx="28">
                  <c:v>13</c:v>
                </c:pt>
                <c:pt idx="29">
                  <c:v>9</c:v>
                </c:pt>
              </c:numCache>
            </c:numRef>
          </c:val>
        </c:ser>
        <c:marker val="1"/>
        <c:axId val="94022656"/>
        <c:axId val="94032640"/>
      </c:lineChart>
      <c:catAx>
        <c:axId val="94022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32640"/>
        <c:crosses val="autoZero"/>
        <c:auto val="1"/>
        <c:lblAlgn val="ctr"/>
        <c:lblOffset val="100"/>
      </c:catAx>
      <c:valAx>
        <c:axId val="94032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22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02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247</c:v>
                </c:pt>
                <c:pt idx="1">
                  <c:v>229</c:v>
                </c:pt>
                <c:pt idx="2">
                  <c:v>329</c:v>
                </c:pt>
                <c:pt idx="3">
                  <c:v>624.70000000001164</c:v>
                </c:pt>
                <c:pt idx="4">
                  <c:v>449.89999999999418</c:v>
                </c:pt>
                <c:pt idx="5">
                  <c:v>498</c:v>
                </c:pt>
                <c:pt idx="6">
                  <c:v>705.80000000000291</c:v>
                </c:pt>
                <c:pt idx="7">
                  <c:v>960.30000000000291</c:v>
                </c:pt>
                <c:pt idx="8">
                  <c:v>642</c:v>
                </c:pt>
                <c:pt idx="9">
                  <c:v>624</c:v>
                </c:pt>
                <c:pt idx="10">
                  <c:v>762.19999999999709</c:v>
                </c:pt>
                <c:pt idx="11">
                  <c:v>838.19999999999709</c:v>
                </c:pt>
                <c:pt idx="12">
                  <c:v>661</c:v>
                </c:pt>
                <c:pt idx="13">
                  <c:v>867</c:v>
                </c:pt>
                <c:pt idx="14">
                  <c:v>918.40000000000873</c:v>
                </c:pt>
                <c:pt idx="15">
                  <c:v>1163.3000000000029</c:v>
                </c:pt>
                <c:pt idx="16">
                  <c:v>840</c:v>
                </c:pt>
                <c:pt idx="17">
                  <c:v>787</c:v>
                </c:pt>
                <c:pt idx="18">
                  <c:v>816.59999999999127</c:v>
                </c:pt>
                <c:pt idx="19">
                  <c:v>1143.6999999999971</c:v>
                </c:pt>
                <c:pt idx="20">
                  <c:v>705</c:v>
                </c:pt>
                <c:pt idx="21">
                  <c:v>814</c:v>
                </c:pt>
                <c:pt idx="22">
                  <c:v>758.60000000000582</c:v>
                </c:pt>
                <c:pt idx="23">
                  <c:v>1095.3000000000029</c:v>
                </c:pt>
                <c:pt idx="24">
                  <c:v>548</c:v>
                </c:pt>
                <c:pt idx="25">
                  <c:v>952.39999999999418</c:v>
                </c:pt>
                <c:pt idx="26">
                  <c:v>1017.6000000000058</c:v>
                </c:pt>
                <c:pt idx="27">
                  <c:v>1203.6999999999971</c:v>
                </c:pt>
                <c:pt idx="28">
                  <c:v>1073.8999999999651</c:v>
                </c:pt>
                <c:pt idx="29">
                  <c:v>1142.2000000000116</c:v>
                </c:pt>
                <c:pt idx="30">
                  <c:v>971.40000000002328</c:v>
                </c:pt>
              </c:numCache>
            </c:numRef>
          </c:val>
        </c:ser>
        <c:marker val="1"/>
        <c:axId val="94179712"/>
        <c:axId val="94181248"/>
      </c:lineChart>
      <c:catAx>
        <c:axId val="94179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81248"/>
        <c:crosses val="autoZero"/>
        <c:auto val="1"/>
        <c:lblAlgn val="ctr"/>
        <c:lblOffset val="100"/>
      </c:catAx>
      <c:valAx>
        <c:axId val="94181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79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6113"/>
          <c:w val="0.1354168853893335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60</c:v>
                </c:pt>
                <c:pt idx="1">
                  <c:v>150</c:v>
                </c:pt>
                <c:pt idx="2">
                  <c:v>90</c:v>
                </c:pt>
                <c:pt idx="3">
                  <c:v>330</c:v>
                </c:pt>
                <c:pt idx="4">
                  <c:v>320</c:v>
                </c:pt>
                <c:pt idx="5">
                  <c:v>30</c:v>
                </c:pt>
                <c:pt idx="6">
                  <c:v>90</c:v>
                </c:pt>
                <c:pt idx="7">
                  <c:v>0</c:v>
                </c:pt>
                <c:pt idx="8">
                  <c:v>390</c:v>
                </c:pt>
                <c:pt idx="9">
                  <c:v>150</c:v>
                </c:pt>
                <c:pt idx="10">
                  <c:v>180</c:v>
                </c:pt>
                <c:pt idx="11">
                  <c:v>320</c:v>
                </c:pt>
                <c:pt idx="12">
                  <c:v>270</c:v>
                </c:pt>
                <c:pt idx="13">
                  <c:v>90</c:v>
                </c:pt>
                <c:pt idx="14">
                  <c:v>120</c:v>
                </c:pt>
                <c:pt idx="15">
                  <c:v>0</c:v>
                </c:pt>
                <c:pt idx="16">
                  <c:v>360</c:v>
                </c:pt>
                <c:pt idx="17">
                  <c:v>270</c:v>
                </c:pt>
                <c:pt idx="18">
                  <c:v>330</c:v>
                </c:pt>
                <c:pt idx="19">
                  <c:v>90</c:v>
                </c:pt>
                <c:pt idx="20">
                  <c:v>120</c:v>
                </c:pt>
                <c:pt idx="21">
                  <c:v>390</c:v>
                </c:pt>
                <c:pt idx="22">
                  <c:v>240</c:v>
                </c:pt>
                <c:pt idx="23">
                  <c:v>210</c:v>
                </c:pt>
                <c:pt idx="24">
                  <c:v>270</c:v>
                </c:pt>
                <c:pt idx="25">
                  <c:v>390</c:v>
                </c:pt>
                <c:pt idx="26">
                  <c:v>150</c:v>
                </c:pt>
                <c:pt idx="27">
                  <c:v>240</c:v>
                </c:pt>
                <c:pt idx="28">
                  <c:v>270</c:v>
                </c:pt>
                <c:pt idx="29">
                  <c:v>360</c:v>
                </c:pt>
              </c:numCache>
            </c:numRef>
          </c:val>
        </c:ser>
        <c:marker val="1"/>
        <c:axId val="94213632"/>
        <c:axId val="94215168"/>
      </c:lineChart>
      <c:catAx>
        <c:axId val="94213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15168"/>
        <c:crosses val="autoZero"/>
        <c:auto val="1"/>
        <c:lblAlgn val="ctr"/>
        <c:lblOffset val="100"/>
      </c:catAx>
      <c:valAx>
        <c:axId val="942151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1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611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14417.599999999627</c:v>
                </c:pt>
                <c:pt idx="1">
                  <c:v>14340.200000000186</c:v>
                </c:pt>
                <c:pt idx="2">
                  <c:v>14840</c:v>
                </c:pt>
                <c:pt idx="3">
                  <c:v>15111</c:v>
                </c:pt>
                <c:pt idx="4">
                  <c:v>15739</c:v>
                </c:pt>
                <c:pt idx="5">
                  <c:v>13473</c:v>
                </c:pt>
                <c:pt idx="6">
                  <c:v>14010.399999999907</c:v>
                </c:pt>
                <c:pt idx="7">
                  <c:v>15285.600000000093</c:v>
                </c:pt>
                <c:pt idx="8">
                  <c:v>16664</c:v>
                </c:pt>
                <c:pt idx="9">
                  <c:v>13515</c:v>
                </c:pt>
                <c:pt idx="10">
                  <c:v>15465</c:v>
                </c:pt>
                <c:pt idx="11">
                  <c:v>13877</c:v>
                </c:pt>
                <c:pt idx="12">
                  <c:v>14595</c:v>
                </c:pt>
                <c:pt idx="13">
                  <c:v>15369</c:v>
                </c:pt>
                <c:pt idx="14">
                  <c:v>15707</c:v>
                </c:pt>
                <c:pt idx="15">
                  <c:v>12865</c:v>
                </c:pt>
                <c:pt idx="16">
                  <c:v>15541</c:v>
                </c:pt>
                <c:pt idx="17">
                  <c:v>15509.600000000093</c:v>
                </c:pt>
                <c:pt idx="18">
                  <c:v>15084.399999999907</c:v>
                </c:pt>
                <c:pt idx="19">
                  <c:v>16194</c:v>
                </c:pt>
                <c:pt idx="20">
                  <c:v>15960</c:v>
                </c:pt>
                <c:pt idx="21">
                  <c:v>14265.200000000186</c:v>
                </c:pt>
                <c:pt idx="22">
                  <c:v>15174.799999999814</c:v>
                </c:pt>
                <c:pt idx="23">
                  <c:v>17513.200000000186</c:v>
                </c:pt>
                <c:pt idx="24">
                  <c:v>15392.799999999814</c:v>
                </c:pt>
                <c:pt idx="25">
                  <c:v>13694</c:v>
                </c:pt>
                <c:pt idx="26">
                  <c:v>13820</c:v>
                </c:pt>
                <c:pt idx="27">
                  <c:v>16588</c:v>
                </c:pt>
                <c:pt idx="28">
                  <c:v>15682</c:v>
                </c:pt>
                <c:pt idx="29">
                  <c:v>17673</c:v>
                </c:pt>
                <c:pt idx="30">
                  <c:v>18161</c:v>
                </c:pt>
              </c:numCache>
            </c:numRef>
          </c:val>
        </c:ser>
        <c:marker val="1"/>
        <c:axId val="94235648"/>
        <c:axId val="94237440"/>
      </c:lineChart>
      <c:catAx>
        <c:axId val="94235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37440"/>
        <c:crosses val="autoZero"/>
        <c:auto val="1"/>
        <c:lblAlgn val="ctr"/>
        <c:lblOffset val="100"/>
      </c:catAx>
      <c:valAx>
        <c:axId val="942374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35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1736"/>
          <c:w val="0.12291688538932598"/>
          <c:h val="4.498269896194005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6435</c:v>
                </c:pt>
                <c:pt idx="1">
                  <c:v>6079</c:v>
                </c:pt>
                <c:pt idx="2">
                  <c:v>6500</c:v>
                </c:pt>
                <c:pt idx="3">
                  <c:v>6633</c:v>
                </c:pt>
                <c:pt idx="4">
                  <c:v>7006</c:v>
                </c:pt>
                <c:pt idx="5">
                  <c:v>5670</c:v>
                </c:pt>
                <c:pt idx="6">
                  <c:v>5689</c:v>
                </c:pt>
                <c:pt idx="7">
                  <c:v>6809</c:v>
                </c:pt>
                <c:pt idx="8">
                  <c:v>7435</c:v>
                </c:pt>
                <c:pt idx="9">
                  <c:v>5867</c:v>
                </c:pt>
                <c:pt idx="10">
                  <c:v>6939</c:v>
                </c:pt>
                <c:pt idx="11">
                  <c:v>5925</c:v>
                </c:pt>
                <c:pt idx="12">
                  <c:v>6114</c:v>
                </c:pt>
                <c:pt idx="13">
                  <c:v>6716</c:v>
                </c:pt>
                <c:pt idx="14">
                  <c:v>6382</c:v>
                </c:pt>
                <c:pt idx="15">
                  <c:v>5457</c:v>
                </c:pt>
                <c:pt idx="16">
                  <c:v>6709</c:v>
                </c:pt>
                <c:pt idx="17">
                  <c:v>6687</c:v>
                </c:pt>
                <c:pt idx="18">
                  <c:v>6649</c:v>
                </c:pt>
                <c:pt idx="19">
                  <c:v>7316</c:v>
                </c:pt>
                <c:pt idx="20">
                  <c:v>6846</c:v>
                </c:pt>
                <c:pt idx="21">
                  <c:v>6073</c:v>
                </c:pt>
                <c:pt idx="22">
                  <c:v>6853</c:v>
                </c:pt>
                <c:pt idx="23">
                  <c:v>7333</c:v>
                </c:pt>
                <c:pt idx="24">
                  <c:v>6550</c:v>
                </c:pt>
                <c:pt idx="25">
                  <c:v>5779</c:v>
                </c:pt>
                <c:pt idx="26">
                  <c:v>5605</c:v>
                </c:pt>
                <c:pt idx="27">
                  <c:v>6142</c:v>
                </c:pt>
                <c:pt idx="28">
                  <c:v>6839</c:v>
                </c:pt>
                <c:pt idx="29">
                  <c:v>7275</c:v>
                </c:pt>
                <c:pt idx="30">
                  <c:v>7854</c:v>
                </c:pt>
              </c:numCache>
            </c:numRef>
          </c:val>
        </c:ser>
        <c:marker val="1"/>
        <c:axId val="92840320"/>
        <c:axId val="92841856"/>
      </c:lineChart>
      <c:catAx>
        <c:axId val="92840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41856"/>
        <c:crosses val="autoZero"/>
        <c:auto val="1"/>
        <c:lblAlgn val="ctr"/>
        <c:lblOffset val="100"/>
      </c:catAx>
      <c:valAx>
        <c:axId val="92841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40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6113"/>
          <c:w val="0.1354168853893335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2.5900000000001455</c:v>
                </c:pt>
                <c:pt idx="1">
                  <c:v>2.7199999999993452</c:v>
                </c:pt>
                <c:pt idx="2">
                  <c:v>4</c:v>
                </c:pt>
                <c:pt idx="3">
                  <c:v>3</c:v>
                </c:pt>
                <c:pt idx="4">
                  <c:v>3.3999999999996362</c:v>
                </c:pt>
                <c:pt idx="5">
                  <c:v>4.1700000000000728</c:v>
                </c:pt>
                <c:pt idx="6">
                  <c:v>4.430000000000291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3</c:v>
                </c:pt>
                <c:pt idx="20">
                  <c:v>3.8299999999999272</c:v>
                </c:pt>
                <c:pt idx="21">
                  <c:v>2.680000000000291</c:v>
                </c:pt>
                <c:pt idx="22">
                  <c:v>4.4899999999997817</c:v>
                </c:pt>
                <c:pt idx="23">
                  <c:v>3.2099999999991269</c:v>
                </c:pt>
                <c:pt idx="24">
                  <c:v>4.1100000000005821</c:v>
                </c:pt>
                <c:pt idx="25">
                  <c:v>4.680000000000291</c:v>
                </c:pt>
                <c:pt idx="26">
                  <c:v>8.3500000000003638</c:v>
                </c:pt>
                <c:pt idx="27">
                  <c:v>4</c:v>
                </c:pt>
                <c:pt idx="28">
                  <c:v>4.6499999999996362</c:v>
                </c:pt>
                <c:pt idx="29">
                  <c:v>4</c:v>
                </c:pt>
              </c:numCache>
            </c:numRef>
          </c:val>
        </c:ser>
        <c:marker val="1"/>
        <c:axId val="94385664"/>
        <c:axId val="94387200"/>
      </c:lineChart>
      <c:catAx>
        <c:axId val="94385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87200"/>
        <c:crosses val="autoZero"/>
        <c:auto val="1"/>
        <c:lblAlgn val="ctr"/>
        <c:lblOffset val="100"/>
      </c:catAx>
      <c:valAx>
        <c:axId val="943872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85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6133"/>
          <c:y val="0.54325368498487869"/>
          <c:w val="0.11458355205599259"/>
          <c:h val="4.498269896193968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236.67741935481899</c:v>
                </c:pt>
                <c:pt idx="1">
                  <c:v>-1156.7096774193487</c:v>
                </c:pt>
                <c:pt idx="2">
                  <c:v>-1603.3870967742114</c:v>
                </c:pt>
                <c:pt idx="3">
                  <c:v>-1156.7096774193415</c:v>
                </c:pt>
                <c:pt idx="4">
                  <c:v>-1533.3870967741896</c:v>
                </c:pt>
                <c:pt idx="5">
                  <c:v>-1840.0645161290522</c:v>
                </c:pt>
                <c:pt idx="6">
                  <c:v>-1840.0645161290158</c:v>
                </c:pt>
                <c:pt idx="7">
                  <c:v>-1226.709677419356</c:v>
                </c:pt>
                <c:pt idx="8">
                  <c:v>-1533.3870967742114</c:v>
                </c:pt>
                <c:pt idx="9">
                  <c:v>-1533.3870967741823</c:v>
                </c:pt>
                <c:pt idx="10">
                  <c:v>-1840.0645161290231</c:v>
                </c:pt>
                <c:pt idx="11">
                  <c:v>193.74193548386393</c:v>
                </c:pt>
                <c:pt idx="12">
                  <c:v>-1770.0645161290231</c:v>
                </c:pt>
                <c:pt idx="13">
                  <c:v>-2216.7419354838858</c:v>
                </c:pt>
                <c:pt idx="14">
                  <c:v>-1840.0645161290158</c:v>
                </c:pt>
                <c:pt idx="15">
                  <c:v>-1910.0645161290449</c:v>
                </c:pt>
                <c:pt idx="16">
                  <c:v>-1263.2258064516063</c:v>
                </c:pt>
                <c:pt idx="17">
                  <c:v>413.74193548385665</c:v>
                </c:pt>
                <c:pt idx="18">
                  <c:v>-2250.0322580645152</c:v>
                </c:pt>
                <c:pt idx="19">
                  <c:v>-1690.0322580645079</c:v>
                </c:pt>
                <c:pt idx="20">
                  <c:v>-1690.0322580645152</c:v>
                </c:pt>
                <c:pt idx="21">
                  <c:v>-1620.0322580645006</c:v>
                </c:pt>
                <c:pt idx="22">
                  <c:v>-2416.709677419356</c:v>
                </c:pt>
                <c:pt idx="23">
                  <c:v>-1340.0322580645443</c:v>
                </c:pt>
                <c:pt idx="24">
                  <c:v>-2206.7096774193415</c:v>
                </c:pt>
                <c:pt idx="25">
                  <c:v>-1890.2258064516063</c:v>
                </c:pt>
                <c:pt idx="26">
                  <c:v>-2916.3225806451519</c:v>
                </c:pt>
                <c:pt idx="27">
                  <c:v>-2276.709677419356</c:v>
                </c:pt>
                <c:pt idx="28">
                  <c:v>-2416.7096774193778</c:v>
                </c:pt>
                <c:pt idx="29">
                  <c:v>-13720.161290322583</c:v>
                </c:pt>
              </c:numCache>
            </c:numRef>
          </c:val>
        </c:ser>
        <c:marker val="1"/>
        <c:axId val="94407296"/>
        <c:axId val="94306688"/>
      </c:lineChart>
      <c:catAx>
        <c:axId val="94407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06688"/>
        <c:crosses val="autoZero"/>
        <c:auto val="1"/>
        <c:lblAlgn val="ctr"/>
        <c:lblOffset val="100"/>
      </c:catAx>
      <c:valAx>
        <c:axId val="943066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07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564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9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3</c:v>
                </c:pt>
                <c:pt idx="11">
                  <c:v>7</c:v>
                </c:pt>
                <c:pt idx="12">
                  <c:v>3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8</c:v>
                </c:pt>
                <c:pt idx="17">
                  <c:v>6</c:v>
                </c:pt>
                <c:pt idx="18">
                  <c:v>4</c:v>
                </c:pt>
                <c:pt idx="19">
                  <c:v>11</c:v>
                </c:pt>
                <c:pt idx="20">
                  <c:v>3</c:v>
                </c:pt>
                <c:pt idx="21">
                  <c:v>8</c:v>
                </c:pt>
                <c:pt idx="22">
                  <c:v>3</c:v>
                </c:pt>
                <c:pt idx="23">
                  <c:v>9</c:v>
                </c:pt>
                <c:pt idx="24">
                  <c:v>4</c:v>
                </c:pt>
                <c:pt idx="25">
                  <c:v>2</c:v>
                </c:pt>
                <c:pt idx="26">
                  <c:v>0</c:v>
                </c:pt>
                <c:pt idx="27">
                  <c:v>11</c:v>
                </c:pt>
                <c:pt idx="28">
                  <c:v>4</c:v>
                </c:pt>
                <c:pt idx="29">
                  <c:v>0</c:v>
                </c:pt>
              </c:numCache>
            </c:numRef>
          </c:val>
        </c:ser>
        <c:marker val="1"/>
        <c:axId val="94323072"/>
        <c:axId val="94324608"/>
      </c:lineChart>
      <c:catAx>
        <c:axId val="94323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24608"/>
        <c:crosses val="autoZero"/>
        <c:auto val="1"/>
        <c:lblAlgn val="ctr"/>
        <c:lblOffset val="100"/>
      </c:catAx>
      <c:valAx>
        <c:axId val="94324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23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5222"/>
          <c:y val="0.62975887529631736"/>
          <c:w val="0.13541688538933397"/>
          <c:h val="4.498269896194005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0.1565</c:v>
                </c:pt>
                <c:pt idx="1">
                  <c:v>0.13039999999999999</c:v>
                </c:pt>
                <c:pt idx="2">
                  <c:v>0.1522</c:v>
                </c:pt>
                <c:pt idx="3">
                  <c:v>0.17829999999999999</c:v>
                </c:pt>
                <c:pt idx="4">
                  <c:v>0.21299999999999999</c:v>
                </c:pt>
                <c:pt idx="5">
                  <c:v>0.17799999999999999</c:v>
                </c:pt>
                <c:pt idx="6">
                  <c:v>0.13900000000000001</c:v>
                </c:pt>
                <c:pt idx="7">
                  <c:v>0.16220000000000001</c:v>
                </c:pt>
                <c:pt idx="8">
                  <c:v>0.1739</c:v>
                </c:pt>
                <c:pt idx="9">
                  <c:v>0.187</c:v>
                </c:pt>
                <c:pt idx="10">
                  <c:v>0.1565</c:v>
                </c:pt>
                <c:pt idx="11">
                  <c:v>0.21740000000000001</c:v>
                </c:pt>
                <c:pt idx="12">
                  <c:v>0.23480000000000001</c:v>
                </c:pt>
                <c:pt idx="13">
                  <c:v>0.1696</c:v>
                </c:pt>
                <c:pt idx="14">
                  <c:v>0.16520000000000001</c:v>
                </c:pt>
                <c:pt idx="15">
                  <c:v>0.13900000000000001</c:v>
                </c:pt>
                <c:pt idx="16">
                  <c:v>0.1522</c:v>
                </c:pt>
                <c:pt idx="17">
                  <c:v>0.1696</c:v>
                </c:pt>
                <c:pt idx="18">
                  <c:v>0.1739</c:v>
                </c:pt>
                <c:pt idx="19">
                  <c:v>0.24779999999999999</c:v>
                </c:pt>
                <c:pt idx="20">
                  <c:v>0.18260000000000001</c:v>
                </c:pt>
                <c:pt idx="21">
                  <c:v>0.26090000000000002</c:v>
                </c:pt>
                <c:pt idx="22">
                  <c:v>0.25650000000000001</c:v>
                </c:pt>
                <c:pt idx="23">
                  <c:v>0.21740000000000001</c:v>
                </c:pt>
                <c:pt idx="24">
                  <c:v>0.20430000000000001</c:v>
                </c:pt>
                <c:pt idx="25">
                  <c:v>0.21740000000000001</c:v>
                </c:pt>
                <c:pt idx="26">
                  <c:v>0.2913</c:v>
                </c:pt>
                <c:pt idx="27">
                  <c:v>0.2913</c:v>
                </c:pt>
                <c:pt idx="28">
                  <c:v>0.34499999999999997</c:v>
                </c:pt>
                <c:pt idx="29">
                  <c:v>0.34499999999999997</c:v>
                </c:pt>
              </c:numCache>
            </c:numRef>
          </c:val>
        </c:ser>
        <c:marker val="1"/>
        <c:axId val="94361088"/>
        <c:axId val="94362624"/>
      </c:lineChart>
      <c:catAx>
        <c:axId val="94361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62624"/>
        <c:crosses val="autoZero"/>
        <c:auto val="1"/>
        <c:lblAlgn val="ctr"/>
        <c:lblOffset val="100"/>
      </c:catAx>
      <c:valAx>
        <c:axId val="9436262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61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1736"/>
          <c:w val="9.730870597697025E-2"/>
          <c:h val="4.498269896194005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492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35.994999999999997</c:v>
                </c:pt>
                <c:pt idx="1">
                  <c:v>29.991999999999997</c:v>
                </c:pt>
                <c:pt idx="2">
                  <c:v>35.006</c:v>
                </c:pt>
                <c:pt idx="3">
                  <c:v>41.009</c:v>
                </c:pt>
                <c:pt idx="4">
                  <c:v>48.99</c:v>
                </c:pt>
                <c:pt idx="5">
                  <c:v>40.94</c:v>
                </c:pt>
                <c:pt idx="6">
                  <c:v>31.970000000000002</c:v>
                </c:pt>
                <c:pt idx="7">
                  <c:v>37.306000000000004</c:v>
                </c:pt>
                <c:pt idx="8">
                  <c:v>39.997</c:v>
                </c:pt>
                <c:pt idx="9">
                  <c:v>43.01</c:v>
                </c:pt>
                <c:pt idx="10">
                  <c:v>35.994999999999997</c:v>
                </c:pt>
                <c:pt idx="11">
                  <c:v>50.002000000000002</c:v>
                </c:pt>
                <c:pt idx="12">
                  <c:v>54.004000000000005</c:v>
                </c:pt>
                <c:pt idx="13">
                  <c:v>39.008000000000003</c:v>
                </c:pt>
                <c:pt idx="14">
                  <c:v>37.996000000000002</c:v>
                </c:pt>
                <c:pt idx="15">
                  <c:v>31.970000000000002</c:v>
                </c:pt>
                <c:pt idx="16">
                  <c:v>35.006</c:v>
                </c:pt>
                <c:pt idx="17">
                  <c:v>39.008000000000003</c:v>
                </c:pt>
                <c:pt idx="18">
                  <c:v>39.997</c:v>
                </c:pt>
                <c:pt idx="19">
                  <c:v>56.994</c:v>
                </c:pt>
                <c:pt idx="20">
                  <c:v>41.998000000000005</c:v>
                </c:pt>
                <c:pt idx="21">
                  <c:v>60.007000000000005</c:v>
                </c:pt>
                <c:pt idx="22">
                  <c:v>58.995000000000005</c:v>
                </c:pt>
                <c:pt idx="23">
                  <c:v>50.002000000000002</c:v>
                </c:pt>
                <c:pt idx="24">
                  <c:v>46.989000000000004</c:v>
                </c:pt>
                <c:pt idx="25">
                  <c:v>50.002000000000002</c:v>
                </c:pt>
                <c:pt idx="26">
                  <c:v>66.998999999999995</c:v>
                </c:pt>
                <c:pt idx="27">
                  <c:v>66.998999999999995</c:v>
                </c:pt>
                <c:pt idx="28">
                  <c:v>79.349999999999994</c:v>
                </c:pt>
                <c:pt idx="29">
                  <c:v>79.349999999999994</c:v>
                </c:pt>
              </c:numCache>
            </c:numRef>
          </c:val>
        </c:ser>
        <c:marker val="1"/>
        <c:axId val="94448256"/>
        <c:axId val="94462336"/>
      </c:lineChart>
      <c:catAx>
        <c:axId val="94448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62336"/>
        <c:crosses val="autoZero"/>
        <c:auto val="1"/>
        <c:lblAlgn val="ctr"/>
        <c:lblOffset val="100"/>
      </c:catAx>
      <c:valAx>
        <c:axId val="944623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48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724"/>
          <c:h val="4.498269896194005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87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80</c:v>
                </c:pt>
                <c:pt idx="8">
                  <c:v>81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212</c:v>
                </c:pt>
                <c:pt idx="27">
                  <c:v>0</c:v>
                </c:pt>
                <c:pt idx="28">
                  <c:v>80</c:v>
                </c:pt>
                <c:pt idx="29">
                  <c:v>0</c:v>
                </c:pt>
              </c:numCache>
            </c:numRef>
          </c:val>
        </c:ser>
        <c:marker val="1"/>
        <c:axId val="94494720"/>
        <c:axId val="94496256"/>
      </c:lineChart>
      <c:catAx>
        <c:axId val="94494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96256"/>
        <c:crosses val="autoZero"/>
        <c:auto val="1"/>
        <c:lblAlgn val="ctr"/>
        <c:lblOffset val="100"/>
      </c:catAx>
      <c:valAx>
        <c:axId val="94496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9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1281"/>
          <c:y val="0.62975887529631736"/>
          <c:w val="0.13250539334757044"/>
          <c:h val="4.498269896194005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155</c:v>
                </c:pt>
                <c:pt idx="1">
                  <c:v>0</c:v>
                </c:pt>
                <c:pt idx="2">
                  <c:v>179</c:v>
                </c:pt>
                <c:pt idx="3">
                  <c:v>0</c:v>
                </c:pt>
                <c:pt idx="4">
                  <c:v>189</c:v>
                </c:pt>
                <c:pt idx="5">
                  <c:v>0</c:v>
                </c:pt>
                <c:pt idx="6">
                  <c:v>158</c:v>
                </c:pt>
                <c:pt idx="7">
                  <c:v>0</c:v>
                </c:pt>
                <c:pt idx="8">
                  <c:v>43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295</c:v>
                </c:pt>
                <c:pt idx="15">
                  <c:v>20</c:v>
                </c:pt>
                <c:pt idx="16">
                  <c:v>285</c:v>
                </c:pt>
                <c:pt idx="17">
                  <c:v>18</c:v>
                </c:pt>
                <c:pt idx="18">
                  <c:v>306</c:v>
                </c:pt>
                <c:pt idx="19">
                  <c:v>0</c:v>
                </c:pt>
                <c:pt idx="20">
                  <c:v>234</c:v>
                </c:pt>
                <c:pt idx="21">
                  <c:v>0</c:v>
                </c:pt>
                <c:pt idx="22">
                  <c:v>262</c:v>
                </c:pt>
                <c:pt idx="23">
                  <c:v>0</c:v>
                </c:pt>
                <c:pt idx="24">
                  <c:v>198</c:v>
                </c:pt>
                <c:pt idx="25">
                  <c:v>0</c:v>
                </c:pt>
                <c:pt idx="26">
                  <c:v>123</c:v>
                </c:pt>
                <c:pt idx="27">
                  <c:v>0</c:v>
                </c:pt>
                <c:pt idx="28">
                  <c:v>189</c:v>
                </c:pt>
                <c:pt idx="29">
                  <c:v>71</c:v>
                </c:pt>
              </c:numCache>
            </c:numRef>
          </c:val>
        </c:ser>
        <c:marker val="1"/>
        <c:axId val="94524544"/>
        <c:axId val="94526080"/>
      </c:lineChart>
      <c:catAx>
        <c:axId val="94524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26080"/>
        <c:crosses val="autoZero"/>
        <c:auto val="1"/>
        <c:lblAlgn val="ctr"/>
        <c:lblOffset val="100"/>
      </c:catAx>
      <c:valAx>
        <c:axId val="94526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24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611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18.5</c:v>
                </c:pt>
                <c:pt idx="2">
                  <c:v>19</c:v>
                </c:pt>
                <c:pt idx="3">
                  <c:v>15.5</c:v>
                </c:pt>
                <c:pt idx="4">
                  <c:v>14.5</c:v>
                </c:pt>
                <c:pt idx="5">
                  <c:v>14.5</c:v>
                </c:pt>
                <c:pt idx="6">
                  <c:v>16.5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16.5</c:v>
                </c:pt>
                <c:pt idx="11">
                  <c:v>17.5</c:v>
                </c:pt>
                <c:pt idx="12">
                  <c:v>16.5</c:v>
                </c:pt>
                <c:pt idx="13">
                  <c:v>15</c:v>
                </c:pt>
                <c:pt idx="14">
                  <c:v>14.5</c:v>
                </c:pt>
                <c:pt idx="15">
                  <c:v>16.5</c:v>
                </c:pt>
                <c:pt idx="16">
                  <c:v>18</c:v>
                </c:pt>
                <c:pt idx="17">
                  <c:v>18</c:v>
                </c:pt>
                <c:pt idx="18">
                  <c:v>18.5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17.5</c:v>
                </c:pt>
                <c:pt idx="23">
                  <c:v>17</c:v>
                </c:pt>
                <c:pt idx="24">
                  <c:v>16</c:v>
                </c:pt>
                <c:pt idx="25">
                  <c:v>15.5</c:v>
                </c:pt>
                <c:pt idx="26">
                  <c:v>14.5</c:v>
                </c:pt>
                <c:pt idx="27">
                  <c:v>15</c:v>
                </c:pt>
                <c:pt idx="28">
                  <c:v>14.5</c:v>
                </c:pt>
                <c:pt idx="29">
                  <c:v>14</c:v>
                </c:pt>
              </c:numCache>
            </c:numRef>
          </c:val>
        </c:ser>
        <c:marker val="1"/>
        <c:axId val="94558464"/>
        <c:axId val="94564352"/>
      </c:lineChart>
      <c:catAx>
        <c:axId val="94558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64352"/>
        <c:crosses val="autoZero"/>
        <c:auto val="1"/>
        <c:lblAlgn val="ctr"/>
        <c:lblOffset val="100"/>
      </c:catAx>
      <c:valAx>
        <c:axId val="94564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5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3253"/>
          <c:w val="0.1234311819809177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-60.09999999999998</c:v>
                </c:pt>
                <c:pt idx="11" formatCode="0.00_ ;[Red]\-0.00\ ">
                  <c:v>31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1.0999999999999979</c:v>
                </c:pt>
                <c:pt idx="11" formatCode="0.00_ ;[Red]\-0.00\ ">
                  <c:v>26</c:v>
                </c:pt>
              </c:numCache>
            </c:numRef>
          </c:val>
        </c:ser>
        <c:marker val="1"/>
        <c:axId val="94601600"/>
        <c:axId val="94603136"/>
      </c:lineChart>
      <c:catAx>
        <c:axId val="946016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03136"/>
        <c:crosses val="autoZero"/>
        <c:auto val="1"/>
        <c:lblAlgn val="ctr"/>
        <c:lblOffset val="100"/>
      </c:catAx>
      <c:valAx>
        <c:axId val="946031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01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3853"/>
          <c:y val="0.45486256926218988"/>
          <c:w val="0.1569039853282003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178</c:v>
                </c:pt>
                <c:pt idx="1">
                  <c:v>163.80000000000001</c:v>
                </c:pt>
                <c:pt idx="2">
                  <c:v>202.45454545454547</c:v>
                </c:pt>
                <c:pt idx="3">
                  <c:v>202.42857142857142</c:v>
                </c:pt>
                <c:pt idx="4">
                  <c:v>245.66666666666666</c:v>
                </c:pt>
                <c:pt idx="5">
                  <c:v>175.83333333333334</c:v>
                </c:pt>
                <c:pt idx="6">
                  <c:v>164.18181818181819</c:v>
                </c:pt>
                <c:pt idx="7">
                  <c:v>185</c:v>
                </c:pt>
                <c:pt idx="8">
                  <c:v>171.42857142857142</c:v>
                </c:pt>
                <c:pt idx="9">
                  <c:v>193.42857142857142</c:v>
                </c:pt>
                <c:pt idx="10">
                  <c:v>179.44444444444446</c:v>
                </c:pt>
                <c:pt idx="11">
                  <c:v>189.8</c:v>
                </c:pt>
                <c:pt idx="12">
                  <c:v>244.83333333333334</c:v>
                </c:pt>
                <c:pt idx="13">
                  <c:v>181.22222222222223</c:v>
                </c:pt>
                <c:pt idx="14">
                  <c:v>222.6</c:v>
                </c:pt>
                <c:pt idx="15">
                  <c:v>203.33333333333334</c:v>
                </c:pt>
                <c:pt idx="16">
                  <c:v>185.63636363636363</c:v>
                </c:pt>
                <c:pt idx="17">
                  <c:v>400.25</c:v>
                </c:pt>
                <c:pt idx="18">
                  <c:v>129</c:v>
                </c:pt>
                <c:pt idx="19">
                  <c:v>187.27272727272728</c:v>
                </c:pt>
                <c:pt idx="20">
                  <c:v>236</c:v>
                </c:pt>
                <c:pt idx="21">
                  <c:v>213.5</c:v>
                </c:pt>
                <c:pt idx="22">
                  <c:v>218.5</c:v>
                </c:pt>
                <c:pt idx="23">
                  <c:v>180</c:v>
                </c:pt>
                <c:pt idx="24">
                  <c:v>162.16666666666666</c:v>
                </c:pt>
                <c:pt idx="25">
                  <c:v>209.75</c:v>
                </c:pt>
                <c:pt idx="26">
                  <c:v>205.42857142857142</c:v>
                </c:pt>
                <c:pt idx="27">
                  <c:v>154.22222222222223</c:v>
                </c:pt>
                <c:pt idx="28">
                  <c:v>186.66666666666666</c:v>
                </c:pt>
                <c:pt idx="29">
                  <c:v>158.5</c:v>
                </c:pt>
              </c:numCache>
            </c:numRef>
          </c:val>
        </c:ser>
        <c:marker val="1"/>
        <c:axId val="94782592"/>
        <c:axId val="94784128"/>
      </c:lineChart>
      <c:catAx>
        <c:axId val="94782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84128"/>
        <c:crosses val="autoZero"/>
        <c:auto val="1"/>
        <c:lblAlgn val="ctr"/>
        <c:lblOffset val="100"/>
      </c:catAx>
      <c:valAx>
        <c:axId val="947841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82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1736"/>
          <c:w val="0.14853578449138058"/>
          <c:h val="4.498269896194031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18.5</c:v>
                </c:pt>
                <c:pt idx="2">
                  <c:v>19</c:v>
                </c:pt>
                <c:pt idx="3">
                  <c:v>15.5</c:v>
                </c:pt>
                <c:pt idx="4">
                  <c:v>14.5</c:v>
                </c:pt>
                <c:pt idx="5">
                  <c:v>14.5</c:v>
                </c:pt>
                <c:pt idx="6">
                  <c:v>16.5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16.5</c:v>
                </c:pt>
                <c:pt idx="11">
                  <c:v>17.5</c:v>
                </c:pt>
                <c:pt idx="12">
                  <c:v>16.5</c:v>
                </c:pt>
                <c:pt idx="13">
                  <c:v>15</c:v>
                </c:pt>
                <c:pt idx="14">
                  <c:v>14.5</c:v>
                </c:pt>
                <c:pt idx="15">
                  <c:v>16.5</c:v>
                </c:pt>
                <c:pt idx="16">
                  <c:v>18</c:v>
                </c:pt>
                <c:pt idx="17">
                  <c:v>18</c:v>
                </c:pt>
                <c:pt idx="18">
                  <c:v>18.5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17.5</c:v>
                </c:pt>
                <c:pt idx="23">
                  <c:v>17</c:v>
                </c:pt>
                <c:pt idx="24">
                  <c:v>16</c:v>
                </c:pt>
                <c:pt idx="25">
                  <c:v>15.5</c:v>
                </c:pt>
                <c:pt idx="26">
                  <c:v>14.5</c:v>
                </c:pt>
                <c:pt idx="27">
                  <c:v>15</c:v>
                </c:pt>
                <c:pt idx="28">
                  <c:v>14.5</c:v>
                </c:pt>
                <c:pt idx="29">
                  <c:v>14</c:v>
                </c:pt>
              </c:numCache>
            </c:numRef>
          </c:val>
        </c:ser>
        <c:marker val="1"/>
        <c:axId val="94866048"/>
        <c:axId val="94871936"/>
      </c:lineChart>
      <c:catAx>
        <c:axId val="94866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71936"/>
        <c:crosses val="autoZero"/>
        <c:auto val="1"/>
        <c:lblAlgn val="ctr"/>
        <c:lblOffset val="100"/>
      </c:catAx>
      <c:valAx>
        <c:axId val="94871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66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4361"/>
          <c:y val="0.62975887529631736"/>
          <c:w val="0.12164948453608219"/>
          <c:h val="4.498269896194031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6435</c:v>
                </c:pt>
                <c:pt idx="1">
                  <c:v>6079</c:v>
                </c:pt>
                <c:pt idx="2">
                  <c:v>6500</c:v>
                </c:pt>
                <c:pt idx="3">
                  <c:v>6633</c:v>
                </c:pt>
                <c:pt idx="4">
                  <c:v>7006</c:v>
                </c:pt>
                <c:pt idx="5">
                  <c:v>5670</c:v>
                </c:pt>
                <c:pt idx="6">
                  <c:v>5689</c:v>
                </c:pt>
                <c:pt idx="7">
                  <c:v>6809</c:v>
                </c:pt>
                <c:pt idx="8">
                  <c:v>7435</c:v>
                </c:pt>
                <c:pt idx="9">
                  <c:v>5867</c:v>
                </c:pt>
                <c:pt idx="10">
                  <c:v>6939</c:v>
                </c:pt>
                <c:pt idx="11">
                  <c:v>5925</c:v>
                </c:pt>
                <c:pt idx="12">
                  <c:v>6114</c:v>
                </c:pt>
                <c:pt idx="13">
                  <c:v>6716</c:v>
                </c:pt>
                <c:pt idx="14">
                  <c:v>6382</c:v>
                </c:pt>
                <c:pt idx="15">
                  <c:v>5457</c:v>
                </c:pt>
                <c:pt idx="16">
                  <c:v>6709</c:v>
                </c:pt>
                <c:pt idx="17">
                  <c:v>6687</c:v>
                </c:pt>
                <c:pt idx="18">
                  <c:v>6649</c:v>
                </c:pt>
                <c:pt idx="19">
                  <c:v>7316</c:v>
                </c:pt>
                <c:pt idx="20">
                  <c:v>6846</c:v>
                </c:pt>
                <c:pt idx="21">
                  <c:v>6073</c:v>
                </c:pt>
                <c:pt idx="22">
                  <c:v>6853</c:v>
                </c:pt>
                <c:pt idx="23">
                  <c:v>7333</c:v>
                </c:pt>
                <c:pt idx="24">
                  <c:v>6550</c:v>
                </c:pt>
                <c:pt idx="25">
                  <c:v>5779</c:v>
                </c:pt>
                <c:pt idx="26">
                  <c:v>5605</c:v>
                </c:pt>
                <c:pt idx="27">
                  <c:v>6142</c:v>
                </c:pt>
                <c:pt idx="28">
                  <c:v>6839</c:v>
                </c:pt>
                <c:pt idx="29">
                  <c:v>7275</c:v>
                </c:pt>
                <c:pt idx="30">
                  <c:v>7854</c:v>
                </c:pt>
              </c:numCache>
            </c:numRef>
          </c:val>
        </c:ser>
        <c:marker val="1"/>
        <c:axId val="95236480"/>
        <c:axId val="95238016"/>
      </c:lineChart>
      <c:catAx>
        <c:axId val="95236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38016"/>
        <c:crosses val="autoZero"/>
        <c:auto val="1"/>
        <c:lblAlgn val="ctr"/>
        <c:lblOffset val="100"/>
      </c:catAx>
      <c:valAx>
        <c:axId val="95238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36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609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-60.09999999999998</c:v>
                </c:pt>
                <c:pt idx="11" formatCode="0.00_ ;[Red]\-0.00\ ">
                  <c:v>31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1.0999999999999979</c:v>
                </c:pt>
                <c:pt idx="11" formatCode="0.00_ ;[Red]\-0.00\ ">
                  <c:v>26</c:v>
                </c:pt>
              </c:numCache>
            </c:numRef>
          </c:val>
        </c:ser>
        <c:marker val="1"/>
        <c:axId val="95132288"/>
        <c:axId val="95134080"/>
      </c:lineChart>
      <c:catAx>
        <c:axId val="9513228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34080"/>
        <c:crosses val="autoZero"/>
        <c:auto val="1"/>
        <c:lblAlgn val="ctr"/>
        <c:lblOffset val="100"/>
      </c:catAx>
      <c:valAx>
        <c:axId val="9513408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32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1898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13" Type="http://schemas.openxmlformats.org/officeDocument/2006/relationships/chart" Target="../charts/chart24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12" Type="http://schemas.openxmlformats.org/officeDocument/2006/relationships/chart" Target="../charts/chart23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Relationship Id="rId14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542925</xdr:colOff>
      <xdr:row>38</xdr:row>
      <xdr:rowOff>180975</xdr:rowOff>
    </xdr:from>
    <xdr:to>
      <xdr:col>20</xdr:col>
      <xdr:colOff>381000</xdr:colOff>
      <xdr:row>39</xdr:row>
      <xdr:rowOff>180975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125325" y="79629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447675</xdr:colOff>
      <xdr:row>40</xdr:row>
      <xdr:rowOff>0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15200" y="79724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76200</xdr:colOff>
      <xdr:row>37</xdr:row>
      <xdr:rowOff>9525</xdr:rowOff>
    </xdr:from>
    <xdr:to>
      <xdr:col>4</xdr:col>
      <xdr:colOff>523875</xdr:colOff>
      <xdr:row>38</xdr:row>
      <xdr:rowOff>9525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514600" y="760095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O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SSEI~1.SAL/AppData/Local/Temp/notes7C574F/MA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E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OC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SSEI~1.SAL/AppData/Local/Temp/notes7C574F/Jul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SSEI~1.SAL/AppData/Local/Temp/notes7C574F/Apri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8/DE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2">
          <cell r="D32">
            <v>31186772</v>
          </cell>
          <cell r="E32">
            <v>4138</v>
          </cell>
          <cell r="F32">
            <v>3359570.8</v>
          </cell>
          <cell r="G32">
            <v>1999.5999999996275</v>
          </cell>
          <cell r="H32">
            <v>17141916</v>
          </cell>
          <cell r="I32">
            <v>2298</v>
          </cell>
          <cell r="J32">
            <v>28164866</v>
          </cell>
          <cell r="K32">
            <v>2448</v>
          </cell>
          <cell r="L32">
            <v>22386122</v>
          </cell>
          <cell r="M32">
            <v>3534</v>
          </cell>
          <cell r="N32">
            <v>14417.599999999627</v>
          </cell>
          <cell r="O32">
            <v>554.73643709117459</v>
          </cell>
          <cell r="P32">
            <v>15136.3</v>
          </cell>
          <cell r="Q32">
            <v>1947.9999999985012</v>
          </cell>
          <cell r="R32">
            <v>12469.600000001126</v>
          </cell>
          <cell r="S32">
            <v>8243</v>
          </cell>
          <cell r="T32">
            <v>0</v>
          </cell>
          <cell r="U32">
            <v>997154</v>
          </cell>
          <cell r="V32">
            <v>0</v>
          </cell>
          <cell r="W32">
            <v>31713</v>
          </cell>
          <cell r="X32">
            <v>5</v>
          </cell>
          <cell r="Y32">
            <v>600518</v>
          </cell>
          <cell r="Z32">
            <v>1004</v>
          </cell>
          <cell r="AA32">
            <v>34784</v>
          </cell>
          <cell r="AB32">
            <v>2</v>
          </cell>
          <cell r="AC32">
            <v>722860</v>
          </cell>
          <cell r="AD32">
            <v>643</v>
          </cell>
          <cell r="AE32">
            <v>7</v>
          </cell>
          <cell r="AF32">
            <v>1647</v>
          </cell>
          <cell r="AG32">
            <v>235.28571428571428</v>
          </cell>
          <cell r="AI32">
            <v>-49039346.399999999</v>
          </cell>
        </row>
      </sheetData>
      <sheetData sheetId="3">
        <row r="34">
          <cell r="B34">
            <v>217</v>
          </cell>
          <cell r="C34">
            <v>223</v>
          </cell>
          <cell r="D34">
            <v>3</v>
          </cell>
          <cell r="E34">
            <v>25.14</v>
          </cell>
          <cell r="F34">
            <v>1192</v>
          </cell>
          <cell r="G34">
            <v>2</v>
          </cell>
          <cell r="H34">
            <v>321489</v>
          </cell>
          <cell r="I34">
            <v>155</v>
          </cell>
          <cell r="J34">
            <v>77.5</v>
          </cell>
          <cell r="K34">
            <v>1566</v>
          </cell>
          <cell r="L34">
            <v>2</v>
          </cell>
          <cell r="M34">
            <v>114273</v>
          </cell>
          <cell r="N34">
            <v>92</v>
          </cell>
          <cell r="O34">
            <v>152.15789473684211</v>
          </cell>
          <cell r="P34">
            <v>1408</v>
          </cell>
          <cell r="Q34">
            <v>122696</v>
          </cell>
          <cell r="R34">
            <v>0</v>
          </cell>
          <cell r="S34">
            <v>0</v>
          </cell>
          <cell r="T34">
            <v>0</v>
          </cell>
          <cell r="U34">
            <v>4</v>
          </cell>
          <cell r="V34">
            <v>247</v>
          </cell>
          <cell r="W34">
            <v>0</v>
          </cell>
          <cell r="X34">
            <v>2239</v>
          </cell>
          <cell r="Y34">
            <v>0</v>
          </cell>
          <cell r="Z34">
            <v>126340</v>
          </cell>
          <cell r="AA34">
            <v>0</v>
          </cell>
          <cell r="AB34">
            <v>0</v>
          </cell>
          <cell r="AC34">
            <v>1688</v>
          </cell>
          <cell r="AD34">
            <v>0</v>
          </cell>
          <cell r="AE34">
            <v>351848</v>
          </cell>
          <cell r="AF34">
            <v>0</v>
          </cell>
          <cell r="AG34">
            <v>0</v>
          </cell>
          <cell r="AH34">
            <v>0</v>
          </cell>
          <cell r="AI34">
            <v>247</v>
          </cell>
          <cell r="AJ34">
            <v>247</v>
          </cell>
          <cell r="AK34">
            <v>0</v>
          </cell>
          <cell r="AL34">
            <v>4</v>
          </cell>
          <cell r="AM34">
            <v>0</v>
          </cell>
          <cell r="AN34">
            <v>79</v>
          </cell>
          <cell r="AO34">
            <v>2370</v>
          </cell>
          <cell r="AP34">
            <v>78</v>
          </cell>
          <cell r="AQ34">
            <v>2340</v>
          </cell>
          <cell r="AR34">
            <v>78</v>
          </cell>
          <cell r="AS34">
            <v>2340</v>
          </cell>
          <cell r="AT34">
            <v>7050</v>
          </cell>
          <cell r="AU34">
            <v>150</v>
          </cell>
          <cell r="AV34">
            <v>0</v>
          </cell>
          <cell r="AW34">
            <v>0</v>
          </cell>
          <cell r="AX34">
            <v>0.7</v>
          </cell>
        </row>
      </sheetData>
      <sheetData sheetId="4">
        <row r="35">
          <cell r="C35">
            <v>80</v>
          </cell>
          <cell r="D35">
            <v>2.9629629629629628</v>
          </cell>
          <cell r="E35">
            <v>382.79999999999995</v>
          </cell>
          <cell r="F35">
            <v>3</v>
          </cell>
          <cell r="G35">
            <v>581929</v>
          </cell>
          <cell r="H35">
            <v>0</v>
          </cell>
          <cell r="I35">
            <v>80</v>
          </cell>
          <cell r="J35">
            <v>4.7849999999999993</v>
          </cell>
          <cell r="L35">
            <v>4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4181</v>
          </cell>
          <cell r="U35">
            <v>2</v>
          </cell>
          <cell r="V35">
            <v>292</v>
          </cell>
          <cell r="W35">
            <v>0</v>
          </cell>
          <cell r="X35">
            <v>136928</v>
          </cell>
          <cell r="Y35">
            <v>0</v>
          </cell>
          <cell r="Z35">
            <v>89365</v>
          </cell>
          <cell r="AA35">
            <v>0</v>
          </cell>
          <cell r="AB35">
            <v>255</v>
          </cell>
          <cell r="AC35">
            <v>670</v>
          </cell>
          <cell r="AD35">
            <v>0</v>
          </cell>
          <cell r="AE35">
            <v>19.77</v>
          </cell>
          <cell r="AF35">
            <v>0</v>
          </cell>
          <cell r="AG35">
            <v>659.41</v>
          </cell>
          <cell r="AH35">
            <v>1.4099999999999682</v>
          </cell>
          <cell r="AI35">
            <v>1.4099999999999682</v>
          </cell>
          <cell r="AJ35">
            <v>0</v>
          </cell>
          <cell r="AK35">
            <v>-4</v>
          </cell>
          <cell r="AL35">
            <v>0</v>
          </cell>
          <cell r="AM35">
            <v>18.5</v>
          </cell>
          <cell r="AN35">
            <v>0</v>
          </cell>
          <cell r="AO35">
            <v>0</v>
          </cell>
          <cell r="AP35">
            <v>205</v>
          </cell>
          <cell r="AR35">
            <v>43799</v>
          </cell>
          <cell r="AS35">
            <v>0.9</v>
          </cell>
          <cell r="AT35">
            <v>130</v>
          </cell>
          <cell r="AU35">
            <v>1.1000000000000001</v>
          </cell>
          <cell r="AV35">
            <v>64</v>
          </cell>
          <cell r="AW35">
            <v>2.9</v>
          </cell>
          <cell r="AX35">
            <v>47</v>
          </cell>
          <cell r="AY35">
            <v>117</v>
          </cell>
          <cell r="AZ35">
            <v>70.400000000000006</v>
          </cell>
          <cell r="BA35">
            <v>136.29999999999998</v>
          </cell>
          <cell r="BB35">
            <v>80.099999999999994</v>
          </cell>
          <cell r="BC35">
            <v>-17.599999999999994</v>
          </cell>
          <cell r="BD35">
            <v>-69.600000000000023</v>
          </cell>
          <cell r="BE35">
            <v>-7.1000000000000227</v>
          </cell>
          <cell r="BF35">
            <v>87.100000000000023</v>
          </cell>
          <cell r="BG35">
            <v>-7.1000000000000227</v>
          </cell>
        </row>
      </sheetData>
      <sheetData sheetId="5"/>
      <sheetData sheetId="6">
        <row r="35">
          <cell r="B35">
            <v>22</v>
          </cell>
          <cell r="C35">
            <v>15</v>
          </cell>
          <cell r="D35">
            <v>18.5</v>
          </cell>
          <cell r="E35">
            <v>0.45</v>
          </cell>
          <cell r="F35">
            <v>0.113</v>
          </cell>
          <cell r="G35">
            <v>25.990000000000002</v>
          </cell>
          <cell r="H35">
            <v>0</v>
          </cell>
          <cell r="I35">
            <v>0</v>
          </cell>
          <cell r="J35">
            <v>205</v>
          </cell>
          <cell r="K35">
            <v>205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</sheetData>
      <sheetData sheetId="7"/>
      <sheetData sheetId="8">
        <row r="32">
          <cell r="B32">
            <v>8422</v>
          </cell>
          <cell r="C32">
            <v>1</v>
          </cell>
          <cell r="D32">
            <v>109619.1</v>
          </cell>
          <cell r="E32">
            <v>41.100000000005821</v>
          </cell>
          <cell r="F32">
            <v>41.100000000005821</v>
          </cell>
          <cell r="G32">
            <v>0</v>
          </cell>
          <cell r="H32">
            <v>8497</v>
          </cell>
          <cell r="I32" t="str">
            <v>ok</v>
          </cell>
          <cell r="J32">
            <v>10553.2</v>
          </cell>
          <cell r="K32">
            <v>0.2000000000007276</v>
          </cell>
          <cell r="L32">
            <v>214152</v>
          </cell>
          <cell r="M32">
            <v>0</v>
          </cell>
          <cell r="N32">
            <v>0</v>
          </cell>
          <cell r="O32">
            <v>0</v>
          </cell>
          <cell r="P32">
            <v>10535</v>
          </cell>
          <cell r="Q32" t="str">
            <v>oil change</v>
          </cell>
          <cell r="R32">
            <v>10862.49</v>
          </cell>
          <cell r="S32">
            <v>3.4899999999997817</v>
          </cell>
          <cell r="T32">
            <v>170727.5</v>
          </cell>
          <cell r="U32">
            <v>754</v>
          </cell>
          <cell r="V32">
            <v>216.04584527221982</v>
          </cell>
          <cell r="W32">
            <v>0</v>
          </cell>
          <cell r="X32">
            <v>10809</v>
          </cell>
          <cell r="Y32" t="str">
            <v>oil change</v>
          </cell>
          <cell r="Z32">
            <v>4.6900000000005093</v>
          </cell>
          <cell r="AA32">
            <v>795.10000000000582</v>
          </cell>
          <cell r="AB32">
            <v>257.14584527222564</v>
          </cell>
          <cell r="AC32">
            <v>169.53091684433252</v>
          </cell>
          <cell r="AD32">
            <v>1947.9999999985012</v>
          </cell>
          <cell r="AE32">
            <v>415.35181236637305</v>
          </cell>
          <cell r="AF32">
            <v>0.25959488272898318</v>
          </cell>
          <cell r="AG32">
            <v>83.070362473274614</v>
          </cell>
          <cell r="AH32">
            <v>86.46055437105791</v>
          </cell>
          <cell r="AI32">
            <v>501.38396624434</v>
          </cell>
          <cell r="AJ32">
            <v>0.25738396624472576</v>
          </cell>
          <cell r="AK32">
            <v>106.90489685379222</v>
          </cell>
        </row>
      </sheetData>
      <sheetData sheetId="9"/>
      <sheetData sheetId="10"/>
      <sheetData sheetId="11"/>
      <sheetData sheetId="12">
        <row r="26">
          <cell r="V26">
            <v>16947420</v>
          </cell>
          <cell r="W26">
            <v>17015254</v>
          </cell>
          <cell r="Y26">
            <v>80</v>
          </cell>
          <cell r="Z26">
            <v>1</v>
          </cell>
          <cell r="AA26">
            <v>67834</v>
          </cell>
          <cell r="AB26">
            <v>5426720</v>
          </cell>
          <cell r="AC26">
            <v>1033333</v>
          </cell>
          <cell r="AD26">
            <v>0.34115380940167073</v>
          </cell>
        </row>
        <row r="27">
          <cell r="V27">
            <v>24072356</v>
          </cell>
          <cell r="W27">
            <v>24173587</v>
          </cell>
          <cell r="Y27">
            <v>112</v>
          </cell>
          <cell r="Z27">
            <v>1</v>
          </cell>
          <cell r="AA27">
            <v>101231</v>
          </cell>
          <cell r="AB27">
            <v>11337872</v>
          </cell>
          <cell r="AC27">
            <v>6200000</v>
          </cell>
          <cell r="AD27">
            <v>0.50911550667129357</v>
          </cell>
        </row>
        <row r="28">
          <cell r="V28">
            <v>7852809</v>
          </cell>
          <cell r="W28">
            <v>7882582</v>
          </cell>
          <cell r="Y28">
            <v>320</v>
          </cell>
          <cell r="Z28">
            <v>1</v>
          </cell>
          <cell r="AA28">
            <v>29773</v>
          </cell>
          <cell r="AB28">
            <v>9527360</v>
          </cell>
          <cell r="AC28">
            <v>1000</v>
          </cell>
          <cell r="AD28">
            <v>0.14973571317209575</v>
          </cell>
        </row>
        <row r="29">
          <cell r="Y29">
            <v>0</v>
          </cell>
          <cell r="AA29">
            <v>198838</v>
          </cell>
        </row>
        <row r="30">
          <cell r="W30">
            <v>0.10532333333333334</v>
          </cell>
          <cell r="Y30" t="str">
            <v>Per G</v>
          </cell>
          <cell r="AB30">
            <v>26291952</v>
          </cell>
          <cell r="AC30">
            <v>7234333</v>
          </cell>
        </row>
        <row r="31">
          <cell r="W31">
            <v>97.190000000000509</v>
          </cell>
          <cell r="X31">
            <v>3.2396666666666838</v>
          </cell>
          <cell r="Y31">
            <v>1.6198333333333419</v>
          </cell>
          <cell r="AB31">
            <v>33526285</v>
          </cell>
          <cell r="AC31">
            <v>7234333</v>
          </cell>
        </row>
        <row r="32">
          <cell r="W32">
            <v>0</v>
          </cell>
          <cell r="X32">
            <v>0</v>
          </cell>
          <cell r="Y32">
            <v>0</v>
          </cell>
        </row>
        <row r="33">
          <cell r="B33">
            <v>49071422</v>
          </cell>
          <cell r="C33">
            <v>6435</v>
          </cell>
          <cell r="D33">
            <v>6336</v>
          </cell>
          <cell r="E33">
            <v>49071323</v>
          </cell>
          <cell r="F33">
            <v>7882582</v>
          </cell>
          <cell r="G33">
            <v>1139</v>
          </cell>
          <cell r="H33">
            <v>24173587</v>
          </cell>
          <cell r="I33">
            <v>3279</v>
          </cell>
          <cell r="J33">
            <v>17015254</v>
          </cell>
          <cell r="K33">
            <v>1918</v>
          </cell>
          <cell r="L33">
            <v>241.77777777777777</v>
          </cell>
          <cell r="M33">
            <v>243.61393034825872</v>
          </cell>
          <cell r="N33">
            <v>101.78441127694859</v>
          </cell>
          <cell r="O33">
            <v>159.96313985627418</v>
          </cell>
          <cell r="P33">
            <v>747.13925925925935</v>
          </cell>
          <cell r="Q33">
            <v>360.82941935483819</v>
          </cell>
          <cell r="R33">
            <v>1107.9686786140976</v>
          </cell>
          <cell r="S33">
            <v>14417.599999999627</v>
          </cell>
          <cell r="T33">
            <v>7.6848343594920529E-2</v>
          </cell>
          <cell r="W33">
            <v>286.49999999999983</v>
          </cell>
          <cell r="X33">
            <v>0</v>
          </cell>
          <cell r="Y33">
            <v>0</v>
          </cell>
        </row>
        <row r="34">
          <cell r="W34">
            <v>0</v>
          </cell>
        </row>
        <row r="35">
          <cell r="AB35">
            <v>3687891.35</v>
          </cell>
        </row>
        <row r="36">
          <cell r="AB36">
            <v>37214176.350000001</v>
          </cell>
        </row>
      </sheetData>
      <sheetData sheetId="13">
        <row r="10">
          <cell r="B10">
            <v>18</v>
          </cell>
          <cell r="C10">
            <v>13</v>
          </cell>
          <cell r="D10">
            <v>-2.8000000000000007</v>
          </cell>
          <cell r="E10">
            <v>1</v>
          </cell>
          <cell r="F10">
            <v>18</v>
          </cell>
          <cell r="G10">
            <v>13</v>
          </cell>
          <cell r="H10">
            <v>-2.8000000000000007</v>
          </cell>
          <cell r="I10">
            <v>1</v>
          </cell>
          <cell r="J10">
            <v>16</v>
          </cell>
          <cell r="K10">
            <v>8</v>
          </cell>
          <cell r="L10">
            <v>-6.3000000000000007</v>
          </cell>
          <cell r="M10">
            <v>1</v>
          </cell>
          <cell r="N10">
            <v>18</v>
          </cell>
          <cell r="O10">
            <v>13</v>
          </cell>
          <cell r="P10">
            <v>-2.8000000000000007</v>
          </cell>
          <cell r="Q10">
            <v>1</v>
          </cell>
          <cell r="R10">
            <v>27</v>
          </cell>
          <cell r="S10">
            <v>17</v>
          </cell>
          <cell r="T10">
            <v>3.6999999999999993</v>
          </cell>
          <cell r="U10">
            <v>1</v>
          </cell>
          <cell r="V10">
            <v>26</v>
          </cell>
          <cell r="W10">
            <v>20</v>
          </cell>
          <cell r="X10">
            <v>4.6999999999999993</v>
          </cell>
          <cell r="AA10">
            <v>-116.79999999999994</v>
          </cell>
          <cell r="AB10">
            <v>0</v>
          </cell>
        </row>
        <row r="11">
          <cell r="B11">
            <v>18</v>
          </cell>
          <cell r="C11">
            <v>11</v>
          </cell>
          <cell r="D11">
            <v>-3.8000000000000007</v>
          </cell>
          <cell r="E11">
            <v>2</v>
          </cell>
          <cell r="F11">
            <v>18</v>
          </cell>
          <cell r="G11">
            <v>12</v>
          </cell>
          <cell r="H11">
            <v>-3.3000000000000007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M11">
            <v>2</v>
          </cell>
          <cell r="N11">
            <v>18</v>
          </cell>
          <cell r="O11">
            <v>12</v>
          </cell>
          <cell r="P11">
            <v>-3.3000000000000007</v>
          </cell>
          <cell r="Q11">
            <v>2</v>
          </cell>
          <cell r="R11">
            <v>26</v>
          </cell>
          <cell r="S11">
            <v>20</v>
          </cell>
          <cell r="T11">
            <v>4.6999999999999993</v>
          </cell>
          <cell r="U11">
            <v>2</v>
          </cell>
          <cell r="V11">
            <v>25</v>
          </cell>
          <cell r="W11">
            <v>20</v>
          </cell>
          <cell r="X11">
            <v>4.1999999999999993</v>
          </cell>
          <cell r="AA11">
            <v>-100.69999999999997</v>
          </cell>
          <cell r="AB11">
            <v>2.2999999999999972</v>
          </cell>
        </row>
        <row r="12">
          <cell r="B12">
            <v>18</v>
          </cell>
          <cell r="C12">
            <v>12</v>
          </cell>
          <cell r="D12">
            <v>-3.3000000000000007</v>
          </cell>
          <cell r="E12">
            <v>3</v>
          </cell>
          <cell r="F12">
            <v>18</v>
          </cell>
          <cell r="G12">
            <v>11</v>
          </cell>
          <cell r="H12">
            <v>-3.8000000000000007</v>
          </cell>
          <cell r="I12">
            <v>3</v>
          </cell>
          <cell r="J12">
            <v>18</v>
          </cell>
          <cell r="K12">
            <v>11</v>
          </cell>
          <cell r="L12">
            <v>-3.8000000000000007</v>
          </cell>
          <cell r="M12">
            <v>3</v>
          </cell>
          <cell r="N12">
            <v>18</v>
          </cell>
          <cell r="O12">
            <v>12</v>
          </cell>
          <cell r="P12">
            <v>-3.3000000000000007</v>
          </cell>
          <cell r="Q12">
            <v>3</v>
          </cell>
          <cell r="R12">
            <v>22</v>
          </cell>
          <cell r="S12">
            <v>18</v>
          </cell>
          <cell r="T12">
            <v>1.6999999999999993</v>
          </cell>
          <cell r="U12">
            <v>3</v>
          </cell>
          <cell r="V12">
            <v>25</v>
          </cell>
          <cell r="W12">
            <v>20</v>
          </cell>
          <cell r="X12">
            <v>4.1999999999999993</v>
          </cell>
          <cell r="AA12">
            <v>-87.799999999999955</v>
          </cell>
          <cell r="AB12">
            <v>0</v>
          </cell>
        </row>
        <row r="13">
          <cell r="B13">
            <v>19</v>
          </cell>
          <cell r="C13">
            <v>14</v>
          </cell>
          <cell r="D13">
            <v>-1.8000000000000007</v>
          </cell>
          <cell r="E13">
            <v>4</v>
          </cell>
          <cell r="F13">
            <v>22</v>
          </cell>
          <cell r="G13">
            <v>17</v>
          </cell>
          <cell r="H13">
            <v>1.1999999999999993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  <cell r="M13">
            <v>4</v>
          </cell>
          <cell r="N13">
            <v>19</v>
          </cell>
          <cell r="O13">
            <v>13</v>
          </cell>
          <cell r="P13">
            <v>-2.3000000000000007</v>
          </cell>
          <cell r="Q13">
            <v>4</v>
          </cell>
          <cell r="R13">
            <v>26</v>
          </cell>
          <cell r="S13">
            <v>22</v>
          </cell>
          <cell r="T13">
            <v>5.6999999999999993</v>
          </cell>
          <cell r="U13">
            <v>4</v>
          </cell>
          <cell r="V13">
            <v>26</v>
          </cell>
          <cell r="W13">
            <v>20</v>
          </cell>
          <cell r="X13">
            <v>4.6999999999999993</v>
          </cell>
          <cell r="AA13">
            <v>-38.700000000000003</v>
          </cell>
          <cell r="AB13">
            <v>33.199999999999989</v>
          </cell>
        </row>
        <row r="14">
          <cell r="B14">
            <v>18</v>
          </cell>
          <cell r="C14">
            <v>13</v>
          </cell>
          <cell r="D14">
            <v>-2.8000000000000007</v>
          </cell>
          <cell r="E14">
            <v>5</v>
          </cell>
          <cell r="F14">
            <v>22</v>
          </cell>
          <cell r="G14">
            <v>16</v>
          </cell>
          <cell r="H14">
            <v>0.69999999999999929</v>
          </cell>
          <cell r="I14">
            <v>5</v>
          </cell>
          <cell r="J14">
            <v>17</v>
          </cell>
          <cell r="K14">
            <v>12</v>
          </cell>
          <cell r="L14">
            <v>-3.8000000000000007</v>
          </cell>
          <cell r="M14">
            <v>5</v>
          </cell>
          <cell r="N14">
            <v>19</v>
          </cell>
          <cell r="O14">
            <v>16</v>
          </cell>
          <cell r="P14">
            <v>-0.80000000000000071</v>
          </cell>
          <cell r="Q14">
            <v>5</v>
          </cell>
          <cell r="R14">
            <v>25</v>
          </cell>
          <cell r="S14">
            <v>17</v>
          </cell>
          <cell r="T14">
            <v>2.6999999999999993</v>
          </cell>
          <cell r="U14">
            <v>5</v>
          </cell>
          <cell r="V14">
            <v>26</v>
          </cell>
          <cell r="W14">
            <v>20</v>
          </cell>
          <cell r="X14">
            <v>4.6999999999999993</v>
          </cell>
          <cell r="AA14">
            <v>-18.3</v>
          </cell>
          <cell r="AB14">
            <v>151</v>
          </cell>
        </row>
        <row r="15">
          <cell r="B15">
            <v>16</v>
          </cell>
          <cell r="C15">
            <v>13</v>
          </cell>
          <cell r="D15">
            <v>-3.8000000000000007</v>
          </cell>
          <cell r="E15">
            <v>6</v>
          </cell>
          <cell r="F15">
            <v>18</v>
          </cell>
          <cell r="G15">
            <v>15</v>
          </cell>
          <cell r="H15">
            <v>-1.8000000000000007</v>
          </cell>
          <cell r="I15">
            <v>6</v>
          </cell>
          <cell r="J15">
            <v>18</v>
          </cell>
          <cell r="K15">
            <v>12</v>
          </cell>
          <cell r="L15">
            <v>-3.3000000000000007</v>
          </cell>
          <cell r="M15">
            <v>6</v>
          </cell>
          <cell r="N15">
            <v>19</v>
          </cell>
          <cell r="O15">
            <v>15</v>
          </cell>
          <cell r="P15">
            <v>-1.3000000000000007</v>
          </cell>
          <cell r="Q15">
            <v>6</v>
          </cell>
          <cell r="R15">
            <v>34</v>
          </cell>
          <cell r="S15">
            <v>20</v>
          </cell>
          <cell r="T15">
            <v>8.6999999999999993</v>
          </cell>
          <cell r="U15">
            <v>6</v>
          </cell>
          <cell r="V15">
            <v>26</v>
          </cell>
          <cell r="W15">
            <v>21</v>
          </cell>
          <cell r="X15">
            <v>5.1999999999999993</v>
          </cell>
          <cell r="AA15">
            <v>-0.30000000000000071</v>
          </cell>
          <cell r="AB15">
            <v>108.30000000000005</v>
          </cell>
        </row>
        <row r="16">
          <cell r="B16">
            <v>15</v>
          </cell>
          <cell r="C16">
            <v>10</v>
          </cell>
          <cell r="D16">
            <v>-5.8000000000000007</v>
          </cell>
          <cell r="E16">
            <v>7</v>
          </cell>
          <cell r="F16">
            <v>18</v>
          </cell>
          <cell r="G16">
            <v>13</v>
          </cell>
          <cell r="H16">
            <v>-2.8000000000000007</v>
          </cell>
          <cell r="I16">
            <v>7</v>
          </cell>
          <cell r="J16">
            <v>18</v>
          </cell>
          <cell r="K16">
            <v>12</v>
          </cell>
          <cell r="L16">
            <v>-3.3000000000000007</v>
          </cell>
          <cell r="M16">
            <v>7</v>
          </cell>
          <cell r="N16">
            <v>25</v>
          </cell>
          <cell r="O16">
            <v>17</v>
          </cell>
          <cell r="P16">
            <v>2.6999999999999993</v>
          </cell>
          <cell r="Q16">
            <v>7</v>
          </cell>
          <cell r="R16">
            <v>22</v>
          </cell>
          <cell r="S16">
            <v>17</v>
          </cell>
          <cell r="T16">
            <v>1.1999999999999993</v>
          </cell>
          <cell r="U16">
            <v>7</v>
          </cell>
          <cell r="V16">
            <v>27</v>
          </cell>
          <cell r="W16">
            <v>22</v>
          </cell>
          <cell r="X16">
            <v>6.1999999999999993</v>
          </cell>
          <cell r="AA16">
            <v>31</v>
          </cell>
          <cell r="AB16">
            <v>26</v>
          </cell>
        </row>
        <row r="17">
          <cell r="B17">
            <v>13</v>
          </cell>
          <cell r="C17">
            <v>10</v>
          </cell>
          <cell r="D17">
            <v>-6.8000000000000007</v>
          </cell>
          <cell r="E17">
            <v>8</v>
          </cell>
          <cell r="F17">
            <v>19</v>
          </cell>
          <cell r="G17">
            <v>12</v>
          </cell>
          <cell r="H17">
            <v>-2.8000000000000007</v>
          </cell>
          <cell r="I17">
            <v>8</v>
          </cell>
          <cell r="J17">
            <v>18</v>
          </cell>
          <cell r="K17">
            <v>13</v>
          </cell>
          <cell r="L17">
            <v>-2.8000000000000007</v>
          </cell>
          <cell r="M17">
            <v>8</v>
          </cell>
          <cell r="N17">
            <v>24</v>
          </cell>
          <cell r="O17">
            <v>17</v>
          </cell>
          <cell r="P17">
            <v>2.1999999999999993</v>
          </cell>
          <cell r="Q17">
            <v>8</v>
          </cell>
          <cell r="R17">
            <v>21</v>
          </cell>
          <cell r="S17">
            <v>18</v>
          </cell>
          <cell r="T17">
            <v>1.1999999999999993</v>
          </cell>
          <cell r="U17">
            <v>8</v>
          </cell>
          <cell r="V17">
            <v>31</v>
          </cell>
          <cell r="W17">
            <v>24</v>
          </cell>
          <cell r="X17">
            <v>9.1999999999999993</v>
          </cell>
          <cell r="AA17">
            <v>31</v>
          </cell>
          <cell r="AB17">
            <v>27</v>
          </cell>
        </row>
        <row r="18">
          <cell r="B18">
            <v>16</v>
          </cell>
          <cell r="C18">
            <v>10</v>
          </cell>
          <cell r="D18">
            <v>-5.3000000000000007</v>
          </cell>
          <cell r="E18">
            <v>9</v>
          </cell>
          <cell r="F18">
            <v>18</v>
          </cell>
          <cell r="G18">
            <v>12</v>
          </cell>
          <cell r="H18">
            <v>-3.3000000000000007</v>
          </cell>
          <cell r="I18">
            <v>9</v>
          </cell>
          <cell r="J18">
            <v>19</v>
          </cell>
          <cell r="K18">
            <v>14</v>
          </cell>
          <cell r="L18">
            <v>-1.8000000000000007</v>
          </cell>
          <cell r="M18">
            <v>9</v>
          </cell>
          <cell r="N18">
            <v>23</v>
          </cell>
          <cell r="O18">
            <v>16</v>
          </cell>
          <cell r="P18">
            <v>1.1999999999999993</v>
          </cell>
          <cell r="Q18">
            <v>9</v>
          </cell>
          <cell r="R18">
            <v>21</v>
          </cell>
          <cell r="S18">
            <v>17</v>
          </cell>
          <cell r="T18">
            <v>0.69999999999999929</v>
          </cell>
          <cell r="U18">
            <v>9</v>
          </cell>
          <cell r="V18">
            <v>28</v>
          </cell>
          <cell r="W18">
            <v>22</v>
          </cell>
          <cell r="X18">
            <v>6.6999999999999993</v>
          </cell>
          <cell r="AA18">
            <v>31</v>
          </cell>
          <cell r="AB18">
            <v>26</v>
          </cell>
        </row>
        <row r="19">
          <cell r="B19">
            <v>17</v>
          </cell>
          <cell r="C19">
            <v>11</v>
          </cell>
          <cell r="D19">
            <v>-4.3000000000000007</v>
          </cell>
          <cell r="E19">
            <v>10</v>
          </cell>
          <cell r="F19">
            <v>17</v>
          </cell>
          <cell r="G19">
            <v>11</v>
          </cell>
          <cell r="H19">
            <v>-4.3000000000000007</v>
          </cell>
          <cell r="I19">
            <v>10</v>
          </cell>
          <cell r="J19">
            <v>18</v>
          </cell>
          <cell r="K19">
            <v>12</v>
          </cell>
          <cell r="L19">
            <v>-3.3000000000000007</v>
          </cell>
          <cell r="M19">
            <v>10</v>
          </cell>
          <cell r="N19">
            <v>20</v>
          </cell>
          <cell r="O19">
            <v>16</v>
          </cell>
          <cell r="P19">
            <v>-0.30000000000000071</v>
          </cell>
          <cell r="Q19">
            <v>10</v>
          </cell>
          <cell r="R19">
            <v>21</v>
          </cell>
          <cell r="S19">
            <v>16</v>
          </cell>
          <cell r="T19">
            <v>0.19999999999999929</v>
          </cell>
          <cell r="U19">
            <v>10</v>
          </cell>
          <cell r="V19">
            <v>28</v>
          </cell>
          <cell r="W19">
            <v>22</v>
          </cell>
          <cell r="X19">
            <v>6.6999999999999993</v>
          </cell>
          <cell r="AA19">
            <v>32</v>
          </cell>
          <cell r="AB19">
            <v>26</v>
          </cell>
        </row>
        <row r="20">
          <cell r="B20">
            <v>18</v>
          </cell>
          <cell r="C20">
            <v>10</v>
          </cell>
          <cell r="D20">
            <v>-4.3000000000000007</v>
          </cell>
          <cell r="E20">
            <v>11</v>
          </cell>
          <cell r="F20">
            <v>17</v>
          </cell>
          <cell r="G20">
            <v>12</v>
          </cell>
          <cell r="H20">
            <v>-3.8000000000000007</v>
          </cell>
          <cell r="I20">
            <v>11</v>
          </cell>
          <cell r="J20">
            <v>18</v>
          </cell>
          <cell r="K20">
            <v>13</v>
          </cell>
          <cell r="L20">
            <v>-2.8000000000000007</v>
          </cell>
          <cell r="M20">
            <v>11</v>
          </cell>
          <cell r="N20">
            <v>19</v>
          </cell>
          <cell r="O20">
            <v>15</v>
          </cell>
          <cell r="P20">
            <v>-1.3000000000000007</v>
          </cell>
          <cell r="Q20">
            <v>11</v>
          </cell>
          <cell r="R20">
            <v>25</v>
          </cell>
          <cell r="S20">
            <v>22</v>
          </cell>
          <cell r="T20">
            <v>5.1999999999999993</v>
          </cell>
          <cell r="U20">
            <v>11</v>
          </cell>
          <cell r="V20">
            <v>27</v>
          </cell>
          <cell r="W20">
            <v>22</v>
          </cell>
          <cell r="X20">
            <v>6.1999999999999993</v>
          </cell>
        </row>
        <row r="21">
          <cell r="B21">
            <v>17</v>
          </cell>
          <cell r="C21">
            <v>11</v>
          </cell>
          <cell r="D21">
            <v>-4.3000000000000007</v>
          </cell>
          <cell r="E21">
            <v>12</v>
          </cell>
          <cell r="F21">
            <v>19</v>
          </cell>
          <cell r="G21">
            <v>13</v>
          </cell>
          <cell r="H21">
            <v>-2.3000000000000007</v>
          </cell>
          <cell r="I21">
            <v>12</v>
          </cell>
          <cell r="J21">
            <v>18</v>
          </cell>
          <cell r="K21">
            <v>14</v>
          </cell>
          <cell r="L21">
            <v>-2.3000000000000007</v>
          </cell>
          <cell r="M21">
            <v>12</v>
          </cell>
          <cell r="N21">
            <v>20</v>
          </cell>
          <cell r="O21">
            <v>16</v>
          </cell>
          <cell r="P21">
            <v>-0.30000000000000071</v>
          </cell>
          <cell r="Q21">
            <v>12</v>
          </cell>
          <cell r="R21">
            <v>26</v>
          </cell>
          <cell r="S21">
            <v>23</v>
          </cell>
          <cell r="T21">
            <v>6.1999999999999993</v>
          </cell>
          <cell r="U21">
            <v>12</v>
          </cell>
          <cell r="V21">
            <v>27</v>
          </cell>
          <cell r="W21">
            <v>22</v>
          </cell>
          <cell r="X21">
            <v>6.1999999999999993</v>
          </cell>
        </row>
        <row r="22">
          <cell r="B22">
            <v>15</v>
          </cell>
          <cell r="C22">
            <v>13</v>
          </cell>
          <cell r="D22">
            <v>-4.3000000000000007</v>
          </cell>
          <cell r="E22">
            <v>13</v>
          </cell>
          <cell r="F22">
            <v>17</v>
          </cell>
          <cell r="G22">
            <v>12</v>
          </cell>
          <cell r="H22">
            <v>-3.8000000000000007</v>
          </cell>
          <cell r="I22">
            <v>13</v>
          </cell>
          <cell r="J22">
            <v>20</v>
          </cell>
          <cell r="K22">
            <v>15</v>
          </cell>
          <cell r="L22">
            <v>-0.80000000000000071</v>
          </cell>
          <cell r="M22">
            <v>13</v>
          </cell>
          <cell r="N22">
            <v>29</v>
          </cell>
          <cell r="O22">
            <v>22</v>
          </cell>
          <cell r="P22">
            <v>7.1999999999999993</v>
          </cell>
          <cell r="Q22">
            <v>13</v>
          </cell>
          <cell r="R22">
            <v>28</v>
          </cell>
          <cell r="S22">
            <v>18</v>
          </cell>
          <cell r="T22">
            <v>4.6999999999999993</v>
          </cell>
          <cell r="U22">
            <v>13</v>
          </cell>
          <cell r="V22">
            <v>26</v>
          </cell>
          <cell r="W22">
            <v>21</v>
          </cell>
          <cell r="X22">
            <v>5.1999999999999993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15</v>
          </cell>
          <cell r="G23">
            <v>12</v>
          </cell>
          <cell r="H23">
            <v>-4.8000000000000007</v>
          </cell>
          <cell r="I23">
            <v>14</v>
          </cell>
          <cell r="J23">
            <v>16</v>
          </cell>
          <cell r="K23">
            <v>12</v>
          </cell>
          <cell r="L23">
            <v>-4.3000000000000007</v>
          </cell>
          <cell r="M23">
            <v>14</v>
          </cell>
          <cell r="N23">
            <v>30</v>
          </cell>
          <cell r="O23">
            <v>18</v>
          </cell>
          <cell r="P23">
            <v>5.6999999999999993</v>
          </cell>
          <cell r="Q23">
            <v>14</v>
          </cell>
          <cell r="R23">
            <v>27</v>
          </cell>
          <cell r="S23">
            <v>17</v>
          </cell>
          <cell r="T23">
            <v>3.6999999999999993</v>
          </cell>
          <cell r="U23">
            <v>14</v>
          </cell>
          <cell r="V23">
            <v>30</v>
          </cell>
          <cell r="W23">
            <v>24</v>
          </cell>
          <cell r="X23">
            <v>8.6999999999999993</v>
          </cell>
        </row>
        <row r="24">
          <cell r="B24">
            <v>17</v>
          </cell>
          <cell r="C24">
            <v>14</v>
          </cell>
          <cell r="D24">
            <v>-2.8000000000000007</v>
          </cell>
          <cell r="E24">
            <v>15</v>
          </cell>
          <cell r="F24">
            <v>14</v>
          </cell>
          <cell r="G24">
            <v>12</v>
          </cell>
          <cell r="H24">
            <v>-5.3000000000000007</v>
          </cell>
          <cell r="I24">
            <v>15</v>
          </cell>
          <cell r="J24">
            <v>19</v>
          </cell>
          <cell r="K24">
            <v>14</v>
          </cell>
          <cell r="L24">
            <v>-1.8000000000000007</v>
          </cell>
          <cell r="M24">
            <v>15</v>
          </cell>
          <cell r="N24">
            <v>19</v>
          </cell>
          <cell r="O24">
            <v>16</v>
          </cell>
          <cell r="P24">
            <v>-0.80000000000000071</v>
          </cell>
          <cell r="Q24">
            <v>15</v>
          </cell>
          <cell r="R24">
            <v>28</v>
          </cell>
          <cell r="S24">
            <v>18</v>
          </cell>
          <cell r="T24">
            <v>4.6999999999999993</v>
          </cell>
          <cell r="U24">
            <v>15</v>
          </cell>
          <cell r="V24">
            <v>28</v>
          </cell>
          <cell r="W24">
            <v>19</v>
          </cell>
          <cell r="X24">
            <v>5.1999999999999993</v>
          </cell>
        </row>
        <row r="25">
          <cell r="B25">
            <v>14</v>
          </cell>
          <cell r="C25">
            <v>10</v>
          </cell>
          <cell r="D25">
            <v>-6.3000000000000007</v>
          </cell>
          <cell r="E25">
            <v>16</v>
          </cell>
          <cell r="F25">
            <v>13</v>
          </cell>
          <cell r="G25">
            <v>12</v>
          </cell>
          <cell r="H25">
            <v>-5.8000000000000007</v>
          </cell>
          <cell r="I25">
            <v>16</v>
          </cell>
          <cell r="J25">
            <v>19</v>
          </cell>
          <cell r="K25">
            <v>11</v>
          </cell>
          <cell r="L25">
            <v>-3.3000000000000007</v>
          </cell>
          <cell r="M25">
            <v>16</v>
          </cell>
          <cell r="N25">
            <v>18</v>
          </cell>
          <cell r="O25">
            <v>15</v>
          </cell>
          <cell r="P25">
            <v>-1.8000000000000007</v>
          </cell>
          <cell r="Q25">
            <v>16</v>
          </cell>
          <cell r="R25">
            <v>28</v>
          </cell>
          <cell r="S25">
            <v>21</v>
          </cell>
          <cell r="T25">
            <v>6.1999999999999993</v>
          </cell>
          <cell r="U25">
            <v>16</v>
          </cell>
          <cell r="V25">
            <v>24</v>
          </cell>
          <cell r="W25">
            <v>19</v>
          </cell>
          <cell r="X25">
            <v>3.1999999999999993</v>
          </cell>
        </row>
        <row r="26">
          <cell r="B26">
            <v>16</v>
          </cell>
          <cell r="C26">
            <v>10</v>
          </cell>
          <cell r="D26">
            <v>-5.3000000000000007</v>
          </cell>
          <cell r="E26">
            <v>17</v>
          </cell>
          <cell r="F26">
            <v>15</v>
          </cell>
          <cell r="G26">
            <v>13</v>
          </cell>
          <cell r="H26">
            <v>-4.3000000000000007</v>
          </cell>
          <cell r="I26">
            <v>17</v>
          </cell>
          <cell r="J26">
            <v>18</v>
          </cell>
          <cell r="K26">
            <v>13</v>
          </cell>
          <cell r="L26">
            <v>-2.8000000000000007</v>
          </cell>
          <cell r="M26">
            <v>17</v>
          </cell>
          <cell r="N26">
            <v>19</v>
          </cell>
          <cell r="O26">
            <v>14</v>
          </cell>
          <cell r="P26">
            <v>-1.8000000000000007</v>
          </cell>
          <cell r="Q26">
            <v>17</v>
          </cell>
          <cell r="R26">
            <v>29</v>
          </cell>
          <cell r="S26">
            <v>22</v>
          </cell>
          <cell r="T26">
            <v>7.1999999999999993</v>
          </cell>
          <cell r="U26">
            <v>17</v>
          </cell>
          <cell r="V26">
            <v>27</v>
          </cell>
          <cell r="W26">
            <v>19</v>
          </cell>
          <cell r="X26">
            <v>4.6999999999999993</v>
          </cell>
        </row>
        <row r="27">
          <cell r="B27">
            <v>16</v>
          </cell>
          <cell r="C27">
            <v>10</v>
          </cell>
          <cell r="D27">
            <v>-5.3000000000000007</v>
          </cell>
          <cell r="E27">
            <v>18</v>
          </cell>
          <cell r="F27">
            <v>15</v>
          </cell>
          <cell r="G27">
            <v>13</v>
          </cell>
          <cell r="H27">
            <v>-4.3000000000000007</v>
          </cell>
          <cell r="I27">
            <v>18</v>
          </cell>
          <cell r="J27">
            <v>18</v>
          </cell>
          <cell r="K27">
            <v>14</v>
          </cell>
          <cell r="L27">
            <v>-2.3000000000000007</v>
          </cell>
          <cell r="M27">
            <v>18</v>
          </cell>
          <cell r="N27">
            <v>18</v>
          </cell>
          <cell r="O27">
            <v>13</v>
          </cell>
          <cell r="P27">
            <v>-2.8000000000000007</v>
          </cell>
          <cell r="Q27">
            <v>18</v>
          </cell>
          <cell r="R27">
            <v>23</v>
          </cell>
          <cell r="S27">
            <v>19</v>
          </cell>
          <cell r="T27">
            <v>2.6999999999999993</v>
          </cell>
          <cell r="U27">
            <v>18</v>
          </cell>
          <cell r="V27">
            <v>26</v>
          </cell>
          <cell r="W27">
            <v>18</v>
          </cell>
          <cell r="X27">
            <v>3.6999999999999993</v>
          </cell>
        </row>
        <row r="28">
          <cell r="B28">
            <v>16</v>
          </cell>
          <cell r="C28">
            <v>10</v>
          </cell>
          <cell r="D28">
            <v>-5.3000000000000007</v>
          </cell>
          <cell r="E28">
            <v>19</v>
          </cell>
          <cell r="F28">
            <v>16</v>
          </cell>
          <cell r="G28">
            <v>2</v>
          </cell>
          <cell r="H28">
            <v>-9.3000000000000007</v>
          </cell>
          <cell r="I28">
            <v>19</v>
          </cell>
          <cell r="J28">
            <v>19</v>
          </cell>
          <cell r="K28">
            <v>13</v>
          </cell>
          <cell r="L28">
            <v>-2.3000000000000007</v>
          </cell>
          <cell r="M28">
            <v>19</v>
          </cell>
          <cell r="N28">
            <v>17</v>
          </cell>
          <cell r="O28">
            <v>14</v>
          </cell>
          <cell r="P28">
            <v>-2.8000000000000007</v>
          </cell>
          <cell r="Q28">
            <v>19</v>
          </cell>
          <cell r="R28">
            <v>24</v>
          </cell>
          <cell r="S28">
            <v>18</v>
          </cell>
          <cell r="T28">
            <v>2.6999999999999993</v>
          </cell>
          <cell r="U28">
            <v>19</v>
          </cell>
          <cell r="V28">
            <v>23</v>
          </cell>
          <cell r="W28">
            <v>18</v>
          </cell>
          <cell r="X28">
            <v>2.1999999999999993</v>
          </cell>
        </row>
        <row r="29">
          <cell r="B29">
            <v>18</v>
          </cell>
          <cell r="C29">
            <v>13</v>
          </cell>
          <cell r="D29">
            <v>-2.8000000000000007</v>
          </cell>
          <cell r="E29">
            <v>20</v>
          </cell>
          <cell r="F29">
            <v>16</v>
          </cell>
          <cell r="G29">
            <v>12</v>
          </cell>
          <cell r="H29">
            <v>-4.3000000000000007</v>
          </cell>
          <cell r="I29">
            <v>20</v>
          </cell>
          <cell r="J29">
            <v>19</v>
          </cell>
          <cell r="K29">
            <v>14</v>
          </cell>
          <cell r="L29">
            <v>-1.8000000000000007</v>
          </cell>
          <cell r="M29">
            <v>20</v>
          </cell>
          <cell r="N29">
            <v>19</v>
          </cell>
          <cell r="O29">
            <v>13</v>
          </cell>
          <cell r="P29">
            <v>-2.3000000000000007</v>
          </cell>
          <cell r="Q29">
            <v>20</v>
          </cell>
          <cell r="R29">
            <v>24</v>
          </cell>
          <cell r="S29">
            <v>17</v>
          </cell>
          <cell r="T29">
            <v>2.1999999999999993</v>
          </cell>
          <cell r="U29">
            <v>20</v>
          </cell>
          <cell r="V29">
            <v>22</v>
          </cell>
          <cell r="W29">
            <v>16</v>
          </cell>
          <cell r="X29">
            <v>0.69999999999999929</v>
          </cell>
        </row>
        <row r="30">
          <cell r="B30">
            <v>18</v>
          </cell>
          <cell r="C30">
            <v>12</v>
          </cell>
          <cell r="D30">
            <v>-3.3000000000000007</v>
          </cell>
          <cell r="E30">
            <v>21</v>
          </cell>
          <cell r="F30">
            <v>16</v>
          </cell>
          <cell r="G30">
            <v>12</v>
          </cell>
          <cell r="H30">
            <v>-4.3000000000000007</v>
          </cell>
          <cell r="I30">
            <v>21</v>
          </cell>
          <cell r="J30">
            <v>19</v>
          </cell>
          <cell r="K30">
            <v>14</v>
          </cell>
          <cell r="L30">
            <v>-1.8000000000000007</v>
          </cell>
          <cell r="M30">
            <v>21</v>
          </cell>
          <cell r="N30">
            <v>15</v>
          </cell>
          <cell r="O30">
            <v>11</v>
          </cell>
          <cell r="P30">
            <v>-5.3000000000000007</v>
          </cell>
          <cell r="Q30">
            <v>21</v>
          </cell>
          <cell r="R30">
            <v>25</v>
          </cell>
          <cell r="S30">
            <v>22</v>
          </cell>
          <cell r="T30">
            <v>5.1999999999999993</v>
          </cell>
          <cell r="U30">
            <v>21</v>
          </cell>
          <cell r="V30">
            <v>22</v>
          </cell>
          <cell r="W30">
            <v>16</v>
          </cell>
          <cell r="X30">
            <v>0.69999999999999929</v>
          </cell>
        </row>
        <row r="31">
          <cell r="B31">
            <v>17</v>
          </cell>
          <cell r="C31">
            <v>13</v>
          </cell>
          <cell r="D31">
            <v>-3.3000000000000007</v>
          </cell>
          <cell r="E31">
            <v>22</v>
          </cell>
          <cell r="F31">
            <v>16</v>
          </cell>
          <cell r="G31">
            <v>12</v>
          </cell>
          <cell r="H31">
            <v>-4.3000000000000007</v>
          </cell>
          <cell r="I31">
            <v>22</v>
          </cell>
          <cell r="J31">
            <v>20</v>
          </cell>
          <cell r="K31">
            <v>14</v>
          </cell>
          <cell r="L31">
            <v>-1.3000000000000007</v>
          </cell>
          <cell r="M31">
            <v>22</v>
          </cell>
          <cell r="N31">
            <v>18</v>
          </cell>
          <cell r="O31">
            <v>13</v>
          </cell>
          <cell r="P31">
            <v>-2.8000000000000007</v>
          </cell>
          <cell r="Q31">
            <v>22</v>
          </cell>
          <cell r="R31">
            <v>29</v>
          </cell>
          <cell r="S31">
            <v>21</v>
          </cell>
          <cell r="T31">
            <v>6.6999999999999993</v>
          </cell>
          <cell r="U31">
            <v>22</v>
          </cell>
          <cell r="V31">
            <v>22</v>
          </cell>
          <cell r="W31">
            <v>16</v>
          </cell>
          <cell r="X31">
            <v>0.69999999999999929</v>
          </cell>
        </row>
        <row r="32">
          <cell r="B32">
            <v>22</v>
          </cell>
          <cell r="C32">
            <v>12</v>
          </cell>
          <cell r="D32">
            <v>-1.3000000000000007</v>
          </cell>
          <cell r="E32">
            <v>23</v>
          </cell>
          <cell r="F32">
            <v>17</v>
          </cell>
          <cell r="G32">
            <v>12</v>
          </cell>
          <cell r="H32">
            <v>-3.8000000000000007</v>
          </cell>
          <cell r="I32">
            <v>23</v>
          </cell>
          <cell r="J32">
            <v>19</v>
          </cell>
          <cell r="K32">
            <v>12</v>
          </cell>
          <cell r="L32">
            <v>-2.8000000000000007</v>
          </cell>
          <cell r="M32">
            <v>23</v>
          </cell>
          <cell r="N32">
            <v>19</v>
          </cell>
          <cell r="O32">
            <v>13</v>
          </cell>
          <cell r="P32">
            <v>-2.3000000000000007</v>
          </cell>
          <cell r="Q32">
            <v>23</v>
          </cell>
          <cell r="R32">
            <v>35</v>
          </cell>
          <cell r="S32">
            <v>25</v>
          </cell>
          <cell r="T32">
            <v>11.7</v>
          </cell>
          <cell r="U32">
            <v>23</v>
          </cell>
          <cell r="V32">
            <v>22</v>
          </cell>
          <cell r="W32">
            <v>15</v>
          </cell>
          <cell r="X32">
            <v>0.19999999999999929</v>
          </cell>
        </row>
        <row r="33">
          <cell r="B33">
            <v>18</v>
          </cell>
          <cell r="C33">
            <v>14</v>
          </cell>
          <cell r="D33">
            <v>-2.3000000000000007</v>
          </cell>
          <cell r="E33">
            <v>24</v>
          </cell>
          <cell r="F33">
            <v>22</v>
          </cell>
          <cell r="G33">
            <v>15</v>
          </cell>
          <cell r="H33">
            <v>0.19999999999999929</v>
          </cell>
          <cell r="I33">
            <v>24</v>
          </cell>
          <cell r="J33">
            <v>19</v>
          </cell>
          <cell r="K33">
            <v>15</v>
          </cell>
          <cell r="L33">
            <v>-1.3000000000000007</v>
          </cell>
          <cell r="M33">
            <v>24</v>
          </cell>
          <cell r="N33">
            <v>22</v>
          </cell>
          <cell r="O33">
            <v>14</v>
          </cell>
          <cell r="P33">
            <v>-0.30000000000000071</v>
          </cell>
          <cell r="Q33">
            <v>24</v>
          </cell>
          <cell r="R33">
            <v>38</v>
          </cell>
          <cell r="S33">
            <v>25</v>
          </cell>
          <cell r="T33">
            <v>13.2</v>
          </cell>
          <cell r="U33">
            <v>24</v>
          </cell>
          <cell r="V33">
            <v>23</v>
          </cell>
          <cell r="W33">
            <v>16</v>
          </cell>
          <cell r="X33">
            <v>1.1999999999999993</v>
          </cell>
        </row>
        <row r="34">
          <cell r="B34">
            <v>18</v>
          </cell>
          <cell r="C34">
            <v>13</v>
          </cell>
          <cell r="D34">
            <v>-2.8000000000000007</v>
          </cell>
          <cell r="E34">
            <v>25</v>
          </cell>
          <cell r="F34">
            <v>24</v>
          </cell>
          <cell r="G34">
            <v>13</v>
          </cell>
          <cell r="H34">
            <v>0.19999999999999929</v>
          </cell>
          <cell r="I34">
            <v>25</v>
          </cell>
          <cell r="J34">
            <v>17</v>
          </cell>
          <cell r="K34">
            <v>13</v>
          </cell>
          <cell r="L34">
            <v>-3.3000000000000007</v>
          </cell>
          <cell r="M34">
            <v>25</v>
          </cell>
          <cell r="N34">
            <v>24</v>
          </cell>
          <cell r="O34">
            <v>14</v>
          </cell>
          <cell r="P34">
            <v>0.69999999999999929</v>
          </cell>
          <cell r="Q34">
            <v>25</v>
          </cell>
          <cell r="R34">
            <v>29</v>
          </cell>
          <cell r="S34">
            <v>17</v>
          </cell>
          <cell r="T34">
            <v>4.6999999999999993</v>
          </cell>
          <cell r="U34">
            <v>25</v>
          </cell>
          <cell r="V34">
            <v>22</v>
          </cell>
          <cell r="W34">
            <v>15</v>
          </cell>
          <cell r="X34">
            <v>0.19999999999999929</v>
          </cell>
        </row>
        <row r="35">
          <cell r="B35">
            <v>19</v>
          </cell>
          <cell r="C35">
            <v>12</v>
          </cell>
          <cell r="D35">
            <v>-2.8000000000000007</v>
          </cell>
          <cell r="E35">
            <v>26</v>
          </cell>
          <cell r="F35">
            <v>16</v>
          </cell>
          <cell r="G35">
            <v>13</v>
          </cell>
          <cell r="H35">
            <v>-3.8000000000000007</v>
          </cell>
          <cell r="I35">
            <v>26</v>
          </cell>
          <cell r="J35">
            <v>18</v>
          </cell>
          <cell r="K35">
            <v>13</v>
          </cell>
          <cell r="L35">
            <v>-2.8000000000000007</v>
          </cell>
          <cell r="M35">
            <v>26</v>
          </cell>
          <cell r="N35">
            <v>24</v>
          </cell>
          <cell r="O35">
            <v>15</v>
          </cell>
          <cell r="P35">
            <v>1.1999999999999993</v>
          </cell>
          <cell r="Q35">
            <v>26</v>
          </cell>
          <cell r="R35">
            <v>24</v>
          </cell>
          <cell r="S35">
            <v>18</v>
          </cell>
          <cell r="T35">
            <v>2.6999999999999993</v>
          </cell>
          <cell r="U35">
            <v>26</v>
          </cell>
          <cell r="V35">
            <v>23</v>
          </cell>
          <cell r="W35">
            <v>16</v>
          </cell>
          <cell r="X35">
            <v>1.1999999999999993</v>
          </cell>
        </row>
        <row r="36">
          <cell r="B36">
            <v>15</v>
          </cell>
          <cell r="C36">
            <v>13</v>
          </cell>
          <cell r="D36">
            <v>-4.3000000000000007</v>
          </cell>
          <cell r="E36">
            <v>27</v>
          </cell>
          <cell r="F36">
            <v>13</v>
          </cell>
          <cell r="G36">
            <v>11</v>
          </cell>
          <cell r="H36">
            <v>-6.3000000000000007</v>
          </cell>
          <cell r="I36">
            <v>27</v>
          </cell>
          <cell r="J36">
            <v>18</v>
          </cell>
          <cell r="K36">
            <v>14</v>
          </cell>
          <cell r="L36">
            <v>-2.3000000000000007</v>
          </cell>
          <cell r="M36">
            <v>27</v>
          </cell>
          <cell r="N36">
            <v>23</v>
          </cell>
          <cell r="O36">
            <v>18</v>
          </cell>
          <cell r="P36">
            <v>2.1999999999999993</v>
          </cell>
          <cell r="Q36">
            <v>27</v>
          </cell>
          <cell r="R36">
            <v>25</v>
          </cell>
          <cell r="S36">
            <v>21</v>
          </cell>
          <cell r="T36">
            <v>4.6999999999999993</v>
          </cell>
          <cell r="U36">
            <v>27</v>
          </cell>
          <cell r="V36">
            <v>21</v>
          </cell>
          <cell r="W36">
            <v>15</v>
          </cell>
          <cell r="X36">
            <v>-0.30000000000000071</v>
          </cell>
        </row>
        <row r="37">
          <cell r="B37">
            <v>17</v>
          </cell>
          <cell r="C37">
            <v>13</v>
          </cell>
          <cell r="D37">
            <v>-3.3000000000000007</v>
          </cell>
          <cell r="E37">
            <v>28</v>
          </cell>
          <cell r="F37">
            <v>15</v>
          </cell>
          <cell r="G37">
            <v>11</v>
          </cell>
          <cell r="H37">
            <v>-5.3000000000000007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  <cell r="M37">
            <v>28</v>
          </cell>
          <cell r="N37">
            <v>23</v>
          </cell>
          <cell r="O37">
            <v>17</v>
          </cell>
          <cell r="P37">
            <v>1.6999999999999993</v>
          </cell>
          <cell r="Q37">
            <v>28</v>
          </cell>
          <cell r="R37">
            <v>29</v>
          </cell>
          <cell r="S37">
            <v>22</v>
          </cell>
          <cell r="T37">
            <v>7.1999999999999993</v>
          </cell>
          <cell r="U37">
            <v>28</v>
          </cell>
          <cell r="V37">
            <v>22</v>
          </cell>
          <cell r="W37">
            <v>16</v>
          </cell>
          <cell r="X37">
            <v>0.69999999999999929</v>
          </cell>
        </row>
        <row r="38">
          <cell r="B38">
            <v>19</v>
          </cell>
          <cell r="C38">
            <v>12</v>
          </cell>
          <cell r="D38">
            <v>-2.8000000000000007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29</v>
          </cell>
          <cell r="J38">
            <v>18</v>
          </cell>
          <cell r="K38">
            <v>14</v>
          </cell>
          <cell r="L38">
            <v>-2.3000000000000007</v>
          </cell>
          <cell r="M38">
            <v>29</v>
          </cell>
          <cell r="N38">
            <v>27</v>
          </cell>
          <cell r="O38">
            <v>18</v>
          </cell>
          <cell r="P38">
            <v>4.1999999999999993</v>
          </cell>
          <cell r="Q38">
            <v>29</v>
          </cell>
          <cell r="R38">
            <v>32</v>
          </cell>
          <cell r="S38">
            <v>22</v>
          </cell>
          <cell r="T38">
            <v>8.6999999999999993</v>
          </cell>
          <cell r="U38">
            <v>29</v>
          </cell>
          <cell r="V38">
            <v>22</v>
          </cell>
          <cell r="W38">
            <v>16</v>
          </cell>
          <cell r="X38">
            <v>0.69999999999999929</v>
          </cell>
        </row>
        <row r="39">
          <cell r="B39">
            <v>18</v>
          </cell>
          <cell r="C39">
            <v>14</v>
          </cell>
          <cell r="D39">
            <v>-2.3000000000000007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30</v>
          </cell>
          <cell r="J39">
            <v>16</v>
          </cell>
          <cell r="K39">
            <v>14</v>
          </cell>
          <cell r="L39">
            <v>-3.3000000000000007</v>
          </cell>
          <cell r="M39">
            <v>30</v>
          </cell>
          <cell r="N39">
            <v>27</v>
          </cell>
          <cell r="O39">
            <v>18</v>
          </cell>
          <cell r="P39">
            <v>4.1999999999999993</v>
          </cell>
          <cell r="Q39">
            <v>30</v>
          </cell>
          <cell r="R39">
            <v>34</v>
          </cell>
          <cell r="S39">
            <v>23</v>
          </cell>
          <cell r="T39">
            <v>10.199999999999999</v>
          </cell>
          <cell r="U39">
            <v>30</v>
          </cell>
          <cell r="V39">
            <v>22</v>
          </cell>
          <cell r="W39">
            <v>15</v>
          </cell>
          <cell r="X39">
            <v>0.19999999999999929</v>
          </cell>
        </row>
        <row r="40">
          <cell r="B40">
            <v>18</v>
          </cell>
          <cell r="C40">
            <v>12</v>
          </cell>
          <cell r="D40">
            <v>-3.3000000000000007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31</v>
          </cell>
          <cell r="J40">
            <v>15</v>
          </cell>
          <cell r="K40">
            <v>12</v>
          </cell>
          <cell r="L40">
            <v>-4.8000000000000007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31</v>
          </cell>
          <cell r="R40">
            <v>0</v>
          </cell>
          <cell r="S40">
            <v>0</v>
          </cell>
          <cell r="T40">
            <v>-18.3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8">
          <cell r="B48">
            <v>30</v>
          </cell>
          <cell r="C48">
            <v>27</v>
          </cell>
        </row>
        <row r="49">
          <cell r="B49">
            <v>31</v>
          </cell>
          <cell r="C49">
            <v>26</v>
          </cell>
        </row>
        <row r="50">
          <cell r="B50">
            <v>31</v>
          </cell>
          <cell r="C50">
            <v>27</v>
          </cell>
        </row>
        <row r="51">
          <cell r="B51">
            <v>31</v>
          </cell>
          <cell r="C51">
            <v>26</v>
          </cell>
        </row>
        <row r="52">
          <cell r="B52">
            <v>32</v>
          </cell>
          <cell r="C52">
            <v>26</v>
          </cell>
        </row>
        <row r="53">
          <cell r="B53">
            <v>31</v>
          </cell>
          <cell r="C53">
            <v>25</v>
          </cell>
        </row>
        <row r="54">
          <cell r="B54">
            <v>31</v>
          </cell>
          <cell r="C54">
            <v>26</v>
          </cell>
        </row>
        <row r="55">
          <cell r="B55">
            <v>31</v>
          </cell>
          <cell r="C55">
            <v>26</v>
          </cell>
        </row>
        <row r="56">
          <cell r="B56">
            <v>31</v>
          </cell>
          <cell r="C56">
            <v>26</v>
          </cell>
        </row>
        <row r="57">
          <cell r="B57">
            <v>30</v>
          </cell>
          <cell r="C57">
            <v>27</v>
          </cell>
        </row>
        <row r="58">
          <cell r="B58">
            <v>31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26</v>
          </cell>
        </row>
        <row r="61">
          <cell r="B61">
            <v>32</v>
          </cell>
          <cell r="C61">
            <v>27</v>
          </cell>
        </row>
        <row r="62">
          <cell r="B62">
            <v>31</v>
          </cell>
          <cell r="C62">
            <v>26</v>
          </cell>
        </row>
        <row r="63">
          <cell r="B63">
            <v>31</v>
          </cell>
          <cell r="C63">
            <v>28</v>
          </cell>
        </row>
        <row r="64">
          <cell r="B64">
            <v>30</v>
          </cell>
          <cell r="C64">
            <v>25</v>
          </cell>
        </row>
        <row r="65">
          <cell r="B65">
            <v>31</v>
          </cell>
          <cell r="C65">
            <v>27</v>
          </cell>
        </row>
        <row r="66">
          <cell r="B66">
            <v>31</v>
          </cell>
          <cell r="C66">
            <v>26</v>
          </cell>
        </row>
        <row r="67">
          <cell r="B67">
            <v>30</v>
          </cell>
          <cell r="C67">
            <v>25</v>
          </cell>
        </row>
        <row r="68">
          <cell r="B68">
            <v>31</v>
          </cell>
          <cell r="C68">
            <v>25</v>
          </cell>
        </row>
        <row r="69">
          <cell r="B69">
            <v>31</v>
          </cell>
          <cell r="C69">
            <v>26</v>
          </cell>
        </row>
        <row r="70">
          <cell r="B70">
            <v>31</v>
          </cell>
          <cell r="C70">
            <v>27</v>
          </cell>
        </row>
        <row r="71">
          <cell r="B71">
            <v>31</v>
          </cell>
          <cell r="C71">
            <v>26</v>
          </cell>
        </row>
        <row r="72">
          <cell r="B72">
            <v>31</v>
          </cell>
          <cell r="C72">
            <v>26</v>
          </cell>
        </row>
        <row r="73">
          <cell r="B73">
            <v>31</v>
          </cell>
          <cell r="C73">
            <v>27</v>
          </cell>
        </row>
        <row r="74">
          <cell r="B74">
            <v>31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27</v>
          </cell>
        </row>
        <row r="77">
          <cell r="B77">
            <v>31</v>
          </cell>
          <cell r="C77">
            <v>27</v>
          </cell>
        </row>
        <row r="78">
          <cell r="B78">
            <v>32</v>
          </cell>
          <cell r="C78">
            <v>28</v>
          </cell>
        </row>
      </sheetData>
      <sheetData sheetId="14"/>
      <sheetData sheetId="15"/>
      <sheetData sheetId="16">
        <row r="36">
          <cell r="I36">
            <v>10</v>
          </cell>
          <cell r="J36">
            <v>0.33333333333333398</v>
          </cell>
          <cell r="L36">
            <v>43800</v>
          </cell>
        </row>
      </sheetData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6"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>
        <row r="48">
          <cell r="F48">
            <v>30</v>
          </cell>
          <cell r="G48">
            <v>27</v>
          </cell>
          <cell r="J48">
            <v>33</v>
          </cell>
          <cell r="K48">
            <v>28</v>
          </cell>
        </row>
        <row r="49">
          <cell r="F49">
            <v>31</v>
          </cell>
          <cell r="G49">
            <v>26</v>
          </cell>
          <cell r="J49">
            <v>31</v>
          </cell>
          <cell r="K49">
            <v>27</v>
          </cell>
        </row>
        <row r="50">
          <cell r="F50">
            <v>31</v>
          </cell>
          <cell r="G50">
            <v>27</v>
          </cell>
          <cell r="J50">
            <v>30</v>
          </cell>
          <cell r="K50">
            <v>26</v>
          </cell>
        </row>
        <row r="51">
          <cell r="F51">
            <v>31</v>
          </cell>
          <cell r="G51">
            <v>26</v>
          </cell>
          <cell r="J51">
            <v>30</v>
          </cell>
          <cell r="K51">
            <v>25</v>
          </cell>
        </row>
        <row r="52">
          <cell r="F52">
            <v>32</v>
          </cell>
          <cell r="G52">
            <v>26</v>
          </cell>
          <cell r="J52">
            <v>31</v>
          </cell>
          <cell r="K52">
            <v>26</v>
          </cell>
        </row>
        <row r="53">
          <cell r="F53">
            <v>31</v>
          </cell>
          <cell r="G53">
            <v>25</v>
          </cell>
          <cell r="J53">
            <v>30</v>
          </cell>
          <cell r="K53">
            <v>27</v>
          </cell>
        </row>
        <row r="54">
          <cell r="F54">
            <v>31</v>
          </cell>
          <cell r="G54">
            <v>26</v>
          </cell>
          <cell r="J54">
            <v>31</v>
          </cell>
          <cell r="K54">
            <v>26</v>
          </cell>
        </row>
        <row r="55">
          <cell r="F55">
            <v>31</v>
          </cell>
          <cell r="G55">
            <v>26</v>
          </cell>
          <cell r="J55">
            <v>30</v>
          </cell>
          <cell r="K55">
            <v>26</v>
          </cell>
        </row>
        <row r="56">
          <cell r="F56">
            <v>31</v>
          </cell>
          <cell r="G56">
            <v>26</v>
          </cell>
          <cell r="J56">
            <v>30</v>
          </cell>
          <cell r="K56">
            <v>27</v>
          </cell>
        </row>
        <row r="57">
          <cell r="F57">
            <v>30</v>
          </cell>
          <cell r="G57">
            <v>27</v>
          </cell>
          <cell r="J57">
            <v>30</v>
          </cell>
          <cell r="K57">
            <v>28</v>
          </cell>
        </row>
        <row r="58">
          <cell r="F58">
            <v>31</v>
          </cell>
          <cell r="G58">
            <v>26</v>
          </cell>
          <cell r="J58">
            <v>30</v>
          </cell>
          <cell r="K58">
            <v>26</v>
          </cell>
        </row>
        <row r="59">
          <cell r="F59">
            <v>31</v>
          </cell>
          <cell r="G59">
            <v>26</v>
          </cell>
          <cell r="J59">
            <v>30</v>
          </cell>
          <cell r="K59">
            <v>26</v>
          </cell>
        </row>
        <row r="60">
          <cell r="F60">
            <v>31</v>
          </cell>
          <cell r="G60">
            <v>26</v>
          </cell>
          <cell r="J60">
            <v>30</v>
          </cell>
          <cell r="K60">
            <v>26</v>
          </cell>
        </row>
        <row r="61">
          <cell r="F61">
            <v>32</v>
          </cell>
          <cell r="G61">
            <v>27</v>
          </cell>
          <cell r="J61">
            <v>29</v>
          </cell>
          <cell r="K61">
            <v>25</v>
          </cell>
        </row>
        <row r="62">
          <cell r="F62">
            <v>31</v>
          </cell>
          <cell r="G62">
            <v>26</v>
          </cell>
          <cell r="J62">
            <v>30</v>
          </cell>
          <cell r="K62">
            <v>25</v>
          </cell>
        </row>
        <row r="63">
          <cell r="F63">
            <v>31</v>
          </cell>
          <cell r="G63">
            <v>28</v>
          </cell>
          <cell r="J63">
            <v>30</v>
          </cell>
          <cell r="K63">
            <v>26</v>
          </cell>
        </row>
        <row r="64">
          <cell r="F64">
            <v>30</v>
          </cell>
          <cell r="G64">
            <v>25</v>
          </cell>
          <cell r="J64">
            <v>30</v>
          </cell>
          <cell r="K64">
            <v>25</v>
          </cell>
        </row>
        <row r="65">
          <cell r="F65">
            <v>31</v>
          </cell>
          <cell r="G65">
            <v>27</v>
          </cell>
          <cell r="J65">
            <v>30</v>
          </cell>
          <cell r="K65">
            <v>25</v>
          </cell>
        </row>
        <row r="66">
          <cell r="F66">
            <v>31</v>
          </cell>
          <cell r="G66">
            <v>26</v>
          </cell>
          <cell r="J66">
            <v>31</v>
          </cell>
          <cell r="K66">
            <v>26</v>
          </cell>
        </row>
        <row r="67">
          <cell r="F67">
            <v>30</v>
          </cell>
          <cell r="G67">
            <v>25</v>
          </cell>
          <cell r="J67">
            <v>30</v>
          </cell>
          <cell r="K67">
            <v>27</v>
          </cell>
        </row>
        <row r="68">
          <cell r="F68">
            <v>31</v>
          </cell>
          <cell r="G68">
            <v>25</v>
          </cell>
          <cell r="J68">
            <v>29</v>
          </cell>
          <cell r="K68">
            <v>25</v>
          </cell>
        </row>
        <row r="69">
          <cell r="F69">
            <v>31</v>
          </cell>
          <cell r="G69">
            <v>26</v>
          </cell>
          <cell r="J69">
            <v>30</v>
          </cell>
          <cell r="K69">
            <v>26</v>
          </cell>
        </row>
        <row r="70">
          <cell r="F70">
            <v>31</v>
          </cell>
          <cell r="G70">
            <v>27</v>
          </cell>
          <cell r="J70">
            <v>30</v>
          </cell>
          <cell r="K70">
            <v>25</v>
          </cell>
        </row>
        <row r="71">
          <cell r="F71">
            <v>31</v>
          </cell>
          <cell r="G71">
            <v>26</v>
          </cell>
          <cell r="J71">
            <v>29</v>
          </cell>
          <cell r="K71">
            <v>24</v>
          </cell>
        </row>
        <row r="72">
          <cell r="F72">
            <v>31</v>
          </cell>
          <cell r="G72">
            <v>26</v>
          </cell>
          <cell r="J72">
            <v>28</v>
          </cell>
          <cell r="K72">
            <v>24</v>
          </cell>
        </row>
        <row r="73">
          <cell r="F73">
            <v>31</v>
          </cell>
          <cell r="G73">
            <v>27</v>
          </cell>
          <cell r="J73">
            <v>30</v>
          </cell>
          <cell r="K73">
            <v>25</v>
          </cell>
        </row>
        <row r="74">
          <cell r="F74">
            <v>31</v>
          </cell>
          <cell r="G74">
            <v>27</v>
          </cell>
          <cell r="J74">
            <v>30</v>
          </cell>
          <cell r="K74">
            <v>24</v>
          </cell>
        </row>
        <row r="75">
          <cell r="F75">
            <v>31</v>
          </cell>
          <cell r="G75">
            <v>27</v>
          </cell>
          <cell r="J75">
            <v>31</v>
          </cell>
          <cell r="K75">
            <v>25</v>
          </cell>
        </row>
        <row r="76">
          <cell r="F76">
            <v>31</v>
          </cell>
          <cell r="G76">
            <v>27</v>
          </cell>
          <cell r="J76">
            <v>29</v>
          </cell>
          <cell r="K76">
            <v>25</v>
          </cell>
        </row>
        <row r="77">
          <cell r="F77">
            <v>31</v>
          </cell>
          <cell r="G77">
            <v>27</v>
          </cell>
          <cell r="J77">
            <v>28</v>
          </cell>
          <cell r="K77">
            <v>25</v>
          </cell>
        </row>
        <row r="78">
          <cell r="F78">
            <v>32</v>
          </cell>
          <cell r="G78">
            <v>28</v>
          </cell>
          <cell r="J78">
            <v>0</v>
          </cell>
          <cell r="K78">
            <v>0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  <cell r="W29">
            <v>0</v>
          </cell>
          <cell r="AB29">
            <v>0</v>
          </cell>
          <cell r="AC29">
            <v>0</v>
          </cell>
        </row>
        <row r="32">
          <cell r="AB32">
            <v>0</v>
          </cell>
          <cell r="AC32">
            <v>0</v>
          </cell>
        </row>
        <row r="33">
          <cell r="AB33">
            <v>0</v>
          </cell>
          <cell r="AC33">
            <v>0</v>
          </cell>
        </row>
        <row r="34">
          <cell r="AB34">
            <v>0</v>
          </cell>
          <cell r="AC34">
            <v>0</v>
          </cell>
        </row>
        <row r="35">
          <cell r="AA35">
            <v>0.11</v>
          </cell>
          <cell r="AC35">
            <v>0</v>
          </cell>
        </row>
        <row r="36">
          <cell r="AC36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>
        <row r="33">
          <cell r="A33">
            <v>0.76519999999999999</v>
          </cell>
        </row>
      </sheetData>
      <sheetData sheetId="3">
        <row r="35">
          <cell r="B35">
            <v>184</v>
          </cell>
        </row>
      </sheetData>
      <sheetData sheetId="4">
        <row r="36">
          <cell r="B36">
            <v>91409</v>
          </cell>
        </row>
      </sheetData>
      <sheetData sheetId="5"/>
      <sheetData sheetId="6">
        <row r="36">
          <cell r="B36">
            <v>31</v>
          </cell>
        </row>
      </sheetData>
      <sheetData sheetId="7">
        <row r="36">
          <cell r="B36">
            <v>184</v>
          </cell>
        </row>
      </sheetData>
      <sheetData sheetId="8">
        <row r="33">
          <cell r="B33">
            <v>8348</v>
          </cell>
        </row>
      </sheetData>
      <sheetData sheetId="9"/>
      <sheetData sheetId="10"/>
      <sheetData sheetId="11"/>
      <sheetData sheetId="12">
        <row r="26">
          <cell r="V26">
            <v>16390382</v>
          </cell>
        </row>
        <row r="30">
          <cell r="X30">
            <v>0</v>
          </cell>
        </row>
      </sheetData>
      <sheetData sheetId="13"/>
      <sheetData sheetId="14"/>
      <sheetData sheetId="15">
        <row r="36">
          <cell r="B36">
            <v>0.8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  <row r="43">
          <cell r="N43">
            <v>-38.700000000000003</v>
          </cell>
          <cell r="O43">
            <v>33.199999999999989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tanks"/>
      <sheetName val="General information "/>
      <sheetName val="GEN"/>
      <sheetName val="Sheet1"/>
      <sheetName val="Report"/>
      <sheetName val="Sheet5"/>
      <sheetName val="EDl log"/>
      <sheetName val="Degree days 2016"/>
      <sheetName val="Utility Cost "/>
      <sheetName val="MDB"/>
      <sheetName val="Swimming Pool quality check "/>
      <sheetName val="Sheet2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D13">
            <v>27.099999999999991</v>
          </cell>
        </row>
        <row r="14">
          <cell r="D14">
            <v>-38.399999999999991</v>
          </cell>
        </row>
        <row r="15">
          <cell r="D15">
            <v>17.93548387096774</v>
          </cell>
        </row>
        <row r="16">
          <cell r="D16">
            <v>0.49185161290322582</v>
          </cell>
        </row>
        <row r="17">
          <cell r="D17">
            <v>199</v>
          </cell>
        </row>
      </sheetData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accuweather.com/en/lb/lebanon-weather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D26" sqref="D26:E27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6" bestFit="1" customWidth="1"/>
    <col min="13" max="13" width="12.140625" style="306" customWidth="1"/>
    <col min="14" max="14" width="12.140625" style="548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2" t="s">
        <v>356</v>
      </c>
      <c r="F1" s="282" t="s">
        <v>357</v>
      </c>
      <c r="G1" s="282" t="s">
        <v>358</v>
      </c>
      <c r="H1" s="282" t="s">
        <v>359</v>
      </c>
      <c r="I1" s="282" t="s">
        <v>360</v>
      </c>
      <c r="J1" s="282" t="s">
        <v>361</v>
      </c>
      <c r="K1" s="282" t="s">
        <v>362</v>
      </c>
      <c r="L1" s="324" t="s">
        <v>363</v>
      </c>
      <c r="M1" s="545" t="s">
        <v>405</v>
      </c>
      <c r="N1" s="546" t="s">
        <v>406</v>
      </c>
      <c r="O1" s="282" t="s">
        <v>347</v>
      </c>
    </row>
    <row r="2" spans="1:15">
      <c r="A2" t="s">
        <v>348</v>
      </c>
      <c r="B2">
        <v>1</v>
      </c>
      <c r="C2">
        <v>12</v>
      </c>
      <c r="D2">
        <v>2019</v>
      </c>
      <c r="E2" s="208">
        <f>ELEC!N3</f>
        <v>14340.200000000186</v>
      </c>
      <c r="F2" s="349">
        <f>SUM('EDl log'!T4)</f>
        <v>3.3593648213943214E-2</v>
      </c>
      <c r="G2" s="208">
        <f>-tanks!AW6</f>
        <v>229</v>
      </c>
      <c r="H2" s="349">
        <f>SUM(tanks!AV6)</f>
        <v>0.53369999999999995</v>
      </c>
      <c r="I2" s="10">
        <f>('B5'!AU5)*0.51</f>
        <v>30.6</v>
      </c>
      <c r="J2" s="328">
        <f>'B5'!AX5/0.51</f>
        <v>1.3725490196078429</v>
      </c>
      <c r="K2" s="208">
        <f>WATER!I6</f>
        <v>155</v>
      </c>
      <c r="L2" s="350">
        <f>SUM(WATER!J6)</f>
        <v>1.5608740894901145</v>
      </c>
      <c r="M2" s="350">
        <f>WATER!Q6</f>
        <v>0</v>
      </c>
      <c r="N2" s="547">
        <v>0.6</v>
      </c>
      <c r="O2" s="10">
        <f>ELEC!B3</f>
        <v>35.994999999999997</v>
      </c>
    </row>
    <row r="3" spans="1:15">
      <c r="A3" t="s">
        <v>348</v>
      </c>
      <c r="B3">
        <f>B2+1</f>
        <v>2</v>
      </c>
      <c r="C3">
        <v>12</v>
      </c>
      <c r="D3">
        <v>2019</v>
      </c>
      <c r="E3" s="208">
        <f>ELEC!N4</f>
        <v>14840</v>
      </c>
      <c r="F3" s="349">
        <f>SUM('EDl log'!T5)</f>
        <v>8.2142869982824829E-2</v>
      </c>
      <c r="G3" s="208">
        <f>-tanks!AW7</f>
        <v>329</v>
      </c>
      <c r="H3" s="349">
        <f>SUM(tanks!AV7)</f>
        <v>0.53369999999999995</v>
      </c>
      <c r="I3" s="10">
        <f>('B5'!AU6)*0.51</f>
        <v>76.5</v>
      </c>
      <c r="J3" s="328">
        <f>'B5'!AX6/0.51</f>
        <v>1.3725490196078429</v>
      </c>
      <c r="K3" s="208">
        <f>WATER!I7</f>
        <v>0</v>
      </c>
      <c r="L3" s="350">
        <f>SUM(WATER!J7)</f>
        <v>0</v>
      </c>
      <c r="M3" s="350">
        <f>WATER!Q7</f>
        <v>0</v>
      </c>
      <c r="N3" s="547">
        <v>0.6</v>
      </c>
      <c r="O3" s="10">
        <f>ELEC!B4</f>
        <v>29.991999999999997</v>
      </c>
    </row>
    <row r="4" spans="1:15">
      <c r="A4" t="s">
        <v>348</v>
      </c>
      <c r="B4">
        <f t="shared" ref="B4:B32" si="0">B3+1</f>
        <v>3</v>
      </c>
      <c r="C4">
        <v>12</v>
      </c>
      <c r="D4">
        <v>2019</v>
      </c>
      <c r="E4" s="208">
        <f>ELEC!N5</f>
        <v>15111</v>
      </c>
      <c r="F4" s="349">
        <f>SUM('EDl log'!T6)</f>
        <v>8.2147141341565283E-2</v>
      </c>
      <c r="G4" s="208">
        <f>-tanks!AW8</f>
        <v>624.70000000001164</v>
      </c>
      <c r="H4" s="349">
        <f>SUM(tanks!AV8)</f>
        <v>0.53369999999999995</v>
      </c>
      <c r="I4" s="10">
        <f>('B5'!AU7)*0.51</f>
        <v>45.9</v>
      </c>
      <c r="J4" s="328">
        <f>'B5'!AX7/0.51</f>
        <v>1.3725490196078429</v>
      </c>
      <c r="K4" s="208">
        <f>WATER!I8</f>
        <v>266</v>
      </c>
      <c r="L4" s="350">
        <f>SUM(WATER!J8)</f>
        <v>1.4524642250788262</v>
      </c>
      <c r="M4" s="350">
        <f>WATER!Q8</f>
        <v>0</v>
      </c>
      <c r="N4" s="547">
        <v>0.6</v>
      </c>
      <c r="O4" s="10">
        <f>ELEC!B5</f>
        <v>35.006</v>
      </c>
    </row>
    <row r="5" spans="1:15">
      <c r="A5" t="s">
        <v>348</v>
      </c>
      <c r="B5">
        <f t="shared" si="0"/>
        <v>4</v>
      </c>
      <c r="C5">
        <v>12</v>
      </c>
      <c r="D5">
        <v>2019</v>
      </c>
      <c r="E5" s="208">
        <f>ELEC!N6</f>
        <v>15739</v>
      </c>
      <c r="F5" s="349">
        <f>SUM('EDl log'!T7)</f>
        <v>7.5278175171614989E-2</v>
      </c>
      <c r="G5" s="208">
        <f>-tanks!AW9</f>
        <v>449.89999999999418</v>
      </c>
      <c r="H5" s="349">
        <f>SUM(tanks!AV9)</f>
        <v>0.53369999999999995</v>
      </c>
      <c r="I5" s="10">
        <f>('B5'!AU8)*0.51</f>
        <v>168.3</v>
      </c>
      <c r="J5" s="328">
        <f>'B5'!AX8/0.51</f>
        <v>1.3725490196078429</v>
      </c>
      <c r="K5" s="208">
        <f>WATER!I9</f>
        <v>0</v>
      </c>
      <c r="L5" s="350">
        <f>SUM(WATER!J9)</f>
        <v>0</v>
      </c>
      <c r="M5" s="350">
        <f>WATER!Q9</f>
        <v>0</v>
      </c>
      <c r="N5" s="547">
        <v>0.6</v>
      </c>
      <c r="O5" s="10">
        <f>ELEC!B6</f>
        <v>41.009</v>
      </c>
    </row>
    <row r="6" spans="1:15">
      <c r="A6" t="s">
        <v>348</v>
      </c>
      <c r="B6">
        <f t="shared" si="0"/>
        <v>5</v>
      </c>
      <c r="C6">
        <v>12</v>
      </c>
      <c r="D6">
        <v>2019</v>
      </c>
      <c r="E6" s="208">
        <f>ELEC!N7</f>
        <v>13473</v>
      </c>
      <c r="F6" s="349">
        <f>SUM('EDl log'!T8)</f>
        <v>9.39213032617498E-2</v>
      </c>
      <c r="G6" s="208">
        <f>-tanks!AW10</f>
        <v>498</v>
      </c>
      <c r="H6" s="349">
        <f>SUM(tanks!AV10)</f>
        <v>0.53369999999999995</v>
      </c>
      <c r="I6" s="10">
        <f>('B5'!AU9)*0.51</f>
        <v>163.19999999999999</v>
      </c>
      <c r="J6" s="328">
        <f>'B5'!AX9/0.51</f>
        <v>1.3725490196078429</v>
      </c>
      <c r="K6" s="208">
        <f>WATER!I10</f>
        <v>189</v>
      </c>
      <c r="L6" s="350">
        <f>SUM(WATER!J10)</f>
        <v>1.2800819252432156</v>
      </c>
      <c r="M6" s="350">
        <f>WATER!Q10</f>
        <v>0</v>
      </c>
      <c r="N6" s="547">
        <v>0.6</v>
      </c>
      <c r="O6" s="10">
        <f>ELEC!B7</f>
        <v>48.99</v>
      </c>
    </row>
    <row r="7" spans="1:15">
      <c r="A7" t="s">
        <v>348</v>
      </c>
      <c r="B7">
        <f t="shared" si="0"/>
        <v>6</v>
      </c>
      <c r="C7">
        <v>12</v>
      </c>
      <c r="D7">
        <v>2019</v>
      </c>
      <c r="E7" s="208">
        <f>ELEC!N8</f>
        <v>14010.399999999907</v>
      </c>
      <c r="F7" s="349">
        <f>SUM('EDl log'!T9)</f>
        <v>9.3858028619753966E-2</v>
      </c>
      <c r="G7" s="208">
        <f>-tanks!AW11</f>
        <v>705.80000000000291</v>
      </c>
      <c r="H7" s="349">
        <f>SUM(tanks!AV11)</f>
        <v>0.53369999999999995</v>
      </c>
      <c r="I7" s="10">
        <f>('B5'!AU10)*0.51</f>
        <v>15.3</v>
      </c>
      <c r="J7" s="328">
        <f>'B5'!AX10/0.51</f>
        <v>1.3725490196078429</v>
      </c>
      <c r="K7" s="208">
        <f>WATER!I11</f>
        <v>0</v>
      </c>
      <c r="L7" s="350">
        <f>SUM(WATER!J11)</f>
        <v>0</v>
      </c>
      <c r="M7" s="350">
        <f>WATER!Q11</f>
        <v>0</v>
      </c>
      <c r="N7" s="547">
        <v>0.6</v>
      </c>
      <c r="O7" s="10">
        <f>ELEC!B8</f>
        <v>40.94</v>
      </c>
    </row>
    <row r="8" spans="1:15">
      <c r="A8" t="s">
        <v>348</v>
      </c>
      <c r="B8">
        <f t="shared" si="0"/>
        <v>7</v>
      </c>
      <c r="C8">
        <v>12</v>
      </c>
      <c r="D8">
        <v>2019</v>
      </c>
      <c r="E8" s="208">
        <f>ELEC!N9</f>
        <v>15285.600000000093</v>
      </c>
      <c r="F8" s="349">
        <f>SUM('EDl log'!T10)</f>
        <v>8.2711870208696969E-2</v>
      </c>
      <c r="G8" s="208">
        <f>-tanks!AW12</f>
        <v>960.30000000000291</v>
      </c>
      <c r="H8" s="349">
        <f>SUM(tanks!AV12)</f>
        <v>0.53369999999999995</v>
      </c>
      <c r="I8" s="10">
        <f>('B5'!AU11)*0.51</f>
        <v>45.9</v>
      </c>
      <c r="J8" s="328">
        <f>'B5'!AX11/0.51</f>
        <v>1.3725490196078429</v>
      </c>
      <c r="K8" s="208">
        <f>WATER!I12</f>
        <v>158</v>
      </c>
      <c r="L8" s="350">
        <f>SUM(WATER!J12)</f>
        <v>1.5312372396896692</v>
      </c>
      <c r="M8" s="350">
        <f>WATER!Q12</f>
        <v>0</v>
      </c>
      <c r="N8" s="547">
        <v>0.6</v>
      </c>
      <c r="O8" s="10">
        <f>ELEC!B9</f>
        <v>31.970000000000002</v>
      </c>
    </row>
    <row r="9" spans="1:15">
      <c r="A9" t="s">
        <v>348</v>
      </c>
      <c r="B9">
        <f t="shared" si="0"/>
        <v>8</v>
      </c>
      <c r="C9">
        <v>12</v>
      </c>
      <c r="D9">
        <v>2019</v>
      </c>
      <c r="E9" s="208">
        <f>ELEC!N10</f>
        <v>16664</v>
      </c>
      <c r="F9" s="349">
        <f>SUM('EDl log'!T11)</f>
        <v>6.5420618709810488E-2</v>
      </c>
      <c r="G9" s="208">
        <f>-tanks!AW13</f>
        <v>642</v>
      </c>
      <c r="H9" s="349">
        <f>SUM(tanks!AV13)</f>
        <v>0.53369999999999995</v>
      </c>
      <c r="I9" s="10">
        <f>('B5'!AU12)*0.51</f>
        <v>0</v>
      </c>
      <c r="J9" s="328">
        <f>'B5'!AX12/0.51</f>
        <v>1.3725490196078429</v>
      </c>
      <c r="K9" s="208">
        <f>WATER!I13</f>
        <v>80</v>
      </c>
      <c r="L9" s="350">
        <f>SUM(WATER!J13)</f>
        <v>4.6841935483870971</v>
      </c>
      <c r="M9" s="350">
        <f>WATER!Q13</f>
        <v>0</v>
      </c>
      <c r="N9" s="547">
        <v>0.6</v>
      </c>
      <c r="O9" s="10">
        <f>ELEC!B10</f>
        <v>37.306000000000004</v>
      </c>
    </row>
    <row r="10" spans="1:15">
      <c r="A10" t="s">
        <v>348</v>
      </c>
      <c r="B10">
        <f t="shared" si="0"/>
        <v>9</v>
      </c>
      <c r="C10">
        <v>12</v>
      </c>
      <c r="D10">
        <v>2019</v>
      </c>
      <c r="E10" s="208">
        <f>ELEC!N11</f>
        <v>13515</v>
      </c>
      <c r="F10" s="349">
        <f>SUM('EDl log'!T12)</f>
        <v>8.7412424181212173E-2</v>
      </c>
      <c r="G10" s="208">
        <f>-tanks!AW14</f>
        <v>624</v>
      </c>
      <c r="H10" s="349">
        <f>SUM(tanks!AV14)</f>
        <v>0.53369999999999995</v>
      </c>
      <c r="I10" s="10">
        <f>('B5'!AU13)*0.51</f>
        <v>198.9</v>
      </c>
      <c r="J10" s="328">
        <f>'B5'!AX13/0.51</f>
        <v>1.3725490196078429</v>
      </c>
      <c r="K10" s="208">
        <f>WATER!I14</f>
        <v>124</v>
      </c>
      <c r="L10" s="350">
        <f>SUM(WATER!J14)</f>
        <v>3.0354474505723203</v>
      </c>
      <c r="M10" s="350">
        <f>WATER!Q14</f>
        <v>0</v>
      </c>
      <c r="N10" s="547">
        <v>0.6</v>
      </c>
      <c r="O10" s="10">
        <f>ELEC!B11</f>
        <v>39.997</v>
      </c>
    </row>
    <row r="11" spans="1:15">
      <c r="A11" t="s">
        <v>348</v>
      </c>
      <c r="B11">
        <f t="shared" si="0"/>
        <v>10</v>
      </c>
      <c r="C11">
        <v>12</v>
      </c>
      <c r="D11">
        <v>2019</v>
      </c>
      <c r="E11" s="208">
        <f>ELEC!N12</f>
        <v>15465</v>
      </c>
      <c r="F11" s="349">
        <f>SUM('EDl log'!T13)</f>
        <v>7.5832705316597138E-2</v>
      </c>
      <c r="G11" s="208">
        <f>-tanks!AW15</f>
        <v>762.19999999999709</v>
      </c>
      <c r="H11" s="349">
        <f>SUM(tanks!AV15)</f>
        <v>0.53369999999999995</v>
      </c>
      <c r="I11" s="10">
        <f>('B5'!AU14)*0.51</f>
        <v>76.5</v>
      </c>
      <c r="J11" s="328">
        <f>'B5'!AX14/0.51</f>
        <v>1.3725490196078429</v>
      </c>
      <c r="K11" s="208">
        <f>WATER!I15</f>
        <v>0</v>
      </c>
      <c r="L11" s="350">
        <f>SUM(WATER!J15)</f>
        <v>0</v>
      </c>
      <c r="M11" s="350">
        <f>WATER!Q15</f>
        <v>0</v>
      </c>
      <c r="N11" s="547">
        <v>0.6</v>
      </c>
      <c r="O11" s="10">
        <f>ELEC!B12</f>
        <v>43.01</v>
      </c>
    </row>
    <row r="12" spans="1:15">
      <c r="A12" t="s">
        <v>348</v>
      </c>
      <c r="B12">
        <f t="shared" si="0"/>
        <v>11</v>
      </c>
      <c r="C12">
        <v>12</v>
      </c>
      <c r="D12">
        <v>2019</v>
      </c>
      <c r="E12" s="208">
        <f>ELEC!N13</f>
        <v>13877</v>
      </c>
      <c r="F12" s="349">
        <f>SUM('EDl log'!T14)</f>
        <v>8.6183856602867606E-2</v>
      </c>
      <c r="G12" s="208">
        <f>-tanks!AW16</f>
        <v>838.19999999999709</v>
      </c>
      <c r="H12" s="349">
        <f>SUM(tanks!AV16)</f>
        <v>0.53369999999999995</v>
      </c>
      <c r="I12" s="10">
        <f>('B5'!AU15)*0.51</f>
        <v>91.8</v>
      </c>
      <c r="J12" s="328">
        <f>'B5'!AX15/0.51</f>
        <v>1.3725490196078429</v>
      </c>
      <c r="K12" s="208">
        <f>WATER!I16</f>
        <v>0</v>
      </c>
      <c r="L12" s="350">
        <f>SUM(WATER!J16)</f>
        <v>0</v>
      </c>
      <c r="M12" s="350">
        <f>WATER!Q16</f>
        <v>0</v>
      </c>
      <c r="N12" s="547">
        <v>0.6</v>
      </c>
      <c r="O12" s="10">
        <f>ELEC!B13</f>
        <v>35.994999999999997</v>
      </c>
    </row>
    <row r="13" spans="1:15">
      <c r="A13" t="s">
        <v>348</v>
      </c>
      <c r="B13">
        <f t="shared" si="0"/>
        <v>12</v>
      </c>
      <c r="C13">
        <v>12</v>
      </c>
      <c r="D13">
        <v>2019</v>
      </c>
      <c r="E13" s="208">
        <f>ELEC!N14</f>
        <v>14595</v>
      </c>
      <c r="F13" s="349">
        <f>SUM('EDl log'!T15)</f>
        <v>1.6696052768240304E-2</v>
      </c>
      <c r="G13" s="208">
        <f>-tanks!AW17</f>
        <v>661</v>
      </c>
      <c r="H13" s="349">
        <f>SUM(tanks!AV17)</f>
        <v>0.52710000000000001</v>
      </c>
      <c r="I13" s="10">
        <f>('B5'!AU16)*0.51</f>
        <v>163.19999999999999</v>
      </c>
      <c r="J13" s="328">
        <f>'B5'!AX16/0.51</f>
        <v>1.3725490196078429</v>
      </c>
      <c r="K13" s="208">
        <f>WATER!I17</f>
        <v>0</v>
      </c>
      <c r="L13" s="350">
        <f>SUM(WATER!J17)</f>
        <v>0</v>
      </c>
      <c r="M13" s="350">
        <f>WATER!Q17</f>
        <v>0</v>
      </c>
      <c r="N13" s="547">
        <v>0.6</v>
      </c>
      <c r="O13" s="10">
        <f>ELEC!B14</f>
        <v>50.002000000000002</v>
      </c>
    </row>
    <row r="14" spans="1:15">
      <c r="A14" t="s">
        <v>348</v>
      </c>
      <c r="B14">
        <f t="shared" si="0"/>
        <v>13</v>
      </c>
      <c r="C14">
        <v>12</v>
      </c>
      <c r="D14">
        <v>2019</v>
      </c>
      <c r="E14" s="208">
        <f>ELEC!N15</f>
        <v>15369</v>
      </c>
      <c r="F14" s="349">
        <f>SUM('EDl log'!T16)</f>
        <v>8.1696923933160151E-2</v>
      </c>
      <c r="G14" s="208">
        <f>-tanks!AW18</f>
        <v>867</v>
      </c>
      <c r="H14" s="349">
        <f>SUM(tanks!AV18)</f>
        <v>0.52710000000000001</v>
      </c>
      <c r="I14" s="10">
        <f>('B5'!AU17)*0.51</f>
        <v>137.69999999999999</v>
      </c>
      <c r="J14" s="328">
        <f>'B5'!AX17/0.51</f>
        <v>1.3725490196078429</v>
      </c>
      <c r="K14" s="208">
        <f>WATER!I18</f>
        <v>0</v>
      </c>
      <c r="L14" s="350">
        <f>SUM(WATER!J18)</f>
        <v>0</v>
      </c>
      <c r="M14" s="350">
        <f>WATER!Q18</f>
        <v>0</v>
      </c>
      <c r="N14" s="547">
        <v>0.6</v>
      </c>
      <c r="O14" s="10">
        <f>ELEC!B15</f>
        <v>54.004000000000005</v>
      </c>
    </row>
    <row r="15" spans="1:15">
      <c r="A15" t="s">
        <v>348</v>
      </c>
      <c r="B15">
        <f t="shared" si="0"/>
        <v>14</v>
      </c>
      <c r="C15">
        <v>12</v>
      </c>
      <c r="D15">
        <v>2019</v>
      </c>
      <c r="E15" s="208">
        <f>ELEC!N16</f>
        <v>15707</v>
      </c>
      <c r="F15" s="349">
        <f>SUM('EDl log'!T17)</f>
        <v>9.2579763234526144E-2</v>
      </c>
      <c r="G15" s="208">
        <f>-tanks!AW19</f>
        <v>918.40000000000873</v>
      </c>
      <c r="H15" s="349">
        <f>SUM(tanks!AV19)</f>
        <v>0.52710000000000001</v>
      </c>
      <c r="I15" s="10">
        <f>('B5'!AU18)*0.51</f>
        <v>45.9</v>
      </c>
      <c r="J15" s="328">
        <f>'B5'!AX18/0.51</f>
        <v>1.3725490196078429</v>
      </c>
      <c r="K15" s="208">
        <f>WATER!I19</f>
        <v>0</v>
      </c>
      <c r="L15" s="350">
        <f>SUM(WATER!J19)</f>
        <v>0</v>
      </c>
      <c r="M15" s="350">
        <f>WATER!Q19</f>
        <v>0</v>
      </c>
      <c r="N15" s="547">
        <v>0.6</v>
      </c>
      <c r="O15" s="10">
        <f>ELEC!B16</f>
        <v>39.008000000000003</v>
      </c>
    </row>
    <row r="16" spans="1:15">
      <c r="A16" t="s">
        <v>348</v>
      </c>
      <c r="B16">
        <f t="shared" si="0"/>
        <v>15</v>
      </c>
      <c r="C16">
        <v>12</v>
      </c>
      <c r="D16">
        <v>2019</v>
      </c>
      <c r="E16" s="208">
        <f>ELEC!N17</f>
        <v>12865</v>
      </c>
      <c r="F16" s="349">
        <f>SUM('EDl log'!T18)</f>
        <v>7.9086666425229199E-2</v>
      </c>
      <c r="G16" s="208">
        <f>-tanks!AW20</f>
        <v>1163.3000000000029</v>
      </c>
      <c r="H16" s="349">
        <f>SUM(tanks!AV20)</f>
        <v>0.52710000000000001</v>
      </c>
      <c r="I16" s="10">
        <f>('B5'!AU19)*0.51</f>
        <v>61.2</v>
      </c>
      <c r="J16" s="328">
        <f>'B5'!AX19/0.51</f>
        <v>1.3725490196078429</v>
      </c>
      <c r="K16" s="208">
        <f>WATER!I20</f>
        <v>295</v>
      </c>
      <c r="L16" s="350">
        <f>SUM(WATER!J20)</f>
        <v>0.82012028430836525</v>
      </c>
      <c r="M16" s="350">
        <f>WATER!Q20</f>
        <v>0</v>
      </c>
      <c r="N16" s="547">
        <v>0.6</v>
      </c>
      <c r="O16" s="10">
        <f>ELEC!B17</f>
        <v>37.996000000000002</v>
      </c>
    </row>
    <row r="17" spans="1:15">
      <c r="A17" t="s">
        <v>348</v>
      </c>
      <c r="B17">
        <f t="shared" si="0"/>
        <v>16</v>
      </c>
      <c r="C17">
        <v>12</v>
      </c>
      <c r="D17">
        <v>2019</v>
      </c>
      <c r="E17" s="208">
        <f>ELEC!N18</f>
        <v>15541</v>
      </c>
      <c r="F17" s="349">
        <f>SUM('EDl log'!T19)</f>
        <v>8.6967184817716564E-2</v>
      </c>
      <c r="G17" s="208">
        <f>-tanks!AW21</f>
        <v>840</v>
      </c>
      <c r="H17" s="349">
        <f>SUM(tanks!AV21)</f>
        <v>0.52710000000000001</v>
      </c>
      <c r="I17" s="10">
        <f>('B5'!AU20)*0.51</f>
        <v>0</v>
      </c>
      <c r="J17" s="328">
        <f>'B5'!AX20/0.51</f>
        <v>1.3725490196078429</v>
      </c>
      <c r="K17" s="208">
        <f>WATER!I21</f>
        <v>20</v>
      </c>
      <c r="L17" s="350">
        <f>SUM(WATER!J21)</f>
        <v>12.096774193548388</v>
      </c>
      <c r="M17" s="350">
        <f>WATER!Q21</f>
        <v>0</v>
      </c>
      <c r="N17" s="547">
        <v>0.6</v>
      </c>
      <c r="O17" s="10">
        <f>ELEC!B18</f>
        <v>31.970000000000002</v>
      </c>
    </row>
    <row r="18" spans="1:15">
      <c r="A18" t="s">
        <v>348</v>
      </c>
      <c r="B18">
        <f t="shared" si="0"/>
        <v>17</v>
      </c>
      <c r="C18">
        <v>12</v>
      </c>
      <c r="D18">
        <v>2019</v>
      </c>
      <c r="E18" s="208">
        <f>ELEC!N19</f>
        <v>15509.600000000093</v>
      </c>
      <c r="F18" s="349">
        <f>SUM('EDl log'!T20)</f>
        <v>6.9321821758374869E-2</v>
      </c>
      <c r="G18" s="208">
        <f>-tanks!AW22</f>
        <v>787</v>
      </c>
      <c r="H18" s="349">
        <f>SUM(tanks!AV22)</f>
        <v>0.52700000000000002</v>
      </c>
      <c r="I18" s="10">
        <f>('B5'!AU21)*0.51</f>
        <v>183.6</v>
      </c>
      <c r="J18" s="328">
        <f>'B5'!AX21/0.51</f>
        <v>1.3725490196078429</v>
      </c>
      <c r="K18" s="208">
        <f>WATER!I22</f>
        <v>285</v>
      </c>
      <c r="L18" s="350">
        <f>SUM(WATER!J22)</f>
        <v>0.84889643463497455</v>
      </c>
      <c r="M18" s="350">
        <f>WATER!Q22</f>
        <v>0</v>
      </c>
      <c r="N18" s="547">
        <v>0.6</v>
      </c>
      <c r="O18" s="10">
        <f>ELEC!B19</f>
        <v>35.006</v>
      </c>
    </row>
    <row r="19" spans="1:15">
      <c r="A19" t="s">
        <v>348</v>
      </c>
      <c r="B19">
        <f t="shared" si="0"/>
        <v>18</v>
      </c>
      <c r="C19">
        <v>12</v>
      </c>
      <c r="D19">
        <v>2019</v>
      </c>
      <c r="E19" s="208">
        <f>ELEC!N20</f>
        <v>15084.399999999907</v>
      </c>
      <c r="F19" s="349">
        <f>SUM('EDl log'!T21)</f>
        <v>6.79772246423731E-3</v>
      </c>
      <c r="G19" s="208">
        <f>-tanks!AW23</f>
        <v>816.59999999999127</v>
      </c>
      <c r="H19" s="349">
        <f>SUM(tanks!AV23)</f>
        <v>0.53</v>
      </c>
      <c r="I19" s="10">
        <f>('B5'!AU22)*0.51</f>
        <v>137.69999999999999</v>
      </c>
      <c r="J19" s="328">
        <f>'B5'!AX22/0.51</f>
        <v>1.3725490196078429</v>
      </c>
      <c r="K19" s="208">
        <f>WATER!I23</f>
        <v>18</v>
      </c>
      <c r="L19" s="350">
        <f>SUM(WATER!J23)</f>
        <v>13.440860215053764</v>
      </c>
      <c r="M19" s="350">
        <f>WATER!Q23</f>
        <v>0</v>
      </c>
      <c r="N19" s="547">
        <v>0.6</v>
      </c>
      <c r="O19" s="10">
        <f>ELEC!B20</f>
        <v>39.008000000000003</v>
      </c>
    </row>
    <row r="20" spans="1:15">
      <c r="A20" t="s">
        <v>348</v>
      </c>
      <c r="B20">
        <f t="shared" si="0"/>
        <v>19</v>
      </c>
      <c r="C20">
        <v>12</v>
      </c>
      <c r="D20">
        <v>2019</v>
      </c>
      <c r="E20" s="208">
        <f>ELEC!N21</f>
        <v>16194</v>
      </c>
      <c r="F20" s="349">
        <f>SUM('EDl log'!T22)</f>
        <v>8.3400508074213453E-2</v>
      </c>
      <c r="G20" s="208">
        <f>-tanks!AW24</f>
        <v>1143.6999999999971</v>
      </c>
      <c r="H20" s="349">
        <f>SUM(tanks!AV24)</f>
        <v>0.53</v>
      </c>
      <c r="I20" s="10">
        <f>('B5'!AU23)*0.51</f>
        <v>168.3</v>
      </c>
      <c r="J20" s="328">
        <f>'B5'!AX23/0.51</f>
        <v>1.3725490196078429</v>
      </c>
      <c r="K20" s="208">
        <f>WATER!I24</f>
        <v>306</v>
      </c>
      <c r="L20" s="350">
        <f>SUM(WATER!J24)</f>
        <v>0.79063883617963315</v>
      </c>
      <c r="M20" s="350">
        <f>WATER!Q24</f>
        <v>0</v>
      </c>
      <c r="N20" s="547">
        <v>0.6</v>
      </c>
      <c r="O20" s="10">
        <f>ELEC!B21</f>
        <v>39.997</v>
      </c>
    </row>
    <row r="21" spans="1:15">
      <c r="A21" t="s">
        <v>348</v>
      </c>
      <c r="B21">
        <f t="shared" si="0"/>
        <v>20</v>
      </c>
      <c r="C21">
        <v>12</v>
      </c>
      <c r="D21">
        <v>2019</v>
      </c>
      <c r="E21" s="208">
        <f>ELEC!N22</f>
        <v>15960</v>
      </c>
      <c r="F21" s="349">
        <f>SUM('EDl log'!T23)</f>
        <v>8.3824330772364744E-2</v>
      </c>
      <c r="G21" s="208">
        <f>-tanks!AW25</f>
        <v>705</v>
      </c>
      <c r="H21" s="349">
        <f>SUM(tanks!AV25)</f>
        <v>0.53</v>
      </c>
      <c r="I21" s="10">
        <f>('B5'!AU24)*0.51</f>
        <v>45.9</v>
      </c>
      <c r="J21" s="328">
        <f>'B5'!AX24/0.51</f>
        <v>1.3725490196078429</v>
      </c>
      <c r="K21" s="208">
        <f>WATER!I25</f>
        <v>0</v>
      </c>
      <c r="L21" s="350">
        <f>SUM(WATER!J25)</f>
        <v>0</v>
      </c>
      <c r="M21" s="350">
        <f>WATER!Q25</f>
        <v>0</v>
      </c>
      <c r="N21" s="547">
        <v>0.6</v>
      </c>
      <c r="O21" s="10">
        <f>ELEC!B22</f>
        <v>56.994</v>
      </c>
    </row>
    <row r="22" spans="1:15">
      <c r="A22" t="s">
        <v>348</v>
      </c>
      <c r="B22">
        <f t="shared" si="0"/>
        <v>21</v>
      </c>
      <c r="C22">
        <v>12</v>
      </c>
      <c r="D22">
        <v>2019</v>
      </c>
      <c r="E22" s="208">
        <f>ELEC!N23</f>
        <v>14265.200000000186</v>
      </c>
      <c r="F22" s="349">
        <f>SUM('EDl log'!T24)</f>
        <v>8.4107153477946076E-2</v>
      </c>
      <c r="G22" s="208">
        <f>-tanks!AW26</f>
        <v>814</v>
      </c>
      <c r="H22" s="349">
        <f>SUM(tanks!AV26)</f>
        <v>0.53</v>
      </c>
      <c r="I22" s="10">
        <f>('B5'!AU25)*0.51</f>
        <v>61.2</v>
      </c>
      <c r="J22" s="328">
        <f>'B5'!AX25/0.51</f>
        <v>1.3725490196078429</v>
      </c>
      <c r="K22" s="208">
        <f>WATER!I26</f>
        <v>234</v>
      </c>
      <c r="L22" s="350">
        <f>SUM(WATER!J26)</f>
        <v>1.0339123242349049</v>
      </c>
      <c r="M22" s="350">
        <f>WATER!Q26</f>
        <v>0</v>
      </c>
      <c r="N22" s="547">
        <v>0.6</v>
      </c>
      <c r="O22" s="10">
        <f>ELEC!B23</f>
        <v>41.998000000000005</v>
      </c>
    </row>
    <row r="23" spans="1:15">
      <c r="A23" t="s">
        <v>348</v>
      </c>
      <c r="B23">
        <f t="shared" si="0"/>
        <v>22</v>
      </c>
      <c r="C23">
        <v>12</v>
      </c>
      <c r="D23">
        <v>2019</v>
      </c>
      <c r="E23" s="208">
        <f>ELEC!N24</f>
        <v>15174.799999999814</v>
      </c>
      <c r="F23" s="349">
        <f>SUM('EDl log'!T25)</f>
        <v>8.1562011760873715E-2</v>
      </c>
      <c r="G23" s="208">
        <f>-tanks!AW27</f>
        <v>758.60000000000582</v>
      </c>
      <c r="H23" s="349">
        <f>SUM(tanks!AV27)</f>
        <v>0.53</v>
      </c>
      <c r="I23" s="10">
        <f>('B5'!AU26)*0.51</f>
        <v>198.9</v>
      </c>
      <c r="J23" s="328">
        <f>'B5'!AX26/0.51</f>
        <v>1.3725490196078429</v>
      </c>
      <c r="K23" s="208">
        <f>WATER!I27</f>
        <v>0</v>
      </c>
      <c r="L23" s="350">
        <f>SUM(WATER!J27)</f>
        <v>0</v>
      </c>
      <c r="M23" s="350">
        <f>WATER!Q27</f>
        <v>0</v>
      </c>
      <c r="N23" s="547">
        <v>0.6</v>
      </c>
      <c r="O23" s="10">
        <f>ELEC!B24</f>
        <v>60.007000000000005</v>
      </c>
    </row>
    <row r="24" spans="1:15">
      <c r="A24" t="s">
        <v>348</v>
      </c>
      <c r="B24">
        <f t="shared" si="0"/>
        <v>23</v>
      </c>
      <c r="C24">
        <v>12</v>
      </c>
      <c r="D24">
        <v>2019</v>
      </c>
      <c r="E24" s="208">
        <f>ELEC!N25</f>
        <v>17513.200000000186</v>
      </c>
      <c r="F24" s="349">
        <f>SUM('EDl log'!T26)</f>
        <v>8.8018356445083046E-2</v>
      </c>
      <c r="G24" s="208">
        <f>-tanks!AW28</f>
        <v>1095.3000000000029</v>
      </c>
      <c r="H24" s="349">
        <f>SUM(tanks!AV28)</f>
        <v>0.53</v>
      </c>
      <c r="I24" s="10">
        <f>('B5'!AU27)*0.51</f>
        <v>122.4</v>
      </c>
      <c r="J24" s="328">
        <f>'B5'!AX27/0.51</f>
        <v>1.3725490196078429</v>
      </c>
      <c r="K24" s="208">
        <f>WATER!I28</f>
        <v>262</v>
      </c>
      <c r="L24" s="350">
        <f>SUM(WATER!J28)</f>
        <v>0.92341787737010594</v>
      </c>
      <c r="M24" s="350">
        <f>WATER!Q28</f>
        <v>0</v>
      </c>
      <c r="N24" s="547">
        <v>0.6</v>
      </c>
      <c r="O24" s="10">
        <f>ELEC!B25</f>
        <v>58.995000000000005</v>
      </c>
    </row>
    <row r="25" spans="1:15">
      <c r="A25" t="s">
        <v>348</v>
      </c>
      <c r="B25">
        <f t="shared" si="0"/>
        <v>24</v>
      </c>
      <c r="C25">
        <v>12</v>
      </c>
      <c r="D25">
        <v>2019</v>
      </c>
      <c r="E25" s="208">
        <f>ELEC!N26</f>
        <v>15392.799999999814</v>
      </c>
      <c r="F25" s="349">
        <f>SUM('EDl log'!T27)</f>
        <v>7.503886659309153E-2</v>
      </c>
      <c r="G25" s="208">
        <f>-tanks!AW29</f>
        <v>548</v>
      </c>
      <c r="H25" s="349">
        <f>SUM(tanks!AV29)</f>
        <v>0.53</v>
      </c>
      <c r="I25" s="10">
        <f>('B5'!AU28)*0.51</f>
        <v>107.10000000000001</v>
      </c>
      <c r="J25" s="328">
        <f>'B5'!AX28/0.51</f>
        <v>1.3725490196078429</v>
      </c>
      <c r="K25" s="208">
        <f>WATER!I29</f>
        <v>0</v>
      </c>
      <c r="L25" s="350">
        <f>SUM(WATER!J29)</f>
        <v>0</v>
      </c>
      <c r="M25" s="350">
        <f>WATER!Q29</f>
        <v>0</v>
      </c>
      <c r="N25" s="547">
        <v>0.6</v>
      </c>
      <c r="O25" s="10">
        <f>ELEC!B26</f>
        <v>50.002000000000002</v>
      </c>
    </row>
    <row r="26" spans="1:15">
      <c r="A26" t="s">
        <v>348</v>
      </c>
      <c r="B26">
        <f>B25+1</f>
        <v>25</v>
      </c>
      <c r="C26">
        <v>12</v>
      </c>
      <c r="D26">
        <v>2019</v>
      </c>
      <c r="E26" s="208">
        <f>ELEC!N27</f>
        <v>13694</v>
      </c>
      <c r="F26" s="349">
        <f>SUM('EDl log'!T28)</f>
        <v>9.9051138066387226E-2</v>
      </c>
      <c r="G26" s="208">
        <f>-tanks!AW30</f>
        <v>952.39999999999418</v>
      </c>
      <c r="H26" s="349">
        <f>SUM(tanks!AV30)</f>
        <v>0.53</v>
      </c>
      <c r="I26" s="10">
        <f>('B5'!AU29)*0.51</f>
        <v>137.69999999999999</v>
      </c>
      <c r="J26" s="328">
        <f>'B5'!AX29/0.51</f>
        <v>1.3725490196078429</v>
      </c>
      <c r="K26" s="208">
        <f>WATER!I30</f>
        <v>198</v>
      </c>
      <c r="L26" s="350">
        <f>SUM(WATER!J30)</f>
        <v>1.2218963831867058</v>
      </c>
      <c r="M26" s="350">
        <f>WATER!Q30</f>
        <v>0</v>
      </c>
      <c r="N26" s="547">
        <v>0.6</v>
      </c>
      <c r="O26" s="10">
        <f>ELEC!B27</f>
        <v>46.989000000000004</v>
      </c>
    </row>
    <row r="27" spans="1:15">
      <c r="A27" t="s">
        <v>348</v>
      </c>
      <c r="B27">
        <f t="shared" si="0"/>
        <v>26</v>
      </c>
      <c r="C27">
        <v>12</v>
      </c>
      <c r="D27">
        <v>2019</v>
      </c>
      <c r="E27" s="208">
        <f>ELEC!N28</f>
        <v>13820</v>
      </c>
      <c r="F27" s="349">
        <f>SUM('EDl log'!T29)</f>
        <v>8.2703240776633893E-2</v>
      </c>
      <c r="G27" s="208">
        <f>-tanks!AW31</f>
        <v>1017.6000000000058</v>
      </c>
      <c r="H27" s="349">
        <f>SUM(tanks!AV31)</f>
        <v>0.53</v>
      </c>
      <c r="I27" s="10">
        <f>('B5'!AU30)*0.51</f>
        <v>198.9</v>
      </c>
      <c r="J27" s="328">
        <f>'B5'!AX30/0.51</f>
        <v>1.3725490196078429</v>
      </c>
      <c r="K27" s="208">
        <f>WATER!I31</f>
        <v>0</v>
      </c>
      <c r="L27" s="350">
        <f>SUM(WATER!J31)</f>
        <v>0</v>
      </c>
      <c r="M27" s="350">
        <f>WATER!Q31</f>
        <v>0</v>
      </c>
      <c r="N27" s="547">
        <v>0.6</v>
      </c>
      <c r="O27" s="10">
        <f>ELEC!B28</f>
        <v>50.002000000000002</v>
      </c>
    </row>
    <row r="28" spans="1:15">
      <c r="A28" t="s">
        <v>348</v>
      </c>
      <c r="B28">
        <f t="shared" si="0"/>
        <v>27</v>
      </c>
      <c r="C28">
        <v>12</v>
      </c>
      <c r="D28">
        <v>2019</v>
      </c>
      <c r="E28" s="208">
        <f>ELEC!N29</f>
        <v>16588</v>
      </c>
      <c r="F28" s="349">
        <f>SUM('EDl log'!T30)</f>
        <v>9.8835549350636612E-2</v>
      </c>
      <c r="G28" s="208">
        <f>-tanks!AW32</f>
        <v>1203.6999999999971</v>
      </c>
      <c r="H28" s="349">
        <f>SUM(tanks!AV32)</f>
        <v>0.56340000000000001</v>
      </c>
      <c r="I28" s="10">
        <f>('B5'!AU31)*0.51</f>
        <v>76.5</v>
      </c>
      <c r="J28" s="328">
        <f>'B5'!AX31/0.51</f>
        <v>1.3725490196078429</v>
      </c>
      <c r="K28" s="208">
        <f>WATER!I32</f>
        <v>335</v>
      </c>
      <c r="L28" s="350">
        <f>SUM(WATER!J32)</f>
        <v>1.7727029369282616</v>
      </c>
      <c r="M28" s="350">
        <f>WATER!Q32</f>
        <v>0</v>
      </c>
      <c r="N28" s="547">
        <v>0.6</v>
      </c>
      <c r="O28" s="10">
        <f>ELEC!B29</f>
        <v>66.998999999999995</v>
      </c>
    </row>
    <row r="29" spans="1:15">
      <c r="A29" t="s">
        <v>348</v>
      </c>
      <c r="B29">
        <f t="shared" si="0"/>
        <v>28</v>
      </c>
      <c r="C29">
        <v>12</v>
      </c>
      <c r="D29">
        <v>2019</v>
      </c>
      <c r="E29" s="208">
        <f>ELEC!N30</f>
        <v>15682</v>
      </c>
      <c r="F29" s="349">
        <f>SUM('EDl log'!T31)</f>
        <v>9.385549623526307E-2</v>
      </c>
      <c r="G29" s="208">
        <f>-tanks!AW33</f>
        <v>1073.8999999999651</v>
      </c>
      <c r="H29" s="349">
        <f>SUM(tanks!AV33)</f>
        <v>0.56340000000000001</v>
      </c>
      <c r="I29" s="10">
        <f>('B5'!AU32)*0.51</f>
        <v>122.4</v>
      </c>
      <c r="J29" s="328">
        <f>'B5'!AX32/0.51</f>
        <v>1.3725490196078429</v>
      </c>
      <c r="K29" s="208">
        <f>WATER!I33</f>
        <v>0</v>
      </c>
      <c r="L29" s="350">
        <f>SUM(WATER!J33)</f>
        <v>0</v>
      </c>
      <c r="M29" s="350">
        <f>WATER!Q33</f>
        <v>0</v>
      </c>
      <c r="N29" s="547">
        <v>0.6</v>
      </c>
      <c r="O29" s="10">
        <f>ELEC!B30</f>
        <v>66.998999999999995</v>
      </c>
    </row>
    <row r="30" spans="1:15">
      <c r="A30" t="s">
        <v>348</v>
      </c>
      <c r="B30">
        <f t="shared" si="0"/>
        <v>29</v>
      </c>
      <c r="C30">
        <v>12</v>
      </c>
      <c r="D30">
        <v>2019</v>
      </c>
      <c r="E30" s="208">
        <f>ELEC!N31</f>
        <v>17673</v>
      </c>
      <c r="F30" s="349">
        <f>SUM('EDl log'!T32)</f>
        <v>8.3445713713511824E-2</v>
      </c>
      <c r="G30" s="208">
        <f>-tanks!AW34</f>
        <v>1142.2000000000116</v>
      </c>
      <c r="H30" s="349">
        <f>SUM(tanks!AV34)</f>
        <v>0.56340000000000001</v>
      </c>
      <c r="I30" s="10">
        <f>('B5'!AU33)*0.51</f>
        <v>137.69999999999999</v>
      </c>
      <c r="J30" s="328">
        <f>'B5'!AX33/0.51</f>
        <v>1.3725490196078429</v>
      </c>
      <c r="K30" s="208">
        <f>WATER!I34</f>
        <v>269</v>
      </c>
      <c r="L30" s="350">
        <f>SUM(WATER!J34)</f>
        <v>1.3930687132749731</v>
      </c>
      <c r="M30" s="350">
        <f>WATER!Q34</f>
        <v>0</v>
      </c>
      <c r="N30" s="547">
        <v>0.6</v>
      </c>
      <c r="O30" s="10">
        <f>ELEC!B31</f>
        <v>79.349999999999994</v>
      </c>
    </row>
    <row r="31" spans="1:15">
      <c r="A31" t="s">
        <v>348</v>
      </c>
      <c r="B31">
        <f t="shared" si="0"/>
        <v>30</v>
      </c>
      <c r="C31">
        <v>12</v>
      </c>
      <c r="D31">
        <v>2019</v>
      </c>
      <c r="E31" s="208">
        <f>ELEC!N32</f>
        <v>18161</v>
      </c>
      <c r="F31" s="349">
        <f>SUM('EDl log'!T33)</f>
        <v>0.42772725220688007</v>
      </c>
      <c r="G31" s="208">
        <f>-tanks!AW35</f>
        <v>971.40000000002328</v>
      </c>
      <c r="H31" s="349">
        <f>SUM(tanks!AV35)</f>
        <v>0.56340000000000001</v>
      </c>
      <c r="I31" s="10">
        <f>('B5'!AU34)*0.51</f>
        <v>183.6</v>
      </c>
      <c r="J31" s="328">
        <f>'B5'!AX34/0.51</f>
        <v>1.3725490196078429</v>
      </c>
      <c r="K31" s="208">
        <f>WATER!I35</f>
        <v>71</v>
      </c>
      <c r="L31" s="350">
        <f>SUM(WATER!J35)</f>
        <v>3.4075420263516585</v>
      </c>
      <c r="M31" s="350">
        <f>WATER!Q35</f>
        <v>0</v>
      </c>
      <c r="N31" s="547">
        <v>0.6</v>
      </c>
      <c r="O31" s="10">
        <f>ELEC!B32</f>
        <v>79.349999999999994</v>
      </c>
    </row>
    <row r="32" spans="1:15">
      <c r="A32" t="s">
        <v>348</v>
      </c>
      <c r="B32">
        <f t="shared" si="0"/>
        <v>31</v>
      </c>
      <c r="C32">
        <v>12</v>
      </c>
      <c r="D32">
        <v>2019</v>
      </c>
      <c r="E32" s="208">
        <f>ELEC!N33</f>
        <v>16085</v>
      </c>
      <c r="F32" s="349">
        <f>SUM('EDl log'!T34)</f>
        <v>0.14031882713009858</v>
      </c>
      <c r="G32" s="208">
        <f>-tanks!AW36</f>
        <v>1284.7999999999884</v>
      </c>
      <c r="H32" s="349">
        <f>SUM(tanks!AV36)</f>
        <v>0.56340000000000001</v>
      </c>
      <c r="I32" s="10">
        <f>('B5'!AU35)*0.51</f>
        <v>137.69999999999999</v>
      </c>
      <c r="J32" s="328">
        <f>'B5'!AX35/0.51</f>
        <v>1.3725490196078429</v>
      </c>
      <c r="K32" s="208">
        <f>WATER!I36</f>
        <v>345</v>
      </c>
      <c r="L32" s="350">
        <f>SUM(WATER!J36)</f>
        <v>1.3363927068723702</v>
      </c>
      <c r="M32" s="350">
        <f>WATER!Q36</f>
        <v>0</v>
      </c>
      <c r="N32" s="547">
        <v>0.6</v>
      </c>
      <c r="O32" s="10">
        <f>ELEC!B33</f>
        <v>115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opLeftCell="A43" workbookViewId="0">
      <selection activeCell="K3" sqref="K3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2" t="s">
        <v>347</v>
      </c>
    </row>
    <row r="2" spans="1:13">
      <c r="A2" t="s">
        <v>348</v>
      </c>
      <c r="B2">
        <v>1</v>
      </c>
      <c r="C2">
        <v>12</v>
      </c>
      <c r="D2">
        <v>2019</v>
      </c>
      <c r="E2" s="208">
        <f>ELEC!M3</f>
        <v>3450</v>
      </c>
      <c r="F2" s="208">
        <f>ELEC!K3</f>
        <v>3210</v>
      </c>
      <c r="G2" s="208">
        <f>ELEC!I3</f>
        <v>2218</v>
      </c>
      <c r="H2" s="208">
        <f>ELEC!E3</f>
        <v>3450</v>
      </c>
      <c r="I2" s="208">
        <f>ELEC!G3</f>
        <v>2012.2000000001863</v>
      </c>
      <c r="J2" s="208">
        <f>WATER!Y6</f>
        <v>113</v>
      </c>
      <c r="K2" s="208">
        <f>WATER!AJ6</f>
        <v>35</v>
      </c>
      <c r="L2" s="10">
        <f>ELEC!B3</f>
        <v>35.994999999999997</v>
      </c>
      <c r="M2" s="10"/>
    </row>
    <row r="3" spans="1:13">
      <c r="A3" t="s">
        <v>348</v>
      </c>
      <c r="B3">
        <f>B2+1</f>
        <v>2</v>
      </c>
      <c r="C3">
        <v>12</v>
      </c>
      <c r="D3">
        <v>2019</v>
      </c>
      <c r="E3" s="208">
        <f>ELEC!M4</f>
        <v>4524</v>
      </c>
      <c r="F3" s="208">
        <f>ELEC!K4</f>
        <v>2202</v>
      </c>
      <c r="G3" s="208">
        <f>ELEC!I4</f>
        <v>2244</v>
      </c>
      <c r="H3" s="208">
        <f>ELEC!E4</f>
        <v>3828</v>
      </c>
      <c r="I3" s="208">
        <f>ELEC!G4</f>
        <v>2042</v>
      </c>
      <c r="J3" s="208">
        <f>WATER!Y7</f>
        <v>27</v>
      </c>
      <c r="K3" s="208">
        <f>WATER!AJ7</f>
        <v>21</v>
      </c>
      <c r="L3" s="10">
        <f>ELEC!B4</f>
        <v>29.991999999999997</v>
      </c>
      <c r="M3" s="10"/>
    </row>
    <row r="4" spans="1:13">
      <c r="A4" t="s">
        <v>348</v>
      </c>
      <c r="B4">
        <f t="shared" ref="B4:B32" si="0">B3+1</f>
        <v>3</v>
      </c>
      <c r="C4">
        <v>12</v>
      </c>
      <c r="D4">
        <v>2019</v>
      </c>
      <c r="E4" s="208">
        <f>ELEC!M5</f>
        <v>4354</v>
      </c>
      <c r="F4" s="208">
        <f>ELEC!K5</f>
        <v>1416</v>
      </c>
      <c r="G4" s="208">
        <f>ELEC!I5</f>
        <v>2516</v>
      </c>
      <c r="H4" s="208">
        <f>ELEC!E5</f>
        <v>4548</v>
      </c>
      <c r="I4" s="208">
        <f>ELEC!G5</f>
        <v>2277</v>
      </c>
      <c r="J4" s="208">
        <f>WATER!Y8</f>
        <v>104</v>
      </c>
      <c r="K4" s="208">
        <f>WATER!AJ8</f>
        <v>78</v>
      </c>
      <c r="L4" s="10">
        <f>ELEC!B5</f>
        <v>35.006</v>
      </c>
      <c r="M4" s="10"/>
    </row>
    <row r="5" spans="1:13">
      <c r="A5" t="s">
        <v>348</v>
      </c>
      <c r="B5">
        <f t="shared" si="0"/>
        <v>4</v>
      </c>
      <c r="C5">
        <v>12</v>
      </c>
      <c r="D5">
        <v>2019</v>
      </c>
      <c r="E5" s="208">
        <f>ELEC!M6</f>
        <v>3900</v>
      </c>
      <c r="F5" s="208">
        <f>ELEC!K6</f>
        <v>2232</v>
      </c>
      <c r="G5" s="208">
        <f>ELEC!I6</f>
        <v>2650</v>
      </c>
      <c r="H5" s="208">
        <f>ELEC!E6</f>
        <v>4648</v>
      </c>
      <c r="I5" s="208">
        <f>ELEC!G6</f>
        <v>2309</v>
      </c>
      <c r="J5" s="208">
        <f>WATER!Y9</f>
        <v>1</v>
      </c>
      <c r="K5" s="208">
        <f>WATER!AJ9</f>
        <v>0</v>
      </c>
      <c r="L5" s="10">
        <f>ELEC!B6</f>
        <v>41.009</v>
      </c>
      <c r="M5" s="10"/>
    </row>
    <row r="6" spans="1:13">
      <c r="A6" t="s">
        <v>348</v>
      </c>
      <c r="B6">
        <f t="shared" si="0"/>
        <v>5</v>
      </c>
      <c r="C6">
        <v>12</v>
      </c>
      <c r="D6">
        <v>2019</v>
      </c>
      <c r="E6" s="208">
        <f>ELEC!M7</f>
        <v>3310</v>
      </c>
      <c r="F6" s="208">
        <f>ELEC!K7</f>
        <v>1824</v>
      </c>
      <c r="G6" s="208">
        <f>ELEC!I7</f>
        <v>2222</v>
      </c>
      <c r="H6" s="208">
        <f>ELEC!E7</f>
        <v>4060</v>
      </c>
      <c r="I6" s="208">
        <f>ELEC!G7</f>
        <v>2057</v>
      </c>
      <c r="J6" s="208">
        <f>WATER!Y10</f>
        <v>11</v>
      </c>
      <c r="K6" s="208">
        <f>WATER!AJ10</f>
        <v>38</v>
      </c>
      <c r="L6" s="10">
        <f>ELEC!B7</f>
        <v>48.99</v>
      </c>
      <c r="M6" s="10"/>
    </row>
    <row r="7" spans="1:13">
      <c r="A7" t="s">
        <v>348</v>
      </c>
      <c r="B7">
        <f t="shared" si="0"/>
        <v>6</v>
      </c>
      <c r="C7">
        <v>12</v>
      </c>
      <c r="D7">
        <v>2019</v>
      </c>
      <c r="E7" s="208">
        <f>ELEC!M8</f>
        <v>3446</v>
      </c>
      <c r="F7" s="208">
        <f>ELEC!K8</f>
        <v>2080</v>
      </c>
      <c r="G7" s="208">
        <f>ELEC!I8</f>
        <v>2504</v>
      </c>
      <c r="H7" s="208">
        <f>ELEC!E8</f>
        <v>3720</v>
      </c>
      <c r="I7" s="208">
        <f>ELEC!G8</f>
        <v>2260.3999999999069</v>
      </c>
      <c r="J7" s="208">
        <f>WATER!Y11</f>
        <v>28</v>
      </c>
      <c r="K7" s="208">
        <f>WATER!AJ11</f>
        <v>15</v>
      </c>
      <c r="L7" s="10">
        <f>ELEC!B8</f>
        <v>40.94</v>
      </c>
      <c r="M7" s="10"/>
    </row>
    <row r="8" spans="1:13">
      <c r="A8" t="s">
        <v>348</v>
      </c>
      <c r="B8">
        <f t="shared" si="0"/>
        <v>7</v>
      </c>
      <c r="C8">
        <v>12</v>
      </c>
      <c r="D8">
        <v>2019</v>
      </c>
      <c r="E8" s="208">
        <f>ELEC!M9</f>
        <v>4540</v>
      </c>
      <c r="F8" s="208">
        <f>ELEC!K9</f>
        <v>2520</v>
      </c>
      <c r="G8" s="208">
        <f>ELEC!I9</f>
        <v>2602</v>
      </c>
      <c r="H8" s="208">
        <f>ELEC!E9</f>
        <v>3377</v>
      </c>
      <c r="I8" s="208">
        <f>ELEC!G9</f>
        <v>2246.6000000000931</v>
      </c>
      <c r="J8" s="208">
        <f>WATER!Y12</f>
        <v>33</v>
      </c>
      <c r="K8" s="208">
        <f>WATER!AJ12</f>
        <v>57</v>
      </c>
      <c r="L8" s="10">
        <f>ELEC!B9</f>
        <v>31.970000000000002</v>
      </c>
      <c r="M8" s="10"/>
    </row>
    <row r="9" spans="1:13">
      <c r="A9" t="s">
        <v>348</v>
      </c>
      <c r="B9">
        <f t="shared" si="0"/>
        <v>8</v>
      </c>
      <c r="C9">
        <v>12</v>
      </c>
      <c r="D9">
        <v>2019</v>
      </c>
      <c r="E9" s="208">
        <f>ELEC!M10</f>
        <v>5412</v>
      </c>
      <c r="F9" s="208">
        <f>ELEC!K10</f>
        <v>1704</v>
      </c>
      <c r="G9" s="208">
        <f>ELEC!I10</f>
        <v>2798</v>
      </c>
      <c r="H9" s="208">
        <f>ELEC!E10</f>
        <v>4255</v>
      </c>
      <c r="I9" s="208">
        <f>ELEC!G10</f>
        <v>2495</v>
      </c>
      <c r="J9" s="208">
        <f>WATER!Y13</f>
        <v>80</v>
      </c>
      <c r="K9" s="208">
        <f>WATER!AJ13</f>
        <v>44</v>
      </c>
      <c r="L9" s="10">
        <f>ELEC!B10</f>
        <v>37.306000000000004</v>
      </c>
      <c r="M9" s="10"/>
    </row>
    <row r="10" spans="1:13">
      <c r="A10" t="s">
        <v>348</v>
      </c>
      <c r="B10">
        <f t="shared" si="0"/>
        <v>9</v>
      </c>
      <c r="C10">
        <v>12</v>
      </c>
      <c r="D10">
        <v>2019</v>
      </c>
      <c r="E10" s="208">
        <f>ELEC!M11</f>
        <v>3200</v>
      </c>
      <c r="F10" s="208">
        <f>ELEC!K11</f>
        <v>1756</v>
      </c>
      <c r="G10" s="208">
        <f>ELEC!I11</f>
        <v>2430</v>
      </c>
      <c r="H10" s="208">
        <f>ELEC!E11</f>
        <v>4060</v>
      </c>
      <c r="I10" s="208">
        <f>ELEC!G11</f>
        <v>2069</v>
      </c>
      <c r="J10" s="208">
        <f>WATER!Y14</f>
        <v>78</v>
      </c>
      <c r="K10" s="208">
        <f>WATER!AJ14</f>
        <v>59</v>
      </c>
      <c r="L10" s="10">
        <f>ELEC!B11</f>
        <v>39.997</v>
      </c>
      <c r="M10" s="10"/>
    </row>
    <row r="11" spans="1:13">
      <c r="A11" t="s">
        <v>348</v>
      </c>
      <c r="B11">
        <f t="shared" si="0"/>
        <v>10</v>
      </c>
      <c r="C11">
        <v>12</v>
      </c>
      <c r="D11">
        <v>2019</v>
      </c>
      <c r="E11" s="208">
        <f>ELEC!M12</f>
        <v>3872</v>
      </c>
      <c r="F11" s="208">
        <f>ELEC!K12</f>
        <v>2888</v>
      </c>
      <c r="G11" s="208">
        <f>ELEC!I12</f>
        <v>2722</v>
      </c>
      <c r="H11" s="208">
        <f>ELEC!E12</f>
        <v>3728</v>
      </c>
      <c r="I11" s="208">
        <f>ELEC!G12</f>
        <v>2255</v>
      </c>
      <c r="J11" s="208">
        <f>WATER!Y15</f>
        <v>19</v>
      </c>
      <c r="K11" s="208">
        <f>WATER!AJ15</f>
        <v>10</v>
      </c>
      <c r="L11" s="10">
        <f>ELEC!B12</f>
        <v>43.01</v>
      </c>
      <c r="M11" s="10"/>
    </row>
    <row r="12" spans="1:13">
      <c r="A12" t="s">
        <v>348</v>
      </c>
      <c r="B12">
        <f t="shared" si="0"/>
        <v>11</v>
      </c>
      <c r="C12">
        <v>12</v>
      </c>
      <c r="D12">
        <v>2019</v>
      </c>
      <c r="E12" s="208">
        <f>ELEC!M13</f>
        <v>3464</v>
      </c>
      <c r="F12" s="208">
        <f>ELEC!K13</f>
        <v>2582</v>
      </c>
      <c r="G12" s="208">
        <f>ELEC!I13</f>
        <v>2336</v>
      </c>
      <c r="H12" s="208">
        <f>ELEC!E13</f>
        <v>3320</v>
      </c>
      <c r="I12" s="208">
        <f>ELEC!G13</f>
        <v>2175</v>
      </c>
      <c r="J12" s="208">
        <f>WATER!Y16</f>
        <v>130</v>
      </c>
      <c r="K12" s="208">
        <f>WATER!AJ16</f>
        <v>75</v>
      </c>
      <c r="L12" s="10">
        <f>ELEC!B13</f>
        <v>35.994999999999997</v>
      </c>
      <c r="M12" s="10"/>
    </row>
    <row r="13" spans="1:13">
      <c r="A13" t="s">
        <v>348</v>
      </c>
      <c r="B13">
        <f t="shared" si="0"/>
        <v>12</v>
      </c>
      <c r="C13">
        <v>12</v>
      </c>
      <c r="D13">
        <v>2019</v>
      </c>
      <c r="E13" s="208">
        <f>ELEC!M14</f>
        <v>4710</v>
      </c>
      <c r="F13" s="208">
        <f>ELEC!K14</f>
        <v>1540</v>
      </c>
      <c r="G13" s="208">
        <f>ELEC!I14</f>
        <v>2592</v>
      </c>
      <c r="H13" s="208">
        <f>ELEC!E14</f>
        <v>3472</v>
      </c>
      <c r="I13" s="208">
        <f>ELEC!G14</f>
        <v>2281</v>
      </c>
      <c r="J13" s="208">
        <f>WATER!Y17</f>
        <v>0</v>
      </c>
      <c r="K13" s="208">
        <f>WATER!AJ17</f>
        <v>0</v>
      </c>
      <c r="L13" s="10">
        <f>ELEC!B14</f>
        <v>50.002000000000002</v>
      </c>
      <c r="M13" s="10"/>
    </row>
    <row r="14" spans="1:13">
      <c r="A14" t="s">
        <v>348</v>
      </c>
      <c r="B14">
        <f t="shared" si="0"/>
        <v>13</v>
      </c>
      <c r="C14">
        <v>12</v>
      </c>
      <c r="D14">
        <v>2019</v>
      </c>
      <c r="E14" s="208">
        <f>ELEC!M15</f>
        <v>5078</v>
      </c>
      <c r="F14" s="208">
        <f>ELEC!K15</f>
        <v>1666</v>
      </c>
      <c r="G14" s="208">
        <f>ELEC!I15</f>
        <v>2620</v>
      </c>
      <c r="H14" s="208">
        <f>ELEC!E15</f>
        <v>3724</v>
      </c>
      <c r="I14" s="208">
        <f>ELEC!G15</f>
        <v>2281</v>
      </c>
      <c r="J14" s="208">
        <f>WATER!Y18</f>
        <v>100</v>
      </c>
      <c r="K14" s="208">
        <f>WATER!AJ18</f>
        <v>44</v>
      </c>
      <c r="L14" s="10">
        <f>ELEC!B15</f>
        <v>54.004000000000005</v>
      </c>
      <c r="M14" s="10"/>
    </row>
    <row r="15" spans="1:13">
      <c r="A15" t="s">
        <v>348</v>
      </c>
      <c r="B15">
        <f t="shared" si="0"/>
        <v>14</v>
      </c>
      <c r="C15">
        <v>12</v>
      </c>
      <c r="D15">
        <v>2019</v>
      </c>
      <c r="E15" s="208">
        <f>ELEC!M16</f>
        <v>4196</v>
      </c>
      <c r="F15" s="208">
        <f>ELEC!K16</f>
        <v>1712</v>
      </c>
      <c r="G15" s="208">
        <f>ELEC!I16</f>
        <v>2556</v>
      </c>
      <c r="H15" s="208">
        <f>ELEC!E16</f>
        <v>4952</v>
      </c>
      <c r="I15" s="208">
        <f>ELEC!G16</f>
        <v>2291</v>
      </c>
      <c r="J15" s="208">
        <f>WATER!Y19</f>
        <v>43</v>
      </c>
      <c r="K15" s="208">
        <f>WATER!AJ19</f>
        <v>31</v>
      </c>
      <c r="L15" s="10">
        <f>ELEC!B16</f>
        <v>39.008000000000003</v>
      </c>
      <c r="M15" s="10"/>
    </row>
    <row r="16" spans="1:13">
      <c r="A16" t="s">
        <v>348</v>
      </c>
      <c r="B16">
        <f t="shared" si="0"/>
        <v>15</v>
      </c>
      <c r="C16">
        <v>12</v>
      </c>
      <c r="D16">
        <v>2019</v>
      </c>
      <c r="E16" s="208">
        <f>ELEC!M17</f>
        <v>4692</v>
      </c>
      <c r="F16" s="208">
        <f>ELEC!K17</f>
        <v>1502</v>
      </c>
      <c r="G16" s="208">
        <f>ELEC!I17</f>
        <v>2064</v>
      </c>
      <c r="H16" s="208">
        <f>ELEC!E17</f>
        <v>2724</v>
      </c>
      <c r="I16" s="208">
        <f>ELEC!G17</f>
        <v>1883</v>
      </c>
      <c r="J16" s="208">
        <f>WATER!Y20</f>
        <v>142</v>
      </c>
      <c r="K16" s="208">
        <f>WATER!AJ20</f>
        <v>131</v>
      </c>
      <c r="L16" s="10">
        <f>ELEC!B17</f>
        <v>37.996000000000002</v>
      </c>
      <c r="M16" s="10"/>
    </row>
    <row r="17" spans="1:13">
      <c r="A17" t="s">
        <v>348</v>
      </c>
      <c r="B17">
        <f t="shared" si="0"/>
        <v>16</v>
      </c>
      <c r="C17">
        <v>12</v>
      </c>
      <c r="D17">
        <v>2019</v>
      </c>
      <c r="E17" s="208">
        <f>ELEC!M18</f>
        <v>5380</v>
      </c>
      <c r="F17" s="208">
        <f>ELEC!K18</f>
        <v>1894</v>
      </c>
      <c r="G17" s="208">
        <f>ELEC!I18</f>
        <v>2484</v>
      </c>
      <c r="H17" s="208">
        <f>ELEC!E18</f>
        <v>3368</v>
      </c>
      <c r="I17" s="208">
        <f>ELEC!G18</f>
        <v>2415</v>
      </c>
      <c r="J17" s="208">
        <f>WATER!Y21</f>
        <v>0</v>
      </c>
      <c r="K17" s="208">
        <f>WATER!AJ21</f>
        <v>4</v>
      </c>
      <c r="L17" s="10">
        <f>ELEC!B18</f>
        <v>31.970000000000002</v>
      </c>
      <c r="M17" s="10"/>
    </row>
    <row r="18" spans="1:13">
      <c r="A18" t="s">
        <v>348</v>
      </c>
      <c r="B18">
        <f t="shared" si="0"/>
        <v>17</v>
      </c>
      <c r="C18">
        <v>12</v>
      </c>
      <c r="D18">
        <v>2019</v>
      </c>
      <c r="E18" s="208">
        <f>ELEC!M19</f>
        <v>4914</v>
      </c>
      <c r="F18" s="208">
        <f>ELEC!K19</f>
        <v>1854</v>
      </c>
      <c r="G18" s="208">
        <f>ELEC!I19</f>
        <v>2430</v>
      </c>
      <c r="H18" s="208">
        <f>ELEC!E19</f>
        <v>3968</v>
      </c>
      <c r="I18" s="208">
        <f>ELEC!G19</f>
        <v>2343.6000000000931</v>
      </c>
      <c r="J18" s="208">
        <f>WATER!Y22</f>
        <v>0</v>
      </c>
      <c r="K18" s="208">
        <f>WATER!AJ22</f>
        <v>3</v>
      </c>
      <c r="L18" s="10">
        <f>ELEC!B19</f>
        <v>35.006</v>
      </c>
      <c r="M18" s="10"/>
    </row>
    <row r="19" spans="1:13">
      <c r="A19" t="s">
        <v>348</v>
      </c>
      <c r="B19">
        <f t="shared" si="0"/>
        <v>18</v>
      </c>
      <c r="C19">
        <v>12</v>
      </c>
      <c r="D19">
        <v>2019</v>
      </c>
      <c r="E19" s="208">
        <f>ELEC!M20</f>
        <v>3714</v>
      </c>
      <c r="F19" s="208">
        <f>ELEC!K20</f>
        <v>2442</v>
      </c>
      <c r="G19" s="208">
        <f>ELEC!I20</f>
        <v>2454</v>
      </c>
      <c r="H19" s="208">
        <f>ELEC!E20</f>
        <v>4214</v>
      </c>
      <c r="I19" s="208">
        <f>ELEC!G20</f>
        <v>2260.3999999999069</v>
      </c>
      <c r="J19" s="208">
        <f>WATER!Y23</f>
        <v>72</v>
      </c>
      <c r="K19" s="208">
        <f>WATER!AJ23</f>
        <v>45</v>
      </c>
      <c r="L19" s="10">
        <f>ELEC!B20</f>
        <v>39.008000000000003</v>
      </c>
      <c r="M19" s="10"/>
    </row>
    <row r="20" spans="1:13">
      <c r="A20" t="s">
        <v>348</v>
      </c>
      <c r="B20">
        <f t="shared" si="0"/>
        <v>19</v>
      </c>
      <c r="C20">
        <v>12</v>
      </c>
      <c r="D20">
        <v>2019</v>
      </c>
      <c r="E20" s="208">
        <f>ELEC!M21</f>
        <v>4612</v>
      </c>
      <c r="F20" s="208">
        <f>ELEC!K21</f>
        <v>2548</v>
      </c>
      <c r="G20" s="208">
        <f>ELEC!I21</f>
        <v>2692</v>
      </c>
      <c r="H20" s="208">
        <f>ELEC!E21</f>
        <v>3906</v>
      </c>
      <c r="I20" s="208">
        <f>ELEC!G21</f>
        <v>2436</v>
      </c>
      <c r="J20" s="208">
        <f>WATER!Y24</f>
        <v>91</v>
      </c>
      <c r="K20" s="208">
        <f>WATER!AJ24</f>
        <v>58</v>
      </c>
      <c r="L20" s="10">
        <f>ELEC!B21</f>
        <v>39.997</v>
      </c>
      <c r="M20" s="10"/>
    </row>
    <row r="21" spans="1:13">
      <c r="A21" t="s">
        <v>348</v>
      </c>
      <c r="B21">
        <f t="shared" si="0"/>
        <v>20</v>
      </c>
      <c r="C21">
        <v>12</v>
      </c>
      <c r="D21">
        <v>2019</v>
      </c>
      <c r="E21" s="208">
        <f>ELEC!M22</f>
        <v>3686</v>
      </c>
      <c r="F21" s="208">
        <f>ELEC!K22</f>
        <v>2914</v>
      </c>
      <c r="G21" s="208">
        <f>ELEC!I22</f>
        <v>2518</v>
      </c>
      <c r="H21" s="208">
        <f>ELEC!E22</f>
        <v>4424</v>
      </c>
      <c r="I21" s="208">
        <f>ELEC!G22</f>
        <v>2418</v>
      </c>
      <c r="J21" s="208">
        <f>WATER!Y25</f>
        <v>55</v>
      </c>
      <c r="K21" s="208">
        <f>WATER!AJ25</f>
        <v>13</v>
      </c>
      <c r="L21" s="10">
        <f>ELEC!B22</f>
        <v>56.994</v>
      </c>
      <c r="M21" s="10"/>
    </row>
    <row r="22" spans="1:13">
      <c r="A22" t="s">
        <v>348</v>
      </c>
      <c r="B22">
        <f t="shared" si="0"/>
        <v>21</v>
      </c>
      <c r="C22">
        <v>12</v>
      </c>
      <c r="D22">
        <v>2019</v>
      </c>
      <c r="E22" s="208">
        <f>ELEC!M23</f>
        <v>3642</v>
      </c>
      <c r="F22" s="208">
        <f>ELEC!K23</f>
        <v>2464</v>
      </c>
      <c r="G22" s="208">
        <f>ELEC!I23</f>
        <v>2506</v>
      </c>
      <c r="H22" s="208">
        <f>ELEC!E23</f>
        <v>3376</v>
      </c>
      <c r="I22" s="208">
        <f>ELEC!G23</f>
        <v>2277.2000000001863</v>
      </c>
      <c r="J22" s="208">
        <f>WATER!Y26</f>
        <v>4</v>
      </c>
      <c r="K22" s="208">
        <f>WATER!AJ26</f>
        <v>11</v>
      </c>
      <c r="L22" s="10">
        <f>ELEC!B23</f>
        <v>41.998000000000005</v>
      </c>
      <c r="M22" s="10"/>
    </row>
    <row r="23" spans="1:13">
      <c r="A23" t="s">
        <v>348</v>
      </c>
      <c r="B23">
        <f t="shared" si="0"/>
        <v>22</v>
      </c>
      <c r="C23">
        <v>12</v>
      </c>
      <c r="D23">
        <v>2019</v>
      </c>
      <c r="E23" s="208">
        <f>ELEC!M24</f>
        <v>4036</v>
      </c>
      <c r="F23" s="208">
        <f>ELEC!K24</f>
        <v>1778</v>
      </c>
      <c r="G23" s="208">
        <f>ELEC!I24</f>
        <v>2580</v>
      </c>
      <c r="H23" s="208">
        <f>ELEC!E24</f>
        <v>4422</v>
      </c>
      <c r="I23" s="208">
        <f>ELEC!G24</f>
        <v>2358.7999999998137</v>
      </c>
      <c r="J23" s="208">
        <f>WATER!Y27</f>
        <v>90</v>
      </c>
      <c r="K23" s="208">
        <f>WATER!AJ27</f>
        <v>38</v>
      </c>
      <c r="L23" s="10">
        <f>ELEC!B24</f>
        <v>60.007000000000005</v>
      </c>
      <c r="M23" s="10"/>
    </row>
    <row r="24" spans="1:13">
      <c r="A24" t="s">
        <v>348</v>
      </c>
      <c r="B24">
        <f t="shared" si="0"/>
        <v>23</v>
      </c>
      <c r="C24">
        <v>12</v>
      </c>
      <c r="D24">
        <v>2019</v>
      </c>
      <c r="E24" s="208">
        <f>ELEC!M25</f>
        <v>5982</v>
      </c>
      <c r="F24" s="208">
        <f>ELEC!K25</f>
        <v>2244</v>
      </c>
      <c r="G24" s="208">
        <f>ELEC!I25</f>
        <v>2610</v>
      </c>
      <c r="H24" s="208">
        <f>ELEC!E25</f>
        <v>4300</v>
      </c>
      <c r="I24" s="208">
        <f>ELEC!G25</f>
        <v>2377.2000000001863</v>
      </c>
      <c r="J24" s="208">
        <f>WATER!Y28</f>
        <v>46</v>
      </c>
      <c r="K24" s="208">
        <f>WATER!AJ28</f>
        <v>44</v>
      </c>
      <c r="L24" s="10">
        <f>ELEC!B25</f>
        <v>58.995000000000005</v>
      </c>
      <c r="M24" s="10"/>
    </row>
    <row r="25" spans="1:13">
      <c r="A25" t="s">
        <v>348</v>
      </c>
      <c r="B25">
        <f t="shared" si="0"/>
        <v>24</v>
      </c>
      <c r="C25">
        <v>12</v>
      </c>
      <c r="D25">
        <v>2019</v>
      </c>
      <c r="E25" s="208">
        <f>ELEC!M26</f>
        <v>5414</v>
      </c>
      <c r="F25" s="208">
        <f>ELEC!K26</f>
        <v>1448</v>
      </c>
      <c r="G25" s="208">
        <f>ELEC!I26</f>
        <v>2446</v>
      </c>
      <c r="H25" s="208">
        <f>ELEC!E26</f>
        <v>3618</v>
      </c>
      <c r="I25" s="208">
        <f>ELEC!G26</f>
        <v>2466.7999999998137</v>
      </c>
      <c r="J25" s="208">
        <f>WATER!Y29</f>
        <v>53</v>
      </c>
      <c r="K25" s="208">
        <f>WATER!AJ29</f>
        <v>45</v>
      </c>
      <c r="L25" s="10">
        <f>ELEC!B26</f>
        <v>50.002000000000002</v>
      </c>
      <c r="M25" s="10"/>
    </row>
    <row r="26" spans="1:13">
      <c r="A26" t="s">
        <v>348</v>
      </c>
      <c r="B26">
        <f>B25+1</f>
        <v>25</v>
      </c>
      <c r="C26">
        <v>12</v>
      </c>
      <c r="D26">
        <v>2019</v>
      </c>
      <c r="E26" s="208">
        <f>ELEC!M27</f>
        <v>3940</v>
      </c>
      <c r="F26" s="208">
        <f>ELEC!K27</f>
        <v>1312</v>
      </c>
      <c r="G26" s="208">
        <f>ELEC!I27</f>
        <v>2402</v>
      </c>
      <c r="H26" s="208">
        <f>ELEC!E27</f>
        <v>3644</v>
      </c>
      <c r="I26" s="208">
        <f>ELEC!G27</f>
        <v>2396</v>
      </c>
      <c r="J26" s="208">
        <f>WATER!Y30</f>
        <v>69</v>
      </c>
      <c r="K26" s="208">
        <f>WATER!AJ30</f>
        <v>67</v>
      </c>
      <c r="L26" s="10">
        <f>ELEC!B27</f>
        <v>46.989000000000004</v>
      </c>
      <c r="M26" s="10"/>
    </row>
    <row r="27" spans="1:13">
      <c r="A27" t="s">
        <v>348</v>
      </c>
      <c r="B27">
        <f t="shared" si="0"/>
        <v>26</v>
      </c>
      <c r="C27">
        <v>12</v>
      </c>
      <c r="D27">
        <v>2019</v>
      </c>
      <c r="E27" s="208">
        <f>ELEC!M28</f>
        <v>3732</v>
      </c>
      <c r="F27" s="208">
        <f>ELEC!K28</f>
        <v>2384</v>
      </c>
      <c r="G27" s="208">
        <f>ELEC!I28</f>
        <v>2342</v>
      </c>
      <c r="H27" s="208">
        <f>ELEC!E28</f>
        <v>3072</v>
      </c>
      <c r="I27" s="208">
        <f>ELEC!G28</f>
        <v>2290</v>
      </c>
      <c r="J27" s="208">
        <f>WATER!Y31</f>
        <v>4</v>
      </c>
      <c r="K27" s="208">
        <f>WATER!AJ31</f>
        <v>27</v>
      </c>
      <c r="L27" s="10">
        <f>ELEC!B28</f>
        <v>50.002000000000002</v>
      </c>
      <c r="M27" s="10"/>
    </row>
    <row r="28" spans="1:13">
      <c r="A28" t="s">
        <v>348</v>
      </c>
      <c r="B28">
        <f t="shared" si="0"/>
        <v>27</v>
      </c>
      <c r="C28">
        <v>12</v>
      </c>
      <c r="D28">
        <v>2019</v>
      </c>
      <c r="E28" s="208">
        <f>ELEC!M29</f>
        <v>6116</v>
      </c>
      <c r="F28" s="208">
        <f>ELEC!K29</f>
        <v>1584</v>
      </c>
      <c r="G28" s="208">
        <f>ELEC!I29</f>
        <v>2542</v>
      </c>
      <c r="H28" s="208">
        <f>ELEC!E29</f>
        <v>3792</v>
      </c>
      <c r="I28" s="208">
        <f>ELEC!G29</f>
        <v>2554</v>
      </c>
      <c r="J28" s="208">
        <f>WATER!Y32</f>
        <v>111</v>
      </c>
      <c r="K28" s="208">
        <f>WATER!AJ32</f>
        <v>48</v>
      </c>
      <c r="L28" s="10">
        <f>ELEC!B29</f>
        <v>66.998999999999995</v>
      </c>
      <c r="M28" s="10"/>
    </row>
    <row r="29" spans="1:13">
      <c r="A29" t="s">
        <v>348</v>
      </c>
      <c r="B29">
        <f t="shared" si="0"/>
        <v>28</v>
      </c>
      <c r="C29">
        <v>12</v>
      </c>
      <c r="D29">
        <v>2019</v>
      </c>
      <c r="E29" s="208">
        <f>ELEC!M30</f>
        <v>4976</v>
      </c>
      <c r="F29" s="208">
        <f>ELEC!K30</f>
        <v>1784</v>
      </c>
      <c r="G29" s="208">
        <f>ELEC!I30</f>
        <v>2572</v>
      </c>
      <c r="H29" s="208">
        <f>ELEC!E30</f>
        <v>3834</v>
      </c>
      <c r="I29" s="208">
        <f>ELEC!G30</f>
        <v>2516</v>
      </c>
      <c r="J29" s="208">
        <f>WATER!Y33</f>
        <v>0</v>
      </c>
      <c r="K29" s="208">
        <f>WATER!AJ33</f>
        <v>1</v>
      </c>
      <c r="L29" s="10">
        <f>ELEC!B30</f>
        <v>66.998999999999995</v>
      </c>
      <c r="M29" s="10"/>
    </row>
    <row r="30" spans="1:13">
      <c r="A30" t="s">
        <v>348</v>
      </c>
      <c r="B30">
        <f t="shared" si="0"/>
        <v>29</v>
      </c>
      <c r="C30">
        <v>12</v>
      </c>
      <c r="D30">
        <v>2019</v>
      </c>
      <c r="E30" s="208">
        <f>ELEC!M31</f>
        <v>4694</v>
      </c>
      <c r="F30" s="208">
        <f>ELEC!K31</f>
        <v>2632</v>
      </c>
      <c r="G30" s="208">
        <f>ELEC!I31</f>
        <v>2730</v>
      </c>
      <c r="H30" s="208">
        <f>ELEC!E31</f>
        <v>4974</v>
      </c>
      <c r="I30" s="208">
        <f>ELEC!G31</f>
        <v>2643</v>
      </c>
      <c r="J30" s="208">
        <f>WATER!Y34</f>
        <v>84</v>
      </c>
      <c r="K30" s="208">
        <f>WATER!AJ34</f>
        <v>97</v>
      </c>
      <c r="L30" s="10">
        <f>ELEC!B31</f>
        <v>79.349999999999994</v>
      </c>
      <c r="M30" s="10"/>
    </row>
    <row r="31" spans="1:13">
      <c r="A31" t="s">
        <v>348</v>
      </c>
      <c r="B31">
        <f t="shared" si="0"/>
        <v>30</v>
      </c>
      <c r="C31">
        <v>12</v>
      </c>
      <c r="D31">
        <v>2019</v>
      </c>
      <c r="E31" s="208">
        <f>ELEC!M32</f>
        <v>5662</v>
      </c>
      <c r="F31" s="208">
        <f>ELEC!K32</f>
        <v>2060</v>
      </c>
      <c r="G31" s="208">
        <f>ELEC!I32</f>
        <v>2816</v>
      </c>
      <c r="H31" s="208">
        <f>ELEC!E32</f>
        <v>5010</v>
      </c>
      <c r="I31" s="208">
        <f>ELEC!G32</f>
        <v>2613</v>
      </c>
      <c r="J31" s="208">
        <f>WATER!Y35</f>
        <v>41</v>
      </c>
      <c r="K31" s="208">
        <f>WATER!AJ35</f>
        <v>23</v>
      </c>
      <c r="L31" s="10">
        <f>ELEC!B32</f>
        <v>79.349999999999994</v>
      </c>
      <c r="M31" s="10"/>
    </row>
    <row r="32" spans="1:13">
      <c r="A32" t="s">
        <v>348</v>
      </c>
      <c r="B32">
        <f t="shared" si="0"/>
        <v>31</v>
      </c>
      <c r="C32">
        <v>12</v>
      </c>
      <c r="D32">
        <v>2019</v>
      </c>
      <c r="E32" s="208">
        <f>ELEC!M33</f>
        <v>4076</v>
      </c>
      <c r="F32" s="208">
        <f>ELEC!K33</f>
        <v>3048</v>
      </c>
      <c r="G32" s="208">
        <f>ELEC!I33</f>
        <v>2804</v>
      </c>
      <c r="H32" s="208">
        <f>ELEC!E33</f>
        <v>3678</v>
      </c>
      <c r="I32" s="208">
        <f>ELEC!G33</f>
        <v>2479</v>
      </c>
      <c r="J32" s="208">
        <f>WATER!Y36</f>
        <v>114</v>
      </c>
      <c r="K32" s="208">
        <f>WATER!AJ36</f>
        <v>94</v>
      </c>
      <c r="L32" s="10">
        <f>ELEC!B33</f>
        <v>115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topLeftCell="V1" zoomScaleNormal="100" zoomScaleSheetLayoutView="100" workbookViewId="0">
      <pane ySplit="1" topLeftCell="A17" activePane="bottomLeft" state="frozen"/>
      <selection activeCell="C1" sqref="C1"/>
      <selection pane="bottomLeft" activeCell="Z33" sqref="Z33"/>
    </sheetView>
  </sheetViews>
  <sheetFormatPr defaultRowHeight="15"/>
  <cols>
    <col min="1" max="1" width="7.7109375" style="504" bestFit="1" customWidth="1"/>
    <col min="2" max="2" width="10.28515625" style="513" bestFit="1" customWidth="1"/>
    <col min="3" max="3" width="11.5703125" style="504" customWidth="1"/>
    <col min="4" max="4" width="18" style="514" bestFit="1" customWidth="1"/>
    <col min="5" max="5" width="14.42578125" style="514" bestFit="1" customWidth="1"/>
    <col min="6" max="6" width="15.28515625" style="514" bestFit="1" customWidth="1"/>
    <col min="7" max="7" width="12" style="514" bestFit="1" customWidth="1"/>
    <col min="8" max="8" width="18" style="514" bestFit="1" customWidth="1"/>
    <col min="9" max="9" width="13" style="514" bestFit="1" customWidth="1"/>
    <col min="10" max="10" width="18" style="514" bestFit="1" customWidth="1"/>
    <col min="11" max="11" width="11.7109375" style="514" bestFit="1" customWidth="1"/>
    <col min="12" max="12" width="18" style="514" bestFit="1" customWidth="1"/>
    <col min="13" max="13" width="12" style="514" bestFit="1" customWidth="1"/>
    <col min="14" max="14" width="15.42578125" style="504" bestFit="1" customWidth="1"/>
    <col min="15" max="15" width="13.140625" style="515" bestFit="1" customWidth="1"/>
    <col min="16" max="16" width="14.28515625" style="504" bestFit="1" customWidth="1"/>
    <col min="17" max="17" width="13.7109375" style="504" bestFit="1" customWidth="1"/>
    <col min="18" max="18" width="12.42578125" style="504" bestFit="1" customWidth="1"/>
    <col min="19" max="21" width="11.5703125" style="504" bestFit="1" customWidth="1"/>
    <col min="22" max="22" width="13.140625" style="504" bestFit="1" customWidth="1"/>
    <col min="23" max="25" width="11.5703125" style="504" bestFit="1" customWidth="1"/>
    <col min="26" max="26" width="13.140625" style="504" bestFit="1" customWidth="1"/>
    <col min="27" max="29" width="11.5703125" style="504" bestFit="1" customWidth="1"/>
    <col min="30" max="30" width="13.140625" style="504" bestFit="1" customWidth="1"/>
    <col min="31" max="32" width="11.5703125" style="504" bestFit="1" customWidth="1"/>
    <col min="33" max="33" width="14.42578125" style="504" bestFit="1" customWidth="1"/>
    <col min="34" max="34" width="9.140625" style="504"/>
    <col min="35" max="35" width="9.7109375" style="504" bestFit="1" customWidth="1"/>
    <col min="36" max="16384" width="9.140625" style="504"/>
  </cols>
  <sheetData>
    <row r="1" spans="1:115" s="488" customFormat="1" ht="18.75" customHeight="1">
      <c r="A1" s="488" t="s">
        <v>19</v>
      </c>
      <c r="B1" s="489" t="s">
        <v>155</v>
      </c>
      <c r="C1" s="490"/>
      <c r="D1" s="491" t="s">
        <v>20</v>
      </c>
      <c r="E1" s="491" t="s">
        <v>21</v>
      </c>
      <c r="F1" s="491" t="s">
        <v>22</v>
      </c>
      <c r="G1" s="491" t="s">
        <v>23</v>
      </c>
      <c r="H1" s="491" t="s">
        <v>24</v>
      </c>
      <c r="I1" s="491" t="s">
        <v>25</v>
      </c>
      <c r="J1" s="491" t="s">
        <v>26</v>
      </c>
      <c r="K1" s="491" t="s">
        <v>27</v>
      </c>
      <c r="L1" s="491" t="s">
        <v>28</v>
      </c>
      <c r="M1" s="491" t="s">
        <v>29</v>
      </c>
      <c r="N1" s="492" t="s">
        <v>30</v>
      </c>
      <c r="O1" s="493" t="s">
        <v>156</v>
      </c>
      <c r="P1" s="494" t="s">
        <v>329</v>
      </c>
      <c r="Q1" s="492" t="s">
        <v>31</v>
      </c>
      <c r="R1" s="492" t="s">
        <v>32</v>
      </c>
      <c r="S1" s="492" t="s">
        <v>364</v>
      </c>
      <c r="T1" s="492" t="s">
        <v>33</v>
      </c>
      <c r="U1" s="492" t="s">
        <v>34</v>
      </c>
      <c r="V1" s="492" t="s">
        <v>35</v>
      </c>
      <c r="W1" s="492" t="s">
        <v>36</v>
      </c>
      <c r="X1" s="492" t="s">
        <v>33</v>
      </c>
      <c r="Y1" s="492" t="s">
        <v>37</v>
      </c>
      <c r="Z1" s="492" t="s">
        <v>38</v>
      </c>
      <c r="AA1" s="492" t="s">
        <v>39</v>
      </c>
      <c r="AB1" s="492" t="s">
        <v>33</v>
      </c>
      <c r="AC1" s="492" t="s">
        <v>77</v>
      </c>
      <c r="AD1" s="492" t="s">
        <v>40</v>
      </c>
      <c r="AE1" s="492" t="s">
        <v>41</v>
      </c>
      <c r="AF1" s="492" t="s">
        <v>42</v>
      </c>
      <c r="AG1" s="488" t="s">
        <v>132</v>
      </c>
    </row>
    <row r="2" spans="1:115" s="487" customFormat="1">
      <c r="A2" s="551">
        <v>0.1391</v>
      </c>
      <c r="B2" s="551">
        <v>0.1391</v>
      </c>
      <c r="C2" s="496">
        <v>43799</v>
      </c>
      <c r="D2" s="520">
        <f>[1]ELEC!D32</f>
        <v>31186772</v>
      </c>
      <c r="E2" s="520">
        <f>[1]ELEC!E32</f>
        <v>4138</v>
      </c>
      <c r="F2" s="520">
        <f>[1]ELEC!F32</f>
        <v>3359570.8</v>
      </c>
      <c r="G2" s="520">
        <f>[1]ELEC!G32</f>
        <v>1999.5999999996275</v>
      </c>
      <c r="H2" s="520">
        <f>[1]ELEC!H32</f>
        <v>17141916</v>
      </c>
      <c r="I2" s="520">
        <f>[1]ELEC!I32</f>
        <v>2298</v>
      </c>
      <c r="J2" s="520">
        <f>[1]ELEC!J32</f>
        <v>28164866</v>
      </c>
      <c r="K2" s="520">
        <f>[1]ELEC!K32</f>
        <v>2448</v>
      </c>
      <c r="L2" s="520">
        <f>[1]ELEC!L32</f>
        <v>22386122</v>
      </c>
      <c r="M2" s="520">
        <f>[1]ELEC!M32</f>
        <v>3534</v>
      </c>
      <c r="N2" s="520">
        <f>[1]ELEC!N32</f>
        <v>14417.599999999627</v>
      </c>
      <c r="O2" s="520">
        <f>[1]ELEC!O32</f>
        <v>554.73643709117459</v>
      </c>
      <c r="P2" s="520">
        <f>[1]ELEC!P32</f>
        <v>15136.3</v>
      </c>
      <c r="Q2" s="520">
        <f>[1]ELEC!Q32</f>
        <v>1947.9999999985012</v>
      </c>
      <c r="R2" s="520">
        <f>[1]ELEC!R32</f>
        <v>12469.600000001126</v>
      </c>
      <c r="S2" s="520">
        <f>[1]ELEC!S32</f>
        <v>8243</v>
      </c>
      <c r="T2" s="520">
        <f>[1]ELEC!T32</f>
        <v>0</v>
      </c>
      <c r="U2" s="520">
        <f>[1]ELEC!U32</f>
        <v>997154</v>
      </c>
      <c r="V2" s="520">
        <f>[1]ELEC!V32</f>
        <v>0</v>
      </c>
      <c r="W2" s="520">
        <f>[1]ELEC!W32</f>
        <v>31713</v>
      </c>
      <c r="X2" s="520">
        <f>[1]ELEC!X32</f>
        <v>5</v>
      </c>
      <c r="Y2" s="520">
        <f>[1]ELEC!Y32</f>
        <v>600518</v>
      </c>
      <c r="Z2" s="520">
        <f>[1]ELEC!Z32</f>
        <v>1004</v>
      </c>
      <c r="AA2" s="520">
        <f>[1]ELEC!AA32</f>
        <v>34784</v>
      </c>
      <c r="AB2" s="520">
        <f>[1]ELEC!AB32</f>
        <v>2</v>
      </c>
      <c r="AC2" s="520">
        <f>[1]ELEC!AC32</f>
        <v>722860</v>
      </c>
      <c r="AD2" s="520">
        <f>[1]ELEC!AD32</f>
        <v>643</v>
      </c>
      <c r="AE2" s="520">
        <f>[1]ELEC!AE32</f>
        <v>7</v>
      </c>
      <c r="AF2" s="520">
        <f>[1]ELEC!AF32</f>
        <v>1647</v>
      </c>
      <c r="AG2" s="520">
        <f>[1]ELEC!AG32</f>
        <v>235.28571428571428</v>
      </c>
      <c r="AH2" s="520">
        <f>[1]ELEC!AH32</f>
        <v>0</v>
      </c>
      <c r="AI2" s="520">
        <f>[1]ELEC!AI32</f>
        <v>-49039346.399999999</v>
      </c>
      <c r="AJ2" s="520"/>
      <c r="AK2" s="520"/>
      <c r="AL2" s="520"/>
      <c r="AM2" s="520"/>
      <c r="AN2" s="520"/>
      <c r="AO2" s="520"/>
      <c r="AP2" s="520"/>
      <c r="AQ2" s="520"/>
      <c r="AR2" s="520"/>
      <c r="AS2" s="520"/>
      <c r="AT2" s="520"/>
      <c r="AU2" s="520"/>
      <c r="AV2" s="520"/>
      <c r="AW2" s="520"/>
      <c r="AX2" s="520"/>
      <c r="AY2" s="520"/>
      <c r="AZ2" s="520"/>
      <c r="BA2" s="520"/>
      <c r="BB2" s="520"/>
      <c r="BC2" s="520"/>
      <c r="BD2" s="520"/>
      <c r="BE2" s="520"/>
      <c r="BF2" s="520"/>
      <c r="BG2" s="520"/>
      <c r="BH2" s="520"/>
      <c r="BI2" s="520"/>
      <c r="BJ2" s="520"/>
      <c r="BK2" s="520"/>
      <c r="BL2" s="520"/>
      <c r="BM2" s="520"/>
      <c r="BN2" s="520"/>
      <c r="BO2" s="520"/>
      <c r="BP2" s="520"/>
      <c r="BQ2" s="520"/>
      <c r="BR2" s="520"/>
      <c r="BS2" s="520"/>
      <c r="BT2" s="520"/>
      <c r="BU2" s="520"/>
      <c r="BV2" s="520"/>
      <c r="BW2" s="520"/>
      <c r="BX2" s="520"/>
      <c r="BY2" s="520"/>
      <c r="BZ2" s="520"/>
      <c r="CA2" s="520"/>
      <c r="CB2" s="520"/>
      <c r="CC2" s="520"/>
      <c r="CD2" s="520"/>
      <c r="CE2" s="520"/>
      <c r="CF2" s="520"/>
      <c r="CG2" s="520"/>
      <c r="CH2" s="520"/>
      <c r="CI2" s="520"/>
      <c r="CJ2" s="520"/>
      <c r="CK2" s="520"/>
      <c r="CL2" s="520"/>
      <c r="CM2" s="520"/>
      <c r="CN2" s="520"/>
      <c r="CO2" s="520"/>
      <c r="CP2" s="520"/>
      <c r="CQ2" s="520"/>
      <c r="CR2" s="520"/>
      <c r="CS2" s="520"/>
      <c r="CT2" s="520"/>
      <c r="CU2" s="520"/>
      <c r="CV2" s="520"/>
      <c r="CW2" s="520"/>
      <c r="CX2" s="520"/>
      <c r="CY2" s="520"/>
      <c r="CZ2" s="520"/>
      <c r="DA2" s="520"/>
      <c r="DB2" s="520"/>
      <c r="DC2" s="520"/>
      <c r="DD2" s="520"/>
      <c r="DE2" s="520"/>
      <c r="DF2" s="520"/>
      <c r="DG2" s="520"/>
      <c r="DH2" s="520"/>
      <c r="DI2" s="520"/>
      <c r="DJ2" s="520"/>
      <c r="DK2" s="520"/>
    </row>
    <row r="3" spans="1:115">
      <c r="A3" s="495">
        <f>'General information '!F6</f>
        <v>0.1565</v>
      </c>
      <c r="B3" s="489">
        <f>SUM(230*A3)</f>
        <v>35.994999999999997</v>
      </c>
      <c r="C3" s="496">
        <v>43800</v>
      </c>
      <c r="D3" s="483">
        <v>31190222</v>
      </c>
      <c r="E3" s="484">
        <f>D3-D2</f>
        <v>3450</v>
      </c>
      <c r="F3" s="483">
        <v>3361583</v>
      </c>
      <c r="G3" s="485">
        <f t="shared" ref="G3:G31" si="0">F3-F2</f>
        <v>2012.2000000001863</v>
      </c>
      <c r="H3" s="483">
        <v>17144134</v>
      </c>
      <c r="I3" s="485">
        <f>H3-H2</f>
        <v>2218</v>
      </c>
      <c r="J3" s="483">
        <v>28168076</v>
      </c>
      <c r="K3" s="485">
        <f>J3-J2</f>
        <v>3210</v>
      </c>
      <c r="L3" s="483">
        <v>22389572</v>
      </c>
      <c r="M3" s="485">
        <f>L3-L2</f>
        <v>3450</v>
      </c>
      <c r="N3" s="486">
        <f>M3+K3+I3+G3+E3</f>
        <v>14340.200000000186</v>
      </c>
      <c r="O3" s="497">
        <f t="shared" ref="O3:O9" si="1">IF(B3&gt;0,N3/B3,0)</f>
        <v>398.39422141964684</v>
      </c>
      <c r="P3" s="483">
        <v>15138.832</v>
      </c>
      <c r="Q3" s="498">
        <f>(P3-P2)*1000</f>
        <v>2532.0000000010623</v>
      </c>
      <c r="R3" s="499">
        <f>+N3-Q3</f>
        <v>11808.199999999124</v>
      </c>
      <c r="S3" s="483">
        <v>8243</v>
      </c>
      <c r="T3" s="500">
        <f t="shared" ref="T3:T32" si="2">S3-S2</f>
        <v>0</v>
      </c>
      <c r="U3" s="483">
        <v>997154</v>
      </c>
      <c r="V3" s="498">
        <f>U3-U2</f>
        <v>0</v>
      </c>
      <c r="W3" s="483">
        <v>31722</v>
      </c>
      <c r="X3" s="498">
        <f t="shared" ref="X3:X8" si="3">W3-W2</f>
        <v>9</v>
      </c>
      <c r="Y3" s="483">
        <v>602126</v>
      </c>
      <c r="Z3" s="498">
        <f>Y3-Y2</f>
        <v>1608</v>
      </c>
      <c r="AA3" s="483">
        <v>34785</v>
      </c>
      <c r="AB3" s="498">
        <f>AA3-AA2</f>
        <v>1</v>
      </c>
      <c r="AC3" s="483">
        <v>723032</v>
      </c>
      <c r="AD3" s="501">
        <f>AC3-AC2</f>
        <v>172</v>
      </c>
      <c r="AE3" s="502">
        <f>AB3+X3+T3</f>
        <v>10</v>
      </c>
      <c r="AF3" s="483">
        <f>V3+Z3+AD3</f>
        <v>1780</v>
      </c>
      <c r="AG3" s="503">
        <f t="shared" ref="AG3:AG9" si="4">IF(AE3&gt;0,AF3/AE3,0)</f>
        <v>178</v>
      </c>
    </row>
    <row r="4" spans="1:115">
      <c r="A4" s="495">
        <f>'General information '!F7</f>
        <v>0.13039999999999999</v>
      </c>
      <c r="B4" s="489">
        <f t="shared" ref="B4:B31" si="5">SUM(230*A4)</f>
        <v>29.991999999999997</v>
      </c>
      <c r="C4" s="496">
        <v>43801</v>
      </c>
      <c r="D4" s="483">
        <v>31194050</v>
      </c>
      <c r="E4" s="330">
        <f>D4-D3</f>
        <v>3828</v>
      </c>
      <c r="F4" s="483">
        <v>3363625</v>
      </c>
      <c r="G4" s="331">
        <f t="shared" si="0"/>
        <v>2042</v>
      </c>
      <c r="H4" s="483">
        <v>17146378</v>
      </c>
      <c r="I4" s="331">
        <f>H4-H3</f>
        <v>2244</v>
      </c>
      <c r="J4" s="483">
        <v>28170278</v>
      </c>
      <c r="K4" s="331">
        <f>J4-J3</f>
        <v>2202</v>
      </c>
      <c r="L4" s="483">
        <v>22394096</v>
      </c>
      <c r="M4" s="331">
        <f>L4-L3</f>
        <v>4524</v>
      </c>
      <c r="N4" s="329">
        <f>M4+K4+I4+G4+E4</f>
        <v>14840</v>
      </c>
      <c r="O4" s="505">
        <f t="shared" si="1"/>
        <v>494.79861296345695</v>
      </c>
      <c r="P4" s="483">
        <v>15141</v>
      </c>
      <c r="Q4" s="506">
        <f t="shared" ref="Q4:Q12" si="6">(P4-P3)*1000</f>
        <v>2167.9999999996653</v>
      </c>
      <c r="R4" s="487">
        <f>N4-Q4</f>
        <v>12672.000000000335</v>
      </c>
      <c r="S4" s="483">
        <v>8243</v>
      </c>
      <c r="T4" s="507">
        <f t="shared" si="2"/>
        <v>0</v>
      </c>
      <c r="U4" s="483">
        <v>997154</v>
      </c>
      <c r="V4" s="487">
        <f>U4-U3</f>
        <v>0</v>
      </c>
      <c r="W4" s="483">
        <v>31726</v>
      </c>
      <c r="X4" s="487">
        <f t="shared" si="3"/>
        <v>4</v>
      </c>
      <c r="Y4" s="483">
        <v>602797</v>
      </c>
      <c r="Z4" s="487">
        <f>Y4-Y3</f>
        <v>671</v>
      </c>
      <c r="AA4" s="483">
        <v>34786</v>
      </c>
      <c r="AB4" s="508">
        <f>AA4-AA3</f>
        <v>1</v>
      </c>
      <c r="AC4" s="483">
        <v>723180</v>
      </c>
      <c r="AD4" s="509">
        <f>AC4-AC3</f>
        <v>148</v>
      </c>
      <c r="AE4" s="510">
        <f t="shared" ref="AE4:AE32" si="7">AB4+X4+T4</f>
        <v>5</v>
      </c>
      <c r="AF4" s="511">
        <f t="shared" ref="AF4:AF31" si="8">V4+Z4+AD4</f>
        <v>819</v>
      </c>
      <c r="AG4" s="503">
        <f t="shared" si="4"/>
        <v>163.80000000000001</v>
      </c>
    </row>
    <row r="5" spans="1:115">
      <c r="A5" s="495">
        <f>'General information '!F8</f>
        <v>0.1522</v>
      </c>
      <c r="B5" s="489">
        <f>SUM(230*A5)</f>
        <v>35.006</v>
      </c>
      <c r="C5" s="496">
        <v>43802</v>
      </c>
      <c r="D5" s="483">
        <v>31198598</v>
      </c>
      <c r="E5" s="330">
        <f t="shared" ref="E5:E32" si="9">D5-D4</f>
        <v>4548</v>
      </c>
      <c r="F5" s="483">
        <v>3365902</v>
      </c>
      <c r="G5" s="331">
        <f t="shared" si="0"/>
        <v>2277</v>
      </c>
      <c r="H5" s="483">
        <v>17148894</v>
      </c>
      <c r="I5" s="331">
        <f t="shared" ref="I5:I31" si="10">H5-H4</f>
        <v>2516</v>
      </c>
      <c r="J5" s="483">
        <v>28171694</v>
      </c>
      <c r="K5" s="331">
        <f t="shared" ref="K5:K31" si="11">J5-J4</f>
        <v>1416</v>
      </c>
      <c r="L5" s="483">
        <v>22398450</v>
      </c>
      <c r="M5" s="331">
        <f t="shared" ref="M5:M31" si="12">L5-L4</f>
        <v>4354</v>
      </c>
      <c r="N5" s="329">
        <f t="shared" ref="N5:N31" si="13">M5+K5+I5+G5+E5</f>
        <v>15111</v>
      </c>
      <c r="O5" s="505">
        <f t="shared" si="1"/>
        <v>431.66885676741128</v>
      </c>
      <c r="P5" s="483">
        <v>15143</v>
      </c>
      <c r="Q5" s="506">
        <f>(P5-P4)*1000</f>
        <v>2000</v>
      </c>
      <c r="R5" s="487">
        <f>N5-Q5</f>
        <v>13111</v>
      </c>
      <c r="S5" s="483">
        <v>8250</v>
      </c>
      <c r="T5" s="507">
        <f t="shared" si="2"/>
        <v>7</v>
      </c>
      <c r="U5" s="483">
        <v>998610</v>
      </c>
      <c r="V5" s="487">
        <f t="shared" ref="V5:V32" si="14">U5-U4</f>
        <v>1456</v>
      </c>
      <c r="W5" s="483">
        <v>31726</v>
      </c>
      <c r="X5" s="487">
        <f t="shared" si="3"/>
        <v>0</v>
      </c>
      <c r="Y5" s="483">
        <v>602797</v>
      </c>
      <c r="Z5" s="487">
        <f>Y5-Y4</f>
        <v>0</v>
      </c>
      <c r="AA5" s="483">
        <v>34790</v>
      </c>
      <c r="AB5" s="487">
        <f t="shared" ref="AB5:AB32" si="15">AA5-AA4</f>
        <v>4</v>
      </c>
      <c r="AC5" s="483">
        <v>723951</v>
      </c>
      <c r="AD5" s="487">
        <f t="shared" ref="AD5:AD16" si="16">AC5-AC4</f>
        <v>771</v>
      </c>
      <c r="AE5" s="510">
        <f t="shared" si="7"/>
        <v>11</v>
      </c>
      <c r="AF5" s="511">
        <f t="shared" si="8"/>
        <v>2227</v>
      </c>
      <c r="AG5" s="503">
        <f t="shared" si="4"/>
        <v>202.45454545454547</v>
      </c>
      <c r="AI5" s="504">
        <f>R5-'EDl log'!B3</f>
        <v>-49058311</v>
      </c>
    </row>
    <row r="6" spans="1:115">
      <c r="A6" s="495">
        <f>'General information '!F9</f>
        <v>0.17829999999999999</v>
      </c>
      <c r="B6" s="489">
        <f t="shared" si="5"/>
        <v>41.009</v>
      </c>
      <c r="C6" s="496">
        <v>43803</v>
      </c>
      <c r="D6" s="483">
        <v>31203246</v>
      </c>
      <c r="E6" s="330">
        <f t="shared" si="9"/>
        <v>4648</v>
      </c>
      <c r="F6" s="483">
        <v>3368211</v>
      </c>
      <c r="G6" s="331">
        <f t="shared" si="0"/>
        <v>2309</v>
      </c>
      <c r="H6" s="483">
        <v>17151544</v>
      </c>
      <c r="I6" s="331">
        <f t="shared" si="10"/>
        <v>2650</v>
      </c>
      <c r="J6" s="483">
        <v>28173926</v>
      </c>
      <c r="K6" s="331">
        <f t="shared" si="11"/>
        <v>2232</v>
      </c>
      <c r="L6" s="483">
        <v>22402350</v>
      </c>
      <c r="M6" s="331">
        <f t="shared" si="12"/>
        <v>3900</v>
      </c>
      <c r="N6" s="329">
        <f t="shared" si="13"/>
        <v>15739</v>
      </c>
      <c r="O6" s="505">
        <f t="shared" si="1"/>
        <v>383.79380136067692</v>
      </c>
      <c r="P6" s="483">
        <v>15145.572</v>
      </c>
      <c r="Q6" s="487">
        <f t="shared" si="6"/>
        <v>2572.0000000001164</v>
      </c>
      <c r="R6" s="487">
        <f t="shared" ref="R6:R31" si="17">N6-Q6</f>
        <v>13166.999999999884</v>
      </c>
      <c r="S6" s="483">
        <v>8250</v>
      </c>
      <c r="T6" s="507">
        <f t="shared" si="2"/>
        <v>0</v>
      </c>
      <c r="U6" s="483">
        <v>998610</v>
      </c>
      <c r="V6" s="487">
        <f t="shared" si="14"/>
        <v>0</v>
      </c>
      <c r="W6" s="483">
        <v>31729</v>
      </c>
      <c r="X6" s="487">
        <f t="shared" si="3"/>
        <v>3</v>
      </c>
      <c r="Y6" s="483">
        <v>603353</v>
      </c>
      <c r="Z6" s="487">
        <f t="shared" ref="Z6:Z30" si="18">Y6-Y5</f>
        <v>556</v>
      </c>
      <c r="AA6" s="483">
        <v>34794</v>
      </c>
      <c r="AB6" s="487">
        <f t="shared" si="15"/>
        <v>4</v>
      </c>
      <c r="AC6" s="483">
        <v>724812</v>
      </c>
      <c r="AD6" s="487">
        <f t="shared" si="16"/>
        <v>861</v>
      </c>
      <c r="AE6" s="510">
        <f t="shared" si="7"/>
        <v>7</v>
      </c>
      <c r="AF6" s="511">
        <f t="shared" si="8"/>
        <v>1417</v>
      </c>
      <c r="AG6" s="503">
        <f t="shared" si="4"/>
        <v>202.42857142857142</v>
      </c>
      <c r="AI6" s="504">
        <f>R6-'EDl log'!B4</f>
        <v>-49064334</v>
      </c>
    </row>
    <row r="7" spans="1:115">
      <c r="A7" s="495">
        <f>'General information '!F10</f>
        <v>0.21299999999999999</v>
      </c>
      <c r="B7" s="489">
        <f t="shared" si="5"/>
        <v>48.99</v>
      </c>
      <c r="C7" s="496">
        <v>43804</v>
      </c>
      <c r="D7" s="483">
        <v>31207306</v>
      </c>
      <c r="E7" s="330">
        <f t="shared" si="9"/>
        <v>4060</v>
      </c>
      <c r="F7" s="483">
        <v>3370268</v>
      </c>
      <c r="G7" s="331">
        <f t="shared" si="0"/>
        <v>2057</v>
      </c>
      <c r="H7" s="483">
        <v>17153766</v>
      </c>
      <c r="I7" s="331">
        <f t="shared" si="10"/>
        <v>2222</v>
      </c>
      <c r="J7" s="483">
        <v>28175750</v>
      </c>
      <c r="K7" s="331">
        <f t="shared" si="11"/>
        <v>1824</v>
      </c>
      <c r="L7" s="483">
        <v>22405660</v>
      </c>
      <c r="M7" s="331">
        <f t="shared" si="12"/>
        <v>3310</v>
      </c>
      <c r="N7" s="329">
        <f t="shared" si="13"/>
        <v>13473</v>
      </c>
      <c r="O7" s="505">
        <f t="shared" si="1"/>
        <v>275.01530924678502</v>
      </c>
      <c r="P7" s="483">
        <v>15148.07</v>
      </c>
      <c r="Q7" s="487">
        <f t="shared" si="6"/>
        <v>2497.9999999995925</v>
      </c>
      <c r="R7" s="487">
        <f>N7-Q24</f>
        <v>11459.000000000786</v>
      </c>
      <c r="S7" s="483">
        <v>8251</v>
      </c>
      <c r="T7" s="507">
        <f t="shared" si="2"/>
        <v>1</v>
      </c>
      <c r="U7" s="483">
        <v>998851</v>
      </c>
      <c r="V7" s="487">
        <f t="shared" si="14"/>
        <v>241</v>
      </c>
      <c r="W7" s="483">
        <v>31731</v>
      </c>
      <c r="X7" s="487">
        <f t="shared" si="3"/>
        <v>2</v>
      </c>
      <c r="Y7" s="483">
        <v>603870</v>
      </c>
      <c r="Z7" s="487">
        <f t="shared" si="18"/>
        <v>517</v>
      </c>
      <c r="AA7" s="483">
        <v>34797</v>
      </c>
      <c r="AB7" s="487">
        <f t="shared" si="15"/>
        <v>3</v>
      </c>
      <c r="AC7" s="483">
        <v>725528</v>
      </c>
      <c r="AD7" s="487">
        <f t="shared" si="16"/>
        <v>716</v>
      </c>
      <c r="AE7" s="510">
        <f t="shared" si="7"/>
        <v>6</v>
      </c>
      <c r="AF7" s="511">
        <f t="shared" si="8"/>
        <v>1474</v>
      </c>
      <c r="AG7" s="503">
        <f t="shared" si="4"/>
        <v>245.66666666666666</v>
      </c>
      <c r="AI7" s="504">
        <f>R7-'EDl log'!B5</f>
        <v>-49072542</v>
      </c>
    </row>
    <row r="8" spans="1:115">
      <c r="A8" s="495">
        <f>'General information '!F11</f>
        <v>0.17799999999999999</v>
      </c>
      <c r="B8" s="489">
        <f t="shared" si="5"/>
        <v>40.94</v>
      </c>
      <c r="C8" s="496">
        <v>43805</v>
      </c>
      <c r="D8" s="483">
        <v>31211026</v>
      </c>
      <c r="E8" s="330">
        <f t="shared" si="9"/>
        <v>3720</v>
      </c>
      <c r="F8" s="483">
        <v>3372528.4</v>
      </c>
      <c r="G8" s="331">
        <f t="shared" si="0"/>
        <v>2260.3999999999069</v>
      </c>
      <c r="H8" s="483">
        <v>17156270</v>
      </c>
      <c r="I8" s="331">
        <f t="shared" si="10"/>
        <v>2504</v>
      </c>
      <c r="J8" s="483">
        <v>28177830</v>
      </c>
      <c r="K8" s="331">
        <f t="shared" si="11"/>
        <v>2080</v>
      </c>
      <c r="L8" s="483">
        <v>22409106</v>
      </c>
      <c r="M8" s="331">
        <f t="shared" si="12"/>
        <v>3446</v>
      </c>
      <c r="N8" s="329">
        <f t="shared" si="13"/>
        <v>14010.399999999907</v>
      </c>
      <c r="O8" s="505">
        <f t="shared" si="1"/>
        <v>342.21787982413065</v>
      </c>
      <c r="P8" s="483">
        <v>15151.126</v>
      </c>
      <c r="Q8" s="487">
        <f t="shared" si="6"/>
        <v>3056.0000000004948</v>
      </c>
      <c r="R8" s="487">
        <f t="shared" si="17"/>
        <v>10954.399999999412</v>
      </c>
      <c r="S8" s="483">
        <f t="shared" ref="S8:AA33" si="19">S7</f>
        <v>8251</v>
      </c>
      <c r="T8" s="507">
        <f t="shared" si="2"/>
        <v>0</v>
      </c>
      <c r="U8" s="483">
        <f t="shared" si="19"/>
        <v>998851</v>
      </c>
      <c r="V8" s="487">
        <f t="shared" si="14"/>
        <v>0</v>
      </c>
      <c r="W8" s="483">
        <v>31734</v>
      </c>
      <c r="X8" s="487">
        <f t="shared" si="3"/>
        <v>3</v>
      </c>
      <c r="Y8" s="483">
        <v>604422</v>
      </c>
      <c r="Z8" s="487">
        <f t="shared" si="18"/>
        <v>552</v>
      </c>
      <c r="AA8" s="483">
        <v>34800</v>
      </c>
      <c r="AB8" s="487">
        <f t="shared" si="15"/>
        <v>3</v>
      </c>
      <c r="AC8" s="483">
        <v>726031</v>
      </c>
      <c r="AD8" s="487">
        <f t="shared" si="16"/>
        <v>503</v>
      </c>
      <c r="AE8" s="510">
        <f t="shared" si="7"/>
        <v>6</v>
      </c>
      <c r="AF8" s="511">
        <f t="shared" si="8"/>
        <v>1055</v>
      </c>
      <c r="AG8" s="503">
        <f t="shared" si="4"/>
        <v>175.83333333333334</v>
      </c>
      <c r="AI8" s="504">
        <f>R8-'EDl log'!B6</f>
        <v>-49079679.600000001</v>
      </c>
    </row>
    <row r="9" spans="1:115">
      <c r="A9" s="495">
        <f>'General information '!F12</f>
        <v>0.13900000000000001</v>
      </c>
      <c r="B9" s="489">
        <f t="shared" si="5"/>
        <v>31.970000000000002</v>
      </c>
      <c r="C9" s="496">
        <v>43806</v>
      </c>
      <c r="D9" s="483">
        <v>31214403</v>
      </c>
      <c r="E9" s="330">
        <f t="shared" si="9"/>
        <v>3377</v>
      </c>
      <c r="F9" s="483">
        <v>3374775</v>
      </c>
      <c r="G9" s="331">
        <f t="shared" si="0"/>
        <v>2246.6000000000931</v>
      </c>
      <c r="H9" s="483">
        <v>17158872</v>
      </c>
      <c r="I9" s="331">
        <f t="shared" si="10"/>
        <v>2602</v>
      </c>
      <c r="J9" s="483">
        <v>28180350</v>
      </c>
      <c r="K9" s="331">
        <f t="shared" si="11"/>
        <v>2520</v>
      </c>
      <c r="L9" s="483">
        <v>22413646</v>
      </c>
      <c r="M9" s="331">
        <f t="shared" si="12"/>
        <v>4540</v>
      </c>
      <c r="N9" s="329">
        <f t="shared" si="13"/>
        <v>15285.600000000093</v>
      </c>
      <c r="O9" s="505">
        <f t="shared" si="1"/>
        <v>478.12324053800728</v>
      </c>
      <c r="P9" s="483">
        <v>15153</v>
      </c>
      <c r="Q9" s="487">
        <f t="shared" si="6"/>
        <v>1873.9999999997963</v>
      </c>
      <c r="R9" s="487">
        <f t="shared" si="17"/>
        <v>13411.600000000297</v>
      </c>
      <c r="S9" s="483">
        <v>8256</v>
      </c>
      <c r="T9" s="507">
        <f t="shared" si="2"/>
        <v>5</v>
      </c>
      <c r="U9" s="483">
        <v>999625</v>
      </c>
      <c r="V9" s="487">
        <f t="shared" si="14"/>
        <v>774</v>
      </c>
      <c r="W9" s="483">
        <v>31740</v>
      </c>
      <c r="X9" s="487">
        <f t="shared" ref="X9:X32" si="20">W9-W8</f>
        <v>6</v>
      </c>
      <c r="Y9" s="483">
        <v>605454</v>
      </c>
      <c r="Z9" s="487">
        <f t="shared" si="18"/>
        <v>1032</v>
      </c>
      <c r="AA9" s="483">
        <f t="shared" si="19"/>
        <v>34800</v>
      </c>
      <c r="AB9" s="487">
        <f t="shared" si="15"/>
        <v>0</v>
      </c>
      <c r="AC9" s="483">
        <f t="shared" ref="AC9:AC29" si="21">AC8</f>
        <v>726031</v>
      </c>
      <c r="AD9" s="487">
        <f t="shared" si="16"/>
        <v>0</v>
      </c>
      <c r="AE9" s="510">
        <f t="shared" si="7"/>
        <v>11</v>
      </c>
      <c r="AF9" s="511">
        <f t="shared" si="8"/>
        <v>1806</v>
      </c>
      <c r="AG9" s="503">
        <f t="shared" si="4"/>
        <v>164.18181818181819</v>
      </c>
      <c r="AI9" s="504">
        <f>R9-'EDl log'!B7</f>
        <v>-49084228.399999999</v>
      </c>
    </row>
    <row r="10" spans="1:115">
      <c r="A10" s="495">
        <f>'General information '!F13</f>
        <v>0.16220000000000001</v>
      </c>
      <c r="B10" s="489">
        <f t="shared" si="5"/>
        <v>37.306000000000004</v>
      </c>
      <c r="C10" s="496">
        <v>43807</v>
      </c>
      <c r="D10" s="483">
        <v>31218658</v>
      </c>
      <c r="E10" s="330">
        <f t="shared" si="9"/>
        <v>4255</v>
      </c>
      <c r="F10" s="483">
        <v>3377270</v>
      </c>
      <c r="G10" s="331">
        <f t="shared" si="0"/>
        <v>2495</v>
      </c>
      <c r="H10" s="483">
        <v>17161670</v>
      </c>
      <c r="I10" s="331">
        <f t="shared" si="10"/>
        <v>2798</v>
      </c>
      <c r="J10" s="483">
        <v>28182054</v>
      </c>
      <c r="K10" s="331">
        <f t="shared" si="11"/>
        <v>1704</v>
      </c>
      <c r="L10" s="483">
        <v>22419058</v>
      </c>
      <c r="M10" s="331">
        <f t="shared" si="12"/>
        <v>5412</v>
      </c>
      <c r="N10" s="329">
        <f t="shared" si="13"/>
        <v>16664</v>
      </c>
      <c r="O10" s="505">
        <f t="shared" ref="O10:O32" si="22">IF(B10&gt;0,N10/B10,0)</f>
        <v>446.68417948855409</v>
      </c>
      <c r="P10" s="483">
        <v>15155</v>
      </c>
      <c r="Q10" s="487">
        <f t="shared" si="6"/>
        <v>2000</v>
      </c>
      <c r="R10" s="487">
        <f t="shared" si="17"/>
        <v>14664</v>
      </c>
      <c r="S10" s="483">
        <v>8261</v>
      </c>
      <c r="T10" s="507">
        <f t="shared" si="2"/>
        <v>5</v>
      </c>
      <c r="U10" s="483">
        <v>1000550</v>
      </c>
      <c r="V10" s="487">
        <f t="shared" si="14"/>
        <v>925</v>
      </c>
      <c r="W10" s="483">
        <f t="shared" si="19"/>
        <v>31740</v>
      </c>
      <c r="X10" s="487">
        <f t="shared" si="20"/>
        <v>0</v>
      </c>
      <c r="Y10" s="483">
        <f t="shared" si="19"/>
        <v>605454</v>
      </c>
      <c r="Z10" s="487">
        <f t="shared" si="18"/>
        <v>0</v>
      </c>
      <c r="AA10" s="483">
        <f t="shared" si="19"/>
        <v>34800</v>
      </c>
      <c r="AB10" s="487">
        <f t="shared" si="15"/>
        <v>0</v>
      </c>
      <c r="AC10" s="483">
        <f t="shared" si="21"/>
        <v>726031</v>
      </c>
      <c r="AD10" s="487">
        <f t="shared" si="16"/>
        <v>0</v>
      </c>
      <c r="AE10" s="510">
        <f t="shared" si="7"/>
        <v>5</v>
      </c>
      <c r="AF10" s="511">
        <f t="shared" si="8"/>
        <v>925</v>
      </c>
      <c r="AG10" s="503">
        <f t="shared" ref="AG10:AG33" si="23">IF(AE10&gt;0,AF10/AE10,0)</f>
        <v>185</v>
      </c>
      <c r="AI10" s="504">
        <f>R10-'EDl log'!B8</f>
        <v>-49088646</v>
      </c>
    </row>
    <row r="11" spans="1:115">
      <c r="A11" s="495">
        <f>'General information '!F14</f>
        <v>0.1739</v>
      </c>
      <c r="B11" s="489">
        <f>SUM(230*A11)</f>
        <v>39.997</v>
      </c>
      <c r="C11" s="496">
        <v>43808</v>
      </c>
      <c r="D11" s="483">
        <v>31222718</v>
      </c>
      <c r="E11" s="330">
        <f t="shared" si="9"/>
        <v>4060</v>
      </c>
      <c r="F11" s="483">
        <v>3379339</v>
      </c>
      <c r="G11" s="331">
        <f t="shared" si="0"/>
        <v>2069</v>
      </c>
      <c r="H11" s="483">
        <v>17164100</v>
      </c>
      <c r="I11" s="331">
        <f t="shared" si="10"/>
        <v>2430</v>
      </c>
      <c r="J11" s="483">
        <v>28183810</v>
      </c>
      <c r="K11" s="331">
        <f t="shared" si="11"/>
        <v>1756</v>
      </c>
      <c r="L11" s="483">
        <v>22422258</v>
      </c>
      <c r="M11" s="331">
        <f t="shared" si="12"/>
        <v>3200</v>
      </c>
      <c r="N11" s="329">
        <f>M11+K11+I11+G11+E11</f>
        <v>13515</v>
      </c>
      <c r="O11" s="505">
        <f t="shared" si="22"/>
        <v>337.90034252568944</v>
      </c>
      <c r="P11" s="483">
        <v>15157.742</v>
      </c>
      <c r="Q11" s="487">
        <f t="shared" si="6"/>
        <v>2742.0000000001892</v>
      </c>
      <c r="R11" s="487">
        <f t="shared" si="17"/>
        <v>10772.999999999811</v>
      </c>
      <c r="S11" s="483">
        <v>8261</v>
      </c>
      <c r="T11" s="507">
        <f t="shared" si="2"/>
        <v>0</v>
      </c>
      <c r="U11" s="483">
        <v>1000550</v>
      </c>
      <c r="V11" s="487">
        <f t="shared" si="14"/>
        <v>0</v>
      </c>
      <c r="W11" s="483">
        <v>31741</v>
      </c>
      <c r="X11" s="487">
        <f t="shared" si="20"/>
        <v>1</v>
      </c>
      <c r="Y11" s="483">
        <v>605655</v>
      </c>
      <c r="Z11" s="487">
        <f t="shared" si="18"/>
        <v>201</v>
      </c>
      <c r="AA11" s="483">
        <v>34806</v>
      </c>
      <c r="AB11" s="487">
        <f t="shared" si="15"/>
        <v>6</v>
      </c>
      <c r="AC11" s="483">
        <v>727030</v>
      </c>
      <c r="AD11" s="487">
        <f t="shared" si="16"/>
        <v>999</v>
      </c>
      <c r="AE11" s="510">
        <f t="shared" si="7"/>
        <v>7</v>
      </c>
      <c r="AF11" s="511">
        <f t="shared" si="8"/>
        <v>1200</v>
      </c>
      <c r="AG11" s="503">
        <f t="shared" si="23"/>
        <v>171.42857142857142</v>
      </c>
      <c r="AI11" s="504">
        <f>R11-'EDl log'!B9</f>
        <v>-49098226</v>
      </c>
    </row>
    <row r="12" spans="1:115">
      <c r="A12" s="495">
        <f>'General information '!F15</f>
        <v>0.187</v>
      </c>
      <c r="B12" s="489">
        <f t="shared" si="5"/>
        <v>43.01</v>
      </c>
      <c r="C12" s="496">
        <v>43809</v>
      </c>
      <c r="D12" s="483">
        <v>31226446</v>
      </c>
      <c r="E12" s="330">
        <f t="shared" si="9"/>
        <v>3728</v>
      </c>
      <c r="F12" s="483">
        <v>3381594</v>
      </c>
      <c r="G12" s="331">
        <f t="shared" si="0"/>
        <v>2255</v>
      </c>
      <c r="H12" s="483">
        <v>17166822</v>
      </c>
      <c r="I12" s="331">
        <f t="shared" si="10"/>
        <v>2722</v>
      </c>
      <c r="J12" s="483">
        <v>28186698</v>
      </c>
      <c r="K12" s="331">
        <f t="shared" si="11"/>
        <v>2888</v>
      </c>
      <c r="L12" s="483">
        <v>22426130</v>
      </c>
      <c r="M12" s="331">
        <f t="shared" si="12"/>
        <v>3872</v>
      </c>
      <c r="N12" s="329">
        <f t="shared" si="13"/>
        <v>15465</v>
      </c>
      <c r="O12" s="505">
        <f t="shared" si="22"/>
        <v>359.56754243199259</v>
      </c>
      <c r="P12" s="483">
        <v>15159.75</v>
      </c>
      <c r="Q12" s="487">
        <f t="shared" si="6"/>
        <v>2007.9999999998108</v>
      </c>
      <c r="R12" s="487">
        <f t="shared" si="17"/>
        <v>13457.000000000189</v>
      </c>
      <c r="S12" s="483">
        <v>8261</v>
      </c>
      <c r="T12" s="507">
        <f t="shared" si="2"/>
        <v>0</v>
      </c>
      <c r="U12" s="483">
        <f t="shared" si="19"/>
        <v>1000550</v>
      </c>
      <c r="V12" s="487">
        <f t="shared" si="14"/>
        <v>0</v>
      </c>
      <c r="W12" s="483">
        <v>31747</v>
      </c>
      <c r="X12" s="487">
        <f t="shared" si="20"/>
        <v>6</v>
      </c>
      <c r="Y12" s="483">
        <v>606821</v>
      </c>
      <c r="Z12" s="487">
        <f t="shared" si="18"/>
        <v>1166</v>
      </c>
      <c r="AA12" s="483">
        <v>34807</v>
      </c>
      <c r="AB12" s="487">
        <f t="shared" si="15"/>
        <v>1</v>
      </c>
      <c r="AC12" s="483">
        <v>727218</v>
      </c>
      <c r="AD12" s="487">
        <f t="shared" si="16"/>
        <v>188</v>
      </c>
      <c r="AE12" s="510">
        <f t="shared" si="7"/>
        <v>7</v>
      </c>
      <c r="AF12" s="511">
        <f t="shared" si="8"/>
        <v>1354</v>
      </c>
      <c r="AG12" s="503">
        <f t="shared" si="23"/>
        <v>193.42857142857142</v>
      </c>
      <c r="AI12" s="504">
        <f>R12-'EDl log'!B10</f>
        <v>-49102351</v>
      </c>
    </row>
    <row r="13" spans="1:115">
      <c r="A13" s="495">
        <f>'General information '!F16</f>
        <v>0.1565</v>
      </c>
      <c r="B13" s="489">
        <f t="shared" si="5"/>
        <v>35.994999999999997</v>
      </c>
      <c r="C13" s="496">
        <v>43810</v>
      </c>
      <c r="D13" s="483">
        <v>31229766</v>
      </c>
      <c r="E13" s="330">
        <f t="shared" si="9"/>
        <v>3320</v>
      </c>
      <c r="F13" s="483">
        <v>3383769</v>
      </c>
      <c r="G13" s="331">
        <f t="shared" si="0"/>
        <v>2175</v>
      </c>
      <c r="H13" s="483">
        <v>17169158</v>
      </c>
      <c r="I13" s="331">
        <f t="shared" si="10"/>
        <v>2336</v>
      </c>
      <c r="J13" s="483">
        <v>28189280</v>
      </c>
      <c r="K13" s="331">
        <f t="shared" si="11"/>
        <v>2582</v>
      </c>
      <c r="L13" s="483">
        <v>22429594</v>
      </c>
      <c r="M13" s="331">
        <f t="shared" si="12"/>
        <v>3464</v>
      </c>
      <c r="N13" s="329">
        <f t="shared" si="13"/>
        <v>13877</v>
      </c>
      <c r="O13" s="505">
        <f t="shared" si="22"/>
        <v>385.52576746770387</v>
      </c>
      <c r="P13" s="483">
        <v>15162.092000000001</v>
      </c>
      <c r="Q13" s="487">
        <f t="shared" ref="Q13:Q31" si="24">(P13-P12)*1000</f>
        <v>2342.000000000553</v>
      </c>
      <c r="R13" s="487">
        <f t="shared" si="17"/>
        <v>11534.999999999447</v>
      </c>
      <c r="S13" s="483">
        <v>8263</v>
      </c>
      <c r="T13" s="507">
        <f t="shared" si="2"/>
        <v>2</v>
      </c>
      <c r="U13" s="483">
        <v>1000939</v>
      </c>
      <c r="V13" s="487">
        <f t="shared" si="14"/>
        <v>389</v>
      </c>
      <c r="W13" s="483">
        <v>31754</v>
      </c>
      <c r="X13" s="487">
        <f t="shared" si="20"/>
        <v>7</v>
      </c>
      <c r="Y13" s="483">
        <v>608041</v>
      </c>
      <c r="Z13" s="487">
        <f t="shared" si="18"/>
        <v>1220</v>
      </c>
      <c r="AA13" s="483">
        <v>34807</v>
      </c>
      <c r="AB13" s="487">
        <f t="shared" si="15"/>
        <v>0</v>
      </c>
      <c r="AC13" s="483">
        <v>727224</v>
      </c>
      <c r="AD13" s="487">
        <f t="shared" si="16"/>
        <v>6</v>
      </c>
      <c r="AE13" s="510">
        <f t="shared" si="7"/>
        <v>9</v>
      </c>
      <c r="AF13" s="511">
        <f t="shared" si="8"/>
        <v>1615</v>
      </c>
      <c r="AG13" s="503">
        <f t="shared" si="23"/>
        <v>179.44444444444446</v>
      </c>
      <c r="AI13" s="504">
        <f>R13-'EDl log'!B11</f>
        <v>-49111708</v>
      </c>
    </row>
    <row r="14" spans="1:115">
      <c r="A14" s="495">
        <f>'General information '!F17</f>
        <v>0.21740000000000001</v>
      </c>
      <c r="B14" s="489">
        <f t="shared" si="5"/>
        <v>50.002000000000002</v>
      </c>
      <c r="C14" s="496">
        <v>43811</v>
      </c>
      <c r="D14" s="483">
        <v>31233238</v>
      </c>
      <c r="E14" s="330">
        <f t="shared" si="9"/>
        <v>3472</v>
      </c>
      <c r="F14" s="483">
        <v>3386050</v>
      </c>
      <c r="G14" s="331">
        <f t="shared" si="0"/>
        <v>2281</v>
      </c>
      <c r="H14" s="483">
        <v>17171750</v>
      </c>
      <c r="I14" s="331">
        <f t="shared" si="10"/>
        <v>2592</v>
      </c>
      <c r="J14" s="483">
        <v>28190820</v>
      </c>
      <c r="K14" s="331">
        <f t="shared" si="11"/>
        <v>1540</v>
      </c>
      <c r="L14" s="483">
        <v>22434304</v>
      </c>
      <c r="M14" s="331">
        <f t="shared" si="12"/>
        <v>4710</v>
      </c>
      <c r="N14" s="329">
        <f t="shared" si="13"/>
        <v>14595</v>
      </c>
      <c r="O14" s="505">
        <f t="shared" si="22"/>
        <v>291.88832446702128</v>
      </c>
      <c r="P14" s="483">
        <v>15164</v>
      </c>
      <c r="Q14" s="487">
        <f t="shared" si="24"/>
        <v>1907.999999999447</v>
      </c>
      <c r="R14" s="487">
        <f t="shared" si="17"/>
        <v>12687.000000000553</v>
      </c>
      <c r="S14" s="483">
        <v>8268</v>
      </c>
      <c r="T14" s="507">
        <f t="shared" si="2"/>
        <v>5</v>
      </c>
      <c r="U14" s="483">
        <v>1001888</v>
      </c>
      <c r="V14" s="487">
        <f t="shared" si="14"/>
        <v>949</v>
      </c>
      <c r="W14" s="483">
        <f t="shared" si="19"/>
        <v>31754</v>
      </c>
      <c r="X14" s="487">
        <f t="shared" si="20"/>
        <v>0</v>
      </c>
      <c r="Y14" s="483">
        <f t="shared" si="19"/>
        <v>608041</v>
      </c>
      <c r="Z14" s="487">
        <f t="shared" si="18"/>
        <v>0</v>
      </c>
      <c r="AA14" s="483">
        <v>34807</v>
      </c>
      <c r="AB14" s="487">
        <f t="shared" si="15"/>
        <v>0</v>
      </c>
      <c r="AC14" s="483">
        <v>727224</v>
      </c>
      <c r="AD14" s="487">
        <f t="shared" si="16"/>
        <v>0</v>
      </c>
      <c r="AE14" s="510">
        <f t="shared" si="7"/>
        <v>5</v>
      </c>
      <c r="AF14" s="511">
        <f t="shared" si="8"/>
        <v>949</v>
      </c>
      <c r="AG14" s="503">
        <f t="shared" si="23"/>
        <v>189.8</v>
      </c>
      <c r="AI14" s="504">
        <f>R14-'EDl log'!B12</f>
        <v>-49116423</v>
      </c>
    </row>
    <row r="15" spans="1:115">
      <c r="A15" s="495">
        <f>'General information '!F18</f>
        <v>0.23480000000000001</v>
      </c>
      <c r="B15" s="489">
        <f t="shared" si="5"/>
        <v>54.004000000000005</v>
      </c>
      <c r="C15" s="496">
        <v>43812</v>
      </c>
      <c r="D15" s="483">
        <v>31236962</v>
      </c>
      <c r="E15" s="330">
        <f t="shared" si="9"/>
        <v>3724</v>
      </c>
      <c r="F15" s="483">
        <v>3388331</v>
      </c>
      <c r="G15" s="331">
        <f t="shared" si="0"/>
        <v>2281</v>
      </c>
      <c r="H15" s="483">
        <v>17174370</v>
      </c>
      <c r="I15" s="331">
        <f t="shared" si="10"/>
        <v>2620</v>
      </c>
      <c r="J15" s="483">
        <v>28192486</v>
      </c>
      <c r="K15" s="331">
        <f t="shared" si="11"/>
        <v>1666</v>
      </c>
      <c r="L15" s="483">
        <v>22439382</v>
      </c>
      <c r="M15" s="331">
        <f t="shared" si="12"/>
        <v>5078</v>
      </c>
      <c r="N15" s="329">
        <f t="shared" si="13"/>
        <v>15369</v>
      </c>
      <c r="O15" s="505">
        <f t="shared" si="22"/>
        <v>284.59003036812084</v>
      </c>
      <c r="P15" s="483">
        <v>15167.365</v>
      </c>
      <c r="Q15" s="487">
        <f>(P15-P14)*1000</f>
        <v>3364.9999999997817</v>
      </c>
      <c r="R15" s="487">
        <f t="shared" si="17"/>
        <v>12004.000000000218</v>
      </c>
      <c r="S15" s="483">
        <v>8274</v>
      </c>
      <c r="T15" s="507">
        <f t="shared" si="2"/>
        <v>6</v>
      </c>
      <c r="U15" s="483">
        <v>1003357</v>
      </c>
      <c r="V15" s="487">
        <f t="shared" si="14"/>
        <v>1469</v>
      </c>
      <c r="W15" s="483">
        <f t="shared" si="19"/>
        <v>31754</v>
      </c>
      <c r="X15" s="487">
        <f t="shared" si="20"/>
        <v>0</v>
      </c>
      <c r="Y15" s="483">
        <f t="shared" si="19"/>
        <v>608041</v>
      </c>
      <c r="Z15" s="487">
        <f t="shared" si="18"/>
        <v>0</v>
      </c>
      <c r="AA15" s="483">
        <v>34807</v>
      </c>
      <c r="AB15" s="487">
        <f t="shared" si="15"/>
        <v>0</v>
      </c>
      <c r="AC15" s="483">
        <v>727224</v>
      </c>
      <c r="AD15" s="487">
        <f t="shared" si="16"/>
        <v>0</v>
      </c>
      <c r="AE15" s="510">
        <f t="shared" si="7"/>
        <v>6</v>
      </c>
      <c r="AF15" s="511">
        <f t="shared" si="8"/>
        <v>1469</v>
      </c>
      <c r="AG15" s="503">
        <f t="shared" si="23"/>
        <v>244.83333333333334</v>
      </c>
      <c r="AI15" s="504">
        <f>R15-'EDl log'!B13</f>
        <v>-49124045</v>
      </c>
    </row>
    <row r="16" spans="1:115">
      <c r="A16" s="495">
        <f>'General information '!F19</f>
        <v>0.1696</v>
      </c>
      <c r="B16" s="489">
        <f t="shared" si="5"/>
        <v>39.008000000000003</v>
      </c>
      <c r="C16" s="496">
        <v>43813</v>
      </c>
      <c r="D16" s="483">
        <v>31241914</v>
      </c>
      <c r="E16" s="330">
        <f t="shared" si="9"/>
        <v>4952</v>
      </c>
      <c r="F16" s="483">
        <v>3390622</v>
      </c>
      <c r="G16" s="331">
        <f t="shared" si="0"/>
        <v>2291</v>
      </c>
      <c r="H16" s="483">
        <v>17176926</v>
      </c>
      <c r="I16" s="331">
        <f t="shared" si="10"/>
        <v>2556</v>
      </c>
      <c r="J16" s="483">
        <v>28194198</v>
      </c>
      <c r="K16" s="331">
        <f t="shared" si="11"/>
        <v>1712</v>
      </c>
      <c r="L16" s="483">
        <v>22443578</v>
      </c>
      <c r="M16" s="331">
        <f t="shared" si="12"/>
        <v>4196</v>
      </c>
      <c r="N16" s="329">
        <f t="shared" si="13"/>
        <v>15707</v>
      </c>
      <c r="O16" s="505">
        <f t="shared" si="22"/>
        <v>402.66099261689908</v>
      </c>
      <c r="P16" s="483">
        <v>15170</v>
      </c>
      <c r="Q16" s="487">
        <f>(P16-P15)*1000</f>
        <v>2635.0000000002183</v>
      </c>
      <c r="R16" s="487">
        <f t="shared" si="17"/>
        <v>13071.999999999782</v>
      </c>
      <c r="S16" s="483">
        <v>8276</v>
      </c>
      <c r="T16" s="507">
        <f t="shared" si="2"/>
        <v>2</v>
      </c>
      <c r="U16" s="483">
        <v>1003625</v>
      </c>
      <c r="V16" s="487">
        <f t="shared" si="14"/>
        <v>268</v>
      </c>
      <c r="W16" s="483">
        <f t="shared" si="19"/>
        <v>31754</v>
      </c>
      <c r="X16" s="487">
        <f>W16-W15</f>
        <v>0</v>
      </c>
      <c r="Y16" s="483">
        <f t="shared" si="19"/>
        <v>608041</v>
      </c>
      <c r="Z16" s="487">
        <f>Y16-Y15</f>
        <v>0</v>
      </c>
      <c r="AA16" s="483">
        <v>34814</v>
      </c>
      <c r="AB16" s="487">
        <f>AA16-AA15</f>
        <v>7</v>
      </c>
      <c r="AC16" s="483">
        <v>728587</v>
      </c>
      <c r="AD16" s="487">
        <f t="shared" si="16"/>
        <v>1363</v>
      </c>
      <c r="AE16" s="510">
        <f t="shared" si="7"/>
        <v>9</v>
      </c>
      <c r="AF16" s="511">
        <f t="shared" si="8"/>
        <v>1631</v>
      </c>
      <c r="AG16" s="503">
        <f t="shared" si="23"/>
        <v>181.22222222222223</v>
      </c>
      <c r="AI16" s="504">
        <f>R16-'EDl log'!B14</f>
        <v>-49128902</v>
      </c>
    </row>
    <row r="17" spans="1:35">
      <c r="A17" s="495">
        <f>'General information '!F20</f>
        <v>0.16520000000000001</v>
      </c>
      <c r="B17" s="489">
        <f t="shared" si="5"/>
        <v>37.996000000000002</v>
      </c>
      <c r="C17" s="496">
        <v>43814</v>
      </c>
      <c r="D17" s="483">
        <v>31244638</v>
      </c>
      <c r="E17" s="330">
        <f t="shared" si="9"/>
        <v>2724</v>
      </c>
      <c r="F17" s="483">
        <v>3392505</v>
      </c>
      <c r="G17" s="331">
        <f t="shared" si="0"/>
        <v>1883</v>
      </c>
      <c r="H17" s="483">
        <v>17178990</v>
      </c>
      <c r="I17" s="331">
        <f t="shared" si="10"/>
        <v>2064</v>
      </c>
      <c r="J17" s="483">
        <v>28195700</v>
      </c>
      <c r="K17" s="331">
        <f t="shared" si="11"/>
        <v>1502</v>
      </c>
      <c r="L17" s="483">
        <v>22448270</v>
      </c>
      <c r="M17" s="331">
        <f t="shared" si="12"/>
        <v>4692</v>
      </c>
      <c r="N17" s="329">
        <f t="shared" si="13"/>
        <v>12865</v>
      </c>
      <c r="O17" s="505">
        <f t="shared" si="22"/>
        <v>338.58827244973151</v>
      </c>
      <c r="P17" s="483">
        <v>15173.151</v>
      </c>
      <c r="Q17" s="487">
        <f t="shared" si="24"/>
        <v>3150.9999999998399</v>
      </c>
      <c r="R17" s="487">
        <f t="shared" si="17"/>
        <v>9714.0000000001601</v>
      </c>
      <c r="S17" s="483">
        <v>8281</v>
      </c>
      <c r="T17" s="507">
        <f t="shared" si="2"/>
        <v>5</v>
      </c>
      <c r="U17" s="483">
        <v>1004738</v>
      </c>
      <c r="V17" s="487">
        <f t="shared" si="14"/>
        <v>1113</v>
      </c>
      <c r="W17" s="483">
        <f t="shared" si="19"/>
        <v>31754</v>
      </c>
      <c r="X17" s="487">
        <f t="shared" si="20"/>
        <v>0</v>
      </c>
      <c r="Y17" s="483">
        <f t="shared" si="19"/>
        <v>608041</v>
      </c>
      <c r="Z17" s="487">
        <f t="shared" si="18"/>
        <v>0</v>
      </c>
      <c r="AA17" s="483">
        <v>34814</v>
      </c>
      <c r="AB17" s="487">
        <f t="shared" si="15"/>
        <v>0</v>
      </c>
      <c r="AC17" s="483">
        <v>728587</v>
      </c>
      <c r="AD17" s="487">
        <f t="shared" ref="AD17:AD32" si="25">AC17-AC16</f>
        <v>0</v>
      </c>
      <c r="AE17" s="510">
        <f t="shared" si="7"/>
        <v>5</v>
      </c>
      <c r="AF17" s="511">
        <f t="shared" si="8"/>
        <v>1113</v>
      </c>
      <c r="AG17" s="503">
        <f t="shared" si="23"/>
        <v>222.6</v>
      </c>
      <c r="AI17" s="504">
        <f>R17-'EDl log'!B15</f>
        <v>-49138374</v>
      </c>
    </row>
    <row r="18" spans="1:35">
      <c r="A18" s="495">
        <f>'General information '!F21</f>
        <v>0.13900000000000001</v>
      </c>
      <c r="B18" s="489">
        <f t="shared" si="5"/>
        <v>31.970000000000002</v>
      </c>
      <c r="C18" s="496">
        <v>43815</v>
      </c>
      <c r="D18" s="483">
        <v>31248006</v>
      </c>
      <c r="E18" s="330">
        <f t="shared" si="9"/>
        <v>3368</v>
      </c>
      <c r="F18" s="483">
        <v>3394920</v>
      </c>
      <c r="G18" s="331">
        <f t="shared" si="0"/>
        <v>2415</v>
      </c>
      <c r="H18" s="483">
        <v>17181474</v>
      </c>
      <c r="I18" s="331">
        <f t="shared" si="10"/>
        <v>2484</v>
      </c>
      <c r="J18" s="483">
        <v>28197594</v>
      </c>
      <c r="K18" s="331">
        <f t="shared" si="11"/>
        <v>1894</v>
      </c>
      <c r="L18" s="483">
        <v>22453650</v>
      </c>
      <c r="M18" s="331">
        <f t="shared" si="12"/>
        <v>5380</v>
      </c>
      <c r="N18" s="329">
        <f t="shared" si="13"/>
        <v>15541</v>
      </c>
      <c r="O18" s="505">
        <f t="shared" si="22"/>
        <v>486.11197998123237</v>
      </c>
      <c r="P18" s="483">
        <v>15175</v>
      </c>
      <c r="Q18" s="487">
        <f t="shared" si="24"/>
        <v>1849.0000000001601</v>
      </c>
      <c r="R18" s="487">
        <f t="shared" si="17"/>
        <v>13691.99999999984</v>
      </c>
      <c r="S18" s="483">
        <v>8289</v>
      </c>
      <c r="T18" s="507">
        <f t="shared" si="2"/>
        <v>8</v>
      </c>
      <c r="U18" s="483">
        <v>1006290</v>
      </c>
      <c r="V18" s="487">
        <f t="shared" si="14"/>
        <v>1552</v>
      </c>
      <c r="W18" s="483">
        <f t="shared" si="19"/>
        <v>31754</v>
      </c>
      <c r="X18" s="487">
        <f t="shared" si="20"/>
        <v>0</v>
      </c>
      <c r="Y18" s="483">
        <f t="shared" si="19"/>
        <v>608041</v>
      </c>
      <c r="Z18" s="487">
        <f t="shared" si="18"/>
        <v>0</v>
      </c>
      <c r="AA18" s="483">
        <v>34815</v>
      </c>
      <c r="AB18" s="487">
        <f t="shared" si="15"/>
        <v>1</v>
      </c>
      <c r="AC18" s="483">
        <v>728865</v>
      </c>
      <c r="AD18" s="487">
        <f t="shared" si="25"/>
        <v>278</v>
      </c>
      <c r="AE18" s="510">
        <f t="shared" si="7"/>
        <v>9</v>
      </c>
      <c r="AF18" s="511">
        <f t="shared" si="8"/>
        <v>1830</v>
      </c>
      <c r="AG18" s="503">
        <f t="shared" si="23"/>
        <v>203.33333333333334</v>
      </c>
      <c r="AI18" s="504">
        <f>R18-'EDl log'!B16</f>
        <v>-49141112</v>
      </c>
    </row>
    <row r="19" spans="1:35">
      <c r="A19" s="495">
        <f>'General information '!F22</f>
        <v>0.1522</v>
      </c>
      <c r="B19" s="489">
        <f t="shared" si="5"/>
        <v>35.006</v>
      </c>
      <c r="C19" s="496">
        <v>43816</v>
      </c>
      <c r="D19" s="483">
        <v>31251974</v>
      </c>
      <c r="E19" s="330">
        <f t="shared" si="9"/>
        <v>3968</v>
      </c>
      <c r="F19" s="483">
        <v>3397263.6</v>
      </c>
      <c r="G19" s="331">
        <f t="shared" si="0"/>
        <v>2343.6000000000931</v>
      </c>
      <c r="H19" s="483">
        <v>17183904</v>
      </c>
      <c r="I19" s="331">
        <f t="shared" si="10"/>
        <v>2430</v>
      </c>
      <c r="J19" s="483">
        <v>28199448</v>
      </c>
      <c r="K19" s="331">
        <f t="shared" si="11"/>
        <v>1854</v>
      </c>
      <c r="L19" s="483">
        <v>22458564</v>
      </c>
      <c r="M19" s="331">
        <f t="shared" si="12"/>
        <v>4914</v>
      </c>
      <c r="N19" s="329">
        <f t="shared" si="13"/>
        <v>15509.600000000093</v>
      </c>
      <c r="O19" s="505">
        <f t="shared" si="22"/>
        <v>443.05547620408197</v>
      </c>
      <c r="P19" s="483">
        <v>15178.213</v>
      </c>
      <c r="Q19" s="487">
        <f t="shared" si="24"/>
        <v>3212.9999999997381</v>
      </c>
      <c r="R19" s="487">
        <f t="shared" si="17"/>
        <v>12296.600000000355</v>
      </c>
      <c r="S19" s="483">
        <v>8295</v>
      </c>
      <c r="T19" s="507">
        <f t="shared" si="2"/>
        <v>6</v>
      </c>
      <c r="U19" s="483">
        <v>1007268</v>
      </c>
      <c r="V19" s="487">
        <f t="shared" si="14"/>
        <v>978</v>
      </c>
      <c r="W19" s="483">
        <v>31756</v>
      </c>
      <c r="X19" s="487">
        <f t="shared" si="20"/>
        <v>2</v>
      </c>
      <c r="Y19" s="483">
        <v>608569</v>
      </c>
      <c r="Z19" s="487">
        <f t="shared" si="18"/>
        <v>528</v>
      </c>
      <c r="AA19" s="483">
        <v>34818</v>
      </c>
      <c r="AB19" s="487">
        <f t="shared" si="15"/>
        <v>3</v>
      </c>
      <c r="AC19" s="483">
        <v>729401</v>
      </c>
      <c r="AD19" s="487">
        <f t="shared" si="25"/>
        <v>536</v>
      </c>
      <c r="AE19" s="510">
        <f t="shared" si="7"/>
        <v>11</v>
      </c>
      <c r="AF19" s="511">
        <f t="shared" si="8"/>
        <v>2042</v>
      </c>
      <c r="AG19" s="503">
        <f t="shared" si="23"/>
        <v>185.63636363636363</v>
      </c>
      <c r="AI19" s="504">
        <f>R19-'EDl log'!B17</f>
        <v>-49148889.399999999</v>
      </c>
    </row>
    <row r="20" spans="1:35">
      <c r="A20" s="495">
        <f>'General information '!F23</f>
        <v>0.1696</v>
      </c>
      <c r="B20" s="489">
        <f t="shared" si="5"/>
        <v>39.008000000000003</v>
      </c>
      <c r="C20" s="496">
        <v>43817</v>
      </c>
      <c r="D20" s="483">
        <v>31256188</v>
      </c>
      <c r="E20" s="330">
        <f t="shared" si="9"/>
        <v>4214</v>
      </c>
      <c r="F20" s="483">
        <v>3399524</v>
      </c>
      <c r="G20" s="331">
        <f t="shared" si="0"/>
        <v>2260.3999999999069</v>
      </c>
      <c r="H20" s="483">
        <v>17186358</v>
      </c>
      <c r="I20" s="331">
        <f t="shared" si="10"/>
        <v>2454</v>
      </c>
      <c r="J20" s="483">
        <v>28201890</v>
      </c>
      <c r="K20" s="331">
        <f t="shared" si="11"/>
        <v>2442</v>
      </c>
      <c r="L20" s="483">
        <v>22462278</v>
      </c>
      <c r="M20" s="331">
        <f t="shared" si="12"/>
        <v>3714</v>
      </c>
      <c r="N20" s="329">
        <f t="shared" si="13"/>
        <v>15084.399999999907</v>
      </c>
      <c r="O20" s="505">
        <f t="shared" si="22"/>
        <v>386.70016406890653</v>
      </c>
      <c r="P20" s="483">
        <v>15180.468000000001</v>
      </c>
      <c r="Q20" s="487">
        <f t="shared" si="24"/>
        <v>2255.0000000010186</v>
      </c>
      <c r="R20" s="487">
        <f t="shared" si="17"/>
        <v>12829.399999998888</v>
      </c>
      <c r="S20" s="483">
        <v>8295</v>
      </c>
      <c r="T20" s="507">
        <f t="shared" si="2"/>
        <v>0</v>
      </c>
      <c r="U20" s="483">
        <v>1007268</v>
      </c>
      <c r="V20" s="487">
        <f t="shared" si="14"/>
        <v>0</v>
      </c>
      <c r="W20" s="483">
        <v>31756</v>
      </c>
      <c r="X20" s="487">
        <f t="shared" si="20"/>
        <v>0</v>
      </c>
      <c r="Y20" s="483">
        <v>609395</v>
      </c>
      <c r="Z20" s="487">
        <f t="shared" si="18"/>
        <v>826</v>
      </c>
      <c r="AA20" s="483">
        <v>34822</v>
      </c>
      <c r="AB20" s="487">
        <f t="shared" si="15"/>
        <v>4</v>
      </c>
      <c r="AC20" s="483">
        <v>730176</v>
      </c>
      <c r="AD20" s="487">
        <f t="shared" si="25"/>
        <v>775</v>
      </c>
      <c r="AE20" s="510">
        <f t="shared" si="7"/>
        <v>4</v>
      </c>
      <c r="AF20" s="511">
        <f t="shared" si="8"/>
        <v>1601</v>
      </c>
      <c r="AG20" s="503">
        <f t="shared" si="23"/>
        <v>400.25</v>
      </c>
      <c r="AI20" s="504">
        <f>R20-'EDl log'!B18</f>
        <v>-49153813.600000001</v>
      </c>
    </row>
    <row r="21" spans="1:35">
      <c r="A21" s="495">
        <f>'General information '!F24</f>
        <v>0.1739</v>
      </c>
      <c r="B21" s="489">
        <f t="shared" si="5"/>
        <v>39.997</v>
      </c>
      <c r="C21" s="496">
        <v>43818</v>
      </c>
      <c r="D21" s="483">
        <v>31260094</v>
      </c>
      <c r="E21" s="330">
        <f t="shared" si="9"/>
        <v>3906</v>
      </c>
      <c r="F21" s="483">
        <v>3401960</v>
      </c>
      <c r="G21" s="331">
        <f t="shared" si="0"/>
        <v>2436</v>
      </c>
      <c r="H21" s="483">
        <v>17189050</v>
      </c>
      <c r="I21" s="331">
        <f t="shared" si="10"/>
        <v>2692</v>
      </c>
      <c r="J21" s="483">
        <v>28204438</v>
      </c>
      <c r="K21" s="331">
        <f t="shared" si="11"/>
        <v>2548</v>
      </c>
      <c r="L21" s="483">
        <v>22466890</v>
      </c>
      <c r="M21" s="331">
        <f t="shared" si="12"/>
        <v>4612</v>
      </c>
      <c r="N21" s="329">
        <f t="shared" si="13"/>
        <v>16194</v>
      </c>
      <c r="O21" s="505">
        <f t="shared" si="22"/>
        <v>404.88036602745206</v>
      </c>
      <c r="P21" s="483">
        <v>15182.561</v>
      </c>
      <c r="Q21" s="487">
        <f>(P21-P20)*1000</f>
        <v>2092.9999999989377</v>
      </c>
      <c r="R21" s="487">
        <f t="shared" si="17"/>
        <v>14101.000000001062</v>
      </c>
      <c r="S21" s="483">
        <v>8299</v>
      </c>
      <c r="T21" s="507">
        <f t="shared" si="2"/>
        <v>4</v>
      </c>
      <c r="U21" s="483">
        <v>1007937</v>
      </c>
      <c r="V21" s="487">
        <f t="shared" si="14"/>
        <v>669</v>
      </c>
      <c r="W21" s="483">
        <v>31764</v>
      </c>
      <c r="X21" s="487">
        <f t="shared" si="20"/>
        <v>8</v>
      </c>
      <c r="Y21" s="483">
        <v>610237</v>
      </c>
      <c r="Z21" s="487">
        <f t="shared" si="18"/>
        <v>842</v>
      </c>
      <c r="AA21" s="483">
        <v>34823</v>
      </c>
      <c r="AB21" s="487">
        <f t="shared" si="15"/>
        <v>1</v>
      </c>
      <c r="AC21" s="483">
        <v>730342</v>
      </c>
      <c r="AD21" s="487">
        <f t="shared" si="25"/>
        <v>166</v>
      </c>
      <c r="AE21" s="510">
        <f t="shared" si="7"/>
        <v>13</v>
      </c>
      <c r="AF21" s="511">
        <f t="shared" si="8"/>
        <v>1677</v>
      </c>
      <c r="AG21" s="503">
        <f t="shared" si="23"/>
        <v>129</v>
      </c>
      <c r="AI21" s="504">
        <f>R21-'EDl log'!B19</f>
        <v>-49159251</v>
      </c>
    </row>
    <row r="22" spans="1:35">
      <c r="A22" s="495">
        <f>'General information '!F25</f>
        <v>0.24779999999999999</v>
      </c>
      <c r="B22" s="489">
        <f t="shared" si="5"/>
        <v>56.994</v>
      </c>
      <c r="C22" s="496">
        <v>43819</v>
      </c>
      <c r="D22" s="483">
        <v>31264518</v>
      </c>
      <c r="E22" s="330">
        <f t="shared" si="9"/>
        <v>4424</v>
      </c>
      <c r="F22" s="483">
        <v>3404378</v>
      </c>
      <c r="G22" s="331">
        <f t="shared" si="0"/>
        <v>2418</v>
      </c>
      <c r="H22" s="483">
        <v>17191568</v>
      </c>
      <c r="I22" s="331">
        <f t="shared" si="10"/>
        <v>2518</v>
      </c>
      <c r="J22" s="483">
        <v>28207352</v>
      </c>
      <c r="K22" s="331">
        <f t="shared" si="11"/>
        <v>2914</v>
      </c>
      <c r="L22" s="483">
        <v>22470576</v>
      </c>
      <c r="M22" s="331">
        <f t="shared" si="12"/>
        <v>3686</v>
      </c>
      <c r="N22" s="329">
        <f t="shared" si="13"/>
        <v>15960</v>
      </c>
      <c r="O22" s="505">
        <f t="shared" si="22"/>
        <v>280.02947678703021</v>
      </c>
      <c r="P22" s="483">
        <v>15185.235000000001</v>
      </c>
      <c r="Q22" s="487">
        <f t="shared" si="24"/>
        <v>2674.0000000008877</v>
      </c>
      <c r="R22" s="487">
        <f t="shared" si="17"/>
        <v>13285.999999999112</v>
      </c>
      <c r="S22" s="483">
        <v>8299</v>
      </c>
      <c r="T22" s="507">
        <f t="shared" si="2"/>
        <v>0</v>
      </c>
      <c r="U22" s="483">
        <f>U21</f>
        <v>1007937</v>
      </c>
      <c r="V22" s="487">
        <f t="shared" si="14"/>
        <v>0</v>
      </c>
      <c r="W22" s="483">
        <v>31771</v>
      </c>
      <c r="X22" s="487">
        <f t="shared" si="20"/>
        <v>7</v>
      </c>
      <c r="Y22" s="483">
        <v>611383</v>
      </c>
      <c r="Z22" s="487">
        <f t="shared" si="18"/>
        <v>1146</v>
      </c>
      <c r="AA22" s="483">
        <v>34827</v>
      </c>
      <c r="AB22" s="487">
        <f t="shared" si="15"/>
        <v>4</v>
      </c>
      <c r="AC22" s="483">
        <v>731256</v>
      </c>
      <c r="AD22" s="487">
        <f t="shared" si="25"/>
        <v>914</v>
      </c>
      <c r="AE22" s="510">
        <f t="shared" si="7"/>
        <v>11</v>
      </c>
      <c r="AF22" s="511">
        <f t="shared" si="8"/>
        <v>2060</v>
      </c>
      <c r="AG22" s="503">
        <f t="shared" si="23"/>
        <v>187.27272727272728</v>
      </c>
      <c r="AI22" s="504">
        <f>R22-'EDl log'!B20</f>
        <v>-49166753</v>
      </c>
    </row>
    <row r="23" spans="1:35">
      <c r="A23" s="495">
        <f>'General information '!F26</f>
        <v>0.18260000000000001</v>
      </c>
      <c r="B23" s="489">
        <f t="shared" si="5"/>
        <v>41.998000000000005</v>
      </c>
      <c r="C23" s="496">
        <v>43820</v>
      </c>
      <c r="D23" s="483">
        <v>31267894</v>
      </c>
      <c r="E23" s="330">
        <f t="shared" si="9"/>
        <v>3376</v>
      </c>
      <c r="F23" s="483">
        <v>3406655.2</v>
      </c>
      <c r="G23" s="331">
        <f t="shared" si="0"/>
        <v>2277.2000000001863</v>
      </c>
      <c r="H23" s="483">
        <v>17194074</v>
      </c>
      <c r="I23" s="475">
        <f t="shared" si="10"/>
        <v>2506</v>
      </c>
      <c r="J23" s="483">
        <v>28209816</v>
      </c>
      <c r="K23" s="331">
        <f t="shared" si="11"/>
        <v>2464</v>
      </c>
      <c r="L23" s="483">
        <v>22474218</v>
      </c>
      <c r="M23" s="331">
        <f t="shared" si="12"/>
        <v>3642</v>
      </c>
      <c r="N23" s="329">
        <f t="shared" si="13"/>
        <v>14265.200000000186</v>
      </c>
      <c r="O23" s="505">
        <f t="shared" si="22"/>
        <v>339.66379351398126</v>
      </c>
      <c r="P23" s="483">
        <v>15187.7</v>
      </c>
      <c r="Q23" s="487">
        <f t="shared" si="24"/>
        <v>2465.0000000001455</v>
      </c>
      <c r="R23" s="487">
        <f t="shared" si="17"/>
        <v>11800.200000000041</v>
      </c>
      <c r="S23" s="483">
        <v>8300</v>
      </c>
      <c r="T23" s="507">
        <f t="shared" si="2"/>
        <v>1</v>
      </c>
      <c r="U23" s="483">
        <v>1008255</v>
      </c>
      <c r="V23" s="487">
        <f t="shared" si="14"/>
        <v>318</v>
      </c>
      <c r="W23" s="483">
        <v>31775</v>
      </c>
      <c r="X23" s="487">
        <f t="shared" si="20"/>
        <v>4</v>
      </c>
      <c r="Y23" s="483">
        <v>612256</v>
      </c>
      <c r="Z23" s="487">
        <f t="shared" si="18"/>
        <v>873</v>
      </c>
      <c r="AA23" s="483">
        <v>34828</v>
      </c>
      <c r="AB23" s="487">
        <f t="shared" si="15"/>
        <v>1</v>
      </c>
      <c r="AC23" s="483">
        <v>731481</v>
      </c>
      <c r="AD23" s="487">
        <f t="shared" si="25"/>
        <v>225</v>
      </c>
      <c r="AE23" s="510">
        <f t="shared" si="7"/>
        <v>6</v>
      </c>
      <c r="AF23" s="511">
        <f t="shared" si="8"/>
        <v>1416</v>
      </c>
      <c r="AG23" s="503">
        <f t="shared" si="23"/>
        <v>236</v>
      </c>
      <c r="AI23" s="504">
        <f>R23-'EDl log'!B21</f>
        <v>-49174887.799999997</v>
      </c>
    </row>
    <row r="24" spans="1:35">
      <c r="A24" s="495">
        <f>'General information '!F27</f>
        <v>0.26090000000000002</v>
      </c>
      <c r="B24" s="489">
        <f t="shared" si="5"/>
        <v>60.007000000000005</v>
      </c>
      <c r="C24" s="496">
        <v>43821</v>
      </c>
      <c r="D24" s="483">
        <v>31272316</v>
      </c>
      <c r="E24" s="330">
        <f t="shared" si="9"/>
        <v>4422</v>
      </c>
      <c r="F24" s="483">
        <v>3409014</v>
      </c>
      <c r="G24" s="331">
        <f t="shared" si="0"/>
        <v>2358.7999999998137</v>
      </c>
      <c r="H24" s="483">
        <v>17196654</v>
      </c>
      <c r="I24" s="331">
        <f t="shared" si="10"/>
        <v>2580</v>
      </c>
      <c r="J24" s="483">
        <v>28211594</v>
      </c>
      <c r="K24" s="331">
        <f t="shared" si="11"/>
        <v>1778</v>
      </c>
      <c r="L24" s="483">
        <v>22478254</v>
      </c>
      <c r="M24" s="331">
        <f t="shared" si="12"/>
        <v>4036</v>
      </c>
      <c r="N24" s="329">
        <f t="shared" si="13"/>
        <v>15174.799999999814</v>
      </c>
      <c r="O24" s="505">
        <f t="shared" si="22"/>
        <v>252.88383021980457</v>
      </c>
      <c r="P24" s="483">
        <v>15189.714</v>
      </c>
      <c r="Q24" s="487">
        <f t="shared" si="24"/>
        <v>2013.9999999992142</v>
      </c>
      <c r="R24" s="487">
        <f t="shared" si="17"/>
        <v>13160.8000000006</v>
      </c>
      <c r="S24" s="483">
        <v>8301</v>
      </c>
      <c r="T24" s="507">
        <f t="shared" si="2"/>
        <v>1</v>
      </c>
      <c r="U24" s="483">
        <v>1008471</v>
      </c>
      <c r="V24" s="487">
        <f t="shared" si="14"/>
        <v>216</v>
      </c>
      <c r="W24" s="483">
        <v>31775</v>
      </c>
      <c r="X24" s="487">
        <f t="shared" si="20"/>
        <v>0</v>
      </c>
      <c r="Y24" s="483">
        <v>612256</v>
      </c>
      <c r="Z24" s="487">
        <f t="shared" si="18"/>
        <v>0</v>
      </c>
      <c r="AA24" s="483">
        <v>34833</v>
      </c>
      <c r="AB24" s="487">
        <f t="shared" si="15"/>
        <v>5</v>
      </c>
      <c r="AC24" s="483">
        <v>732546</v>
      </c>
      <c r="AD24" s="487">
        <f t="shared" si="25"/>
        <v>1065</v>
      </c>
      <c r="AE24" s="510">
        <f t="shared" si="7"/>
        <v>6</v>
      </c>
      <c r="AF24" s="511">
        <f t="shared" si="8"/>
        <v>1281</v>
      </c>
      <c r="AG24" s="503">
        <f t="shared" si="23"/>
        <v>213.5</v>
      </c>
      <c r="AI24" s="504">
        <f>R24-'EDl log'!B22</f>
        <v>-49180843.200000003</v>
      </c>
    </row>
    <row r="25" spans="1:35">
      <c r="A25" s="495">
        <f>'General information '!F28</f>
        <v>0.25650000000000001</v>
      </c>
      <c r="B25" s="489">
        <f t="shared" si="5"/>
        <v>58.995000000000005</v>
      </c>
      <c r="C25" s="496">
        <v>43822</v>
      </c>
      <c r="D25" s="483">
        <v>31276616</v>
      </c>
      <c r="E25" s="330">
        <f t="shared" si="9"/>
        <v>4300</v>
      </c>
      <c r="F25" s="483">
        <v>3411391.2</v>
      </c>
      <c r="G25" s="331">
        <f t="shared" si="0"/>
        <v>2377.2000000001863</v>
      </c>
      <c r="H25" s="483">
        <v>17199264</v>
      </c>
      <c r="I25" s="331">
        <f t="shared" si="10"/>
        <v>2610</v>
      </c>
      <c r="J25" s="483">
        <v>28213838</v>
      </c>
      <c r="K25" s="331">
        <f t="shared" si="11"/>
        <v>2244</v>
      </c>
      <c r="L25" s="483">
        <v>22484236</v>
      </c>
      <c r="M25" s="331">
        <f t="shared" si="12"/>
        <v>5982</v>
      </c>
      <c r="N25" s="329">
        <f t="shared" si="13"/>
        <v>17513.200000000186</v>
      </c>
      <c r="O25" s="505">
        <f t="shared" si="22"/>
        <v>296.85905585219399</v>
      </c>
      <c r="P25" s="483">
        <v>15193.016</v>
      </c>
      <c r="Q25" s="487">
        <f t="shared" si="24"/>
        <v>3301.9999999996799</v>
      </c>
      <c r="R25" s="487">
        <f t="shared" si="17"/>
        <v>14211.200000000506</v>
      </c>
      <c r="S25" s="483">
        <v>8308</v>
      </c>
      <c r="T25" s="507">
        <f t="shared" si="2"/>
        <v>7</v>
      </c>
      <c r="U25" s="483">
        <v>1010079</v>
      </c>
      <c r="V25" s="487">
        <f t="shared" si="14"/>
        <v>1608</v>
      </c>
      <c r="W25" s="483">
        <v>31779</v>
      </c>
      <c r="X25" s="487">
        <f t="shared" si="20"/>
        <v>4</v>
      </c>
      <c r="Y25" s="483">
        <v>612978</v>
      </c>
      <c r="Z25" s="487">
        <f t="shared" si="18"/>
        <v>722</v>
      </c>
      <c r="AA25" s="483">
        <v>34834</v>
      </c>
      <c r="AB25" s="487">
        <f t="shared" si="15"/>
        <v>1</v>
      </c>
      <c r="AC25" s="483">
        <v>732838</v>
      </c>
      <c r="AD25" s="487">
        <f t="shared" si="25"/>
        <v>292</v>
      </c>
      <c r="AE25" s="510">
        <f t="shared" si="7"/>
        <v>12</v>
      </c>
      <c r="AF25" s="511">
        <f t="shared" si="8"/>
        <v>2622</v>
      </c>
      <c r="AG25" s="503">
        <f t="shared" si="23"/>
        <v>218.5</v>
      </c>
      <c r="AI25" s="504">
        <f>R25-'EDl log'!B23</f>
        <v>-49186638.799999997</v>
      </c>
    </row>
    <row r="26" spans="1:35">
      <c r="A26" s="495">
        <f>'General information '!F29</f>
        <v>0.21740000000000001</v>
      </c>
      <c r="B26" s="489">
        <f t="shared" si="5"/>
        <v>50.002000000000002</v>
      </c>
      <c r="C26" s="496">
        <v>43823</v>
      </c>
      <c r="D26" s="483">
        <v>31280234</v>
      </c>
      <c r="E26" s="330">
        <f t="shared" si="9"/>
        <v>3618</v>
      </c>
      <c r="F26" s="483">
        <v>3413858</v>
      </c>
      <c r="G26" s="331">
        <f t="shared" si="0"/>
        <v>2466.7999999998137</v>
      </c>
      <c r="H26" s="483">
        <v>17201710</v>
      </c>
      <c r="I26" s="331">
        <f t="shared" si="10"/>
        <v>2446</v>
      </c>
      <c r="J26" s="483">
        <v>28215286</v>
      </c>
      <c r="K26" s="331">
        <f t="shared" si="11"/>
        <v>1448</v>
      </c>
      <c r="L26" s="483">
        <v>22489650</v>
      </c>
      <c r="M26" s="331">
        <f t="shared" si="12"/>
        <v>5414</v>
      </c>
      <c r="N26" s="329">
        <f t="shared" si="13"/>
        <v>15392.799999999814</v>
      </c>
      <c r="O26" s="505">
        <f t="shared" si="22"/>
        <v>307.84368625254615</v>
      </c>
      <c r="P26" s="483">
        <v>15195</v>
      </c>
      <c r="Q26" s="487">
        <f t="shared" si="24"/>
        <v>1984.0000000003783</v>
      </c>
      <c r="R26" s="512">
        <f>N26-Q26</f>
        <v>13408.799999999435</v>
      </c>
      <c r="S26" s="483">
        <v>8315</v>
      </c>
      <c r="T26" s="507">
        <f t="shared" si="2"/>
        <v>7</v>
      </c>
      <c r="U26" s="483">
        <v>1011339</v>
      </c>
      <c r="V26" s="487">
        <f t="shared" si="14"/>
        <v>1260</v>
      </c>
      <c r="W26" s="483">
        <f t="shared" si="19"/>
        <v>31779</v>
      </c>
      <c r="X26" s="487">
        <f t="shared" si="20"/>
        <v>0</v>
      </c>
      <c r="Y26" s="483">
        <f t="shared" si="19"/>
        <v>612978</v>
      </c>
      <c r="Z26" s="487">
        <f t="shared" si="18"/>
        <v>0</v>
      </c>
      <c r="AA26" s="483">
        <f t="shared" si="19"/>
        <v>34834</v>
      </c>
      <c r="AB26" s="487">
        <f t="shared" si="15"/>
        <v>0</v>
      </c>
      <c r="AC26" s="483">
        <f t="shared" si="21"/>
        <v>732838</v>
      </c>
      <c r="AD26" s="487">
        <f t="shared" si="25"/>
        <v>0</v>
      </c>
      <c r="AE26" s="510">
        <f t="shared" si="7"/>
        <v>7</v>
      </c>
      <c r="AF26" s="511">
        <f t="shared" si="8"/>
        <v>1260</v>
      </c>
      <c r="AG26" s="503">
        <f t="shared" si="23"/>
        <v>180</v>
      </c>
      <c r="AI26" s="504">
        <f>R26-'EDl log'!B24</f>
        <v>-49193514.200000003</v>
      </c>
    </row>
    <row r="27" spans="1:35">
      <c r="A27" s="495">
        <f>'General information '!F30</f>
        <v>0.20430000000000001</v>
      </c>
      <c r="B27" s="489">
        <f t="shared" si="5"/>
        <v>46.989000000000004</v>
      </c>
      <c r="C27" s="496">
        <v>43824</v>
      </c>
      <c r="D27" s="483">
        <v>31283878</v>
      </c>
      <c r="E27" s="330">
        <f t="shared" si="9"/>
        <v>3644</v>
      </c>
      <c r="F27" s="483">
        <v>3416254</v>
      </c>
      <c r="G27" s="331">
        <f>F27-F26</f>
        <v>2396</v>
      </c>
      <c r="H27" s="483">
        <v>17204112</v>
      </c>
      <c r="I27" s="331">
        <f t="shared" si="10"/>
        <v>2402</v>
      </c>
      <c r="J27" s="483">
        <v>28216598</v>
      </c>
      <c r="K27" s="331">
        <f t="shared" si="11"/>
        <v>1312</v>
      </c>
      <c r="L27" s="483">
        <v>22493590</v>
      </c>
      <c r="M27" s="331">
        <f t="shared" si="12"/>
        <v>3940</v>
      </c>
      <c r="N27" s="329">
        <f t="shared" si="13"/>
        <v>13694</v>
      </c>
      <c r="O27" s="505">
        <f t="shared" si="22"/>
        <v>291.42990912766817</v>
      </c>
      <c r="P27" s="483">
        <v>15198</v>
      </c>
      <c r="Q27" s="487">
        <f t="shared" si="24"/>
        <v>3000</v>
      </c>
      <c r="R27" s="487">
        <f t="shared" si="17"/>
        <v>10694</v>
      </c>
      <c r="S27" s="483">
        <v>8315</v>
      </c>
      <c r="T27" s="507">
        <f t="shared" si="2"/>
        <v>0</v>
      </c>
      <c r="U27" s="483">
        <v>1011339</v>
      </c>
      <c r="V27" s="487">
        <f t="shared" si="14"/>
        <v>0</v>
      </c>
      <c r="W27" s="483">
        <v>31779</v>
      </c>
      <c r="X27" s="487">
        <f t="shared" si="20"/>
        <v>0</v>
      </c>
      <c r="Y27" s="483">
        <v>612978</v>
      </c>
      <c r="Z27" s="487">
        <f t="shared" si="18"/>
        <v>0</v>
      </c>
      <c r="AA27" s="483">
        <v>34840</v>
      </c>
      <c r="AB27" s="487">
        <f t="shared" si="15"/>
        <v>6</v>
      </c>
      <c r="AC27" s="483">
        <v>733811</v>
      </c>
      <c r="AD27" s="487">
        <f t="shared" si="25"/>
        <v>973</v>
      </c>
      <c r="AE27" s="510">
        <f t="shared" si="7"/>
        <v>6</v>
      </c>
      <c r="AF27" s="511">
        <f t="shared" si="8"/>
        <v>973</v>
      </c>
      <c r="AG27" s="503">
        <f t="shared" si="23"/>
        <v>162.16666666666666</v>
      </c>
      <c r="AI27" s="504">
        <f>R27-'EDl log'!B25</f>
        <v>-49203082</v>
      </c>
    </row>
    <row r="28" spans="1:35">
      <c r="A28" s="495">
        <f>'General information '!F31</f>
        <v>0.21740000000000001</v>
      </c>
      <c r="B28" s="489">
        <f t="shared" si="5"/>
        <v>50.002000000000002</v>
      </c>
      <c r="C28" s="496">
        <v>43825</v>
      </c>
      <c r="D28" s="483">
        <v>31286950</v>
      </c>
      <c r="E28" s="330">
        <f t="shared" si="9"/>
        <v>3072</v>
      </c>
      <c r="F28" s="483">
        <v>3418544</v>
      </c>
      <c r="G28" s="331">
        <f t="shared" si="0"/>
        <v>2290</v>
      </c>
      <c r="H28" s="483">
        <v>17206454</v>
      </c>
      <c r="I28" s="331">
        <f t="shared" si="10"/>
        <v>2342</v>
      </c>
      <c r="J28" s="483">
        <v>28218982</v>
      </c>
      <c r="K28" s="331">
        <f t="shared" si="11"/>
        <v>2384</v>
      </c>
      <c r="L28" s="483">
        <v>22497322</v>
      </c>
      <c r="M28" s="331">
        <f t="shared" si="12"/>
        <v>3732</v>
      </c>
      <c r="N28" s="329">
        <f t="shared" si="13"/>
        <v>13820</v>
      </c>
      <c r="O28" s="505">
        <f t="shared" si="22"/>
        <v>276.38894444222228</v>
      </c>
      <c r="P28" s="483">
        <v>15201.177</v>
      </c>
      <c r="Q28" s="487">
        <f t="shared" si="24"/>
        <v>3176.9999999996799</v>
      </c>
      <c r="R28" s="487">
        <f>N28-Q28</f>
        <v>10643.00000000032</v>
      </c>
      <c r="S28" s="483">
        <v>8315</v>
      </c>
      <c r="T28" s="507">
        <f t="shared" si="2"/>
        <v>0</v>
      </c>
      <c r="U28" s="483">
        <v>1011339</v>
      </c>
      <c r="V28" s="487">
        <f t="shared" si="14"/>
        <v>0</v>
      </c>
      <c r="W28" s="483">
        <v>31783</v>
      </c>
      <c r="X28" s="487">
        <f t="shared" si="20"/>
        <v>4</v>
      </c>
      <c r="Y28" s="483">
        <v>613817</v>
      </c>
      <c r="Z28" s="487">
        <f t="shared" si="18"/>
        <v>839</v>
      </c>
      <c r="AA28" s="483">
        <v>34840</v>
      </c>
      <c r="AB28" s="487">
        <f t="shared" si="15"/>
        <v>0</v>
      </c>
      <c r="AC28" s="483">
        <v>733811</v>
      </c>
      <c r="AD28" s="487">
        <f t="shared" si="25"/>
        <v>0</v>
      </c>
      <c r="AE28" s="510">
        <f t="shared" si="7"/>
        <v>4</v>
      </c>
      <c r="AF28" s="511">
        <f t="shared" si="8"/>
        <v>839</v>
      </c>
      <c r="AG28" s="503">
        <f t="shared" si="23"/>
        <v>209.75</v>
      </c>
      <c r="AI28" s="504">
        <f>R28-'EDl log'!B26</f>
        <v>-49210466</v>
      </c>
    </row>
    <row r="29" spans="1:35">
      <c r="A29" s="495">
        <f>'General information '!F32</f>
        <v>0.2913</v>
      </c>
      <c r="B29" s="489">
        <f>SUM(230*A29)</f>
        <v>66.998999999999995</v>
      </c>
      <c r="C29" s="496">
        <v>43826</v>
      </c>
      <c r="D29" s="483">
        <v>31290742</v>
      </c>
      <c r="E29" s="330">
        <f t="shared" si="9"/>
        <v>3792</v>
      </c>
      <c r="F29" s="483">
        <v>3421098</v>
      </c>
      <c r="G29" s="331">
        <f t="shared" si="0"/>
        <v>2554</v>
      </c>
      <c r="H29" s="483">
        <v>17208996</v>
      </c>
      <c r="I29" s="331">
        <f t="shared" si="10"/>
        <v>2542</v>
      </c>
      <c r="J29" s="483">
        <v>28220566</v>
      </c>
      <c r="K29" s="331">
        <f t="shared" si="11"/>
        <v>1584</v>
      </c>
      <c r="L29" s="483">
        <v>22503438</v>
      </c>
      <c r="M29" s="331">
        <f t="shared" si="12"/>
        <v>6116</v>
      </c>
      <c r="N29" s="329">
        <f t="shared" si="13"/>
        <v>16588</v>
      </c>
      <c r="O29" s="505">
        <f t="shared" si="22"/>
        <v>247.58578486246066</v>
      </c>
      <c r="P29" s="483">
        <v>15205</v>
      </c>
      <c r="Q29" s="487">
        <f t="shared" si="24"/>
        <v>3823.0000000003201</v>
      </c>
      <c r="R29" s="487">
        <f t="shared" si="17"/>
        <v>12764.99999999968</v>
      </c>
      <c r="S29" s="483">
        <v>8322</v>
      </c>
      <c r="T29" s="507">
        <f t="shared" si="2"/>
        <v>7</v>
      </c>
      <c r="U29" s="483">
        <v>1012777</v>
      </c>
      <c r="V29" s="487">
        <f t="shared" si="14"/>
        <v>1438</v>
      </c>
      <c r="W29" s="483">
        <v>31783</v>
      </c>
      <c r="X29" s="487">
        <f t="shared" si="20"/>
        <v>0</v>
      </c>
      <c r="Y29" s="483">
        <f t="shared" si="19"/>
        <v>613817</v>
      </c>
      <c r="Z29" s="487">
        <f t="shared" si="18"/>
        <v>0</v>
      </c>
      <c r="AA29" s="483">
        <f t="shared" si="19"/>
        <v>34840</v>
      </c>
      <c r="AB29" s="487">
        <f t="shared" si="15"/>
        <v>0</v>
      </c>
      <c r="AC29" s="483">
        <f t="shared" si="21"/>
        <v>733811</v>
      </c>
      <c r="AD29" s="487">
        <f t="shared" si="25"/>
        <v>0</v>
      </c>
      <c r="AE29" s="510">
        <f t="shared" si="7"/>
        <v>7</v>
      </c>
      <c r="AF29" s="511">
        <f t="shared" si="8"/>
        <v>1438</v>
      </c>
      <c r="AG29" s="503">
        <f t="shared" si="23"/>
        <v>205.42857142857142</v>
      </c>
      <c r="AI29" s="504">
        <f>R29-'EDl log'!B27</f>
        <v>-49214894</v>
      </c>
    </row>
    <row r="30" spans="1:35">
      <c r="A30" s="495">
        <f>'General information '!F33</f>
        <v>0.2913</v>
      </c>
      <c r="B30" s="489">
        <f t="shared" si="5"/>
        <v>66.998999999999995</v>
      </c>
      <c r="C30" s="496">
        <v>43827</v>
      </c>
      <c r="D30" s="483">
        <v>31294576</v>
      </c>
      <c r="E30" s="330">
        <f t="shared" si="9"/>
        <v>3834</v>
      </c>
      <c r="F30" s="483">
        <v>3423614</v>
      </c>
      <c r="G30" s="331">
        <f t="shared" si="0"/>
        <v>2516</v>
      </c>
      <c r="H30" s="483">
        <v>17211568</v>
      </c>
      <c r="I30" s="331">
        <f t="shared" si="10"/>
        <v>2572</v>
      </c>
      <c r="J30" s="483">
        <v>28222350</v>
      </c>
      <c r="K30" s="331">
        <f t="shared" si="11"/>
        <v>1784</v>
      </c>
      <c r="L30" s="483">
        <v>22508414</v>
      </c>
      <c r="M30" s="331">
        <f t="shared" si="12"/>
        <v>4976</v>
      </c>
      <c r="N30" s="329">
        <f t="shared" si="13"/>
        <v>15682</v>
      </c>
      <c r="O30" s="505">
        <f t="shared" si="22"/>
        <v>234.06319497305932</v>
      </c>
      <c r="P30" s="483">
        <v>15208</v>
      </c>
      <c r="Q30" s="487">
        <f t="shared" si="24"/>
        <v>3000</v>
      </c>
      <c r="R30" s="487">
        <f t="shared" si="17"/>
        <v>12682</v>
      </c>
      <c r="S30" s="483">
        <v>8325</v>
      </c>
      <c r="T30" s="507">
        <f t="shared" si="2"/>
        <v>3</v>
      </c>
      <c r="U30" s="483">
        <v>1013316</v>
      </c>
      <c r="V30" s="487">
        <f t="shared" si="14"/>
        <v>539</v>
      </c>
      <c r="W30" s="483">
        <v>31785</v>
      </c>
      <c r="X30" s="508">
        <f t="shared" si="20"/>
        <v>2</v>
      </c>
      <c r="Y30" s="483">
        <v>614104</v>
      </c>
      <c r="Z30" s="487">
        <f t="shared" si="18"/>
        <v>287</v>
      </c>
      <c r="AA30" s="483">
        <v>34844</v>
      </c>
      <c r="AB30" s="487">
        <f t="shared" si="15"/>
        <v>4</v>
      </c>
      <c r="AC30" s="483">
        <v>734373</v>
      </c>
      <c r="AD30" s="487">
        <f t="shared" si="25"/>
        <v>562</v>
      </c>
      <c r="AE30" s="510">
        <f t="shared" si="7"/>
        <v>9</v>
      </c>
      <c r="AF30" s="511">
        <f t="shared" si="8"/>
        <v>1388</v>
      </c>
      <c r="AG30" s="503">
        <f t="shared" si="23"/>
        <v>154.22222222222223</v>
      </c>
      <c r="AI30" s="504">
        <f>R30-'EDl log'!B28</f>
        <v>-49220756</v>
      </c>
    </row>
    <row r="31" spans="1:35">
      <c r="A31" s="495">
        <f>'General information '!F34</f>
        <v>0.34499999999999997</v>
      </c>
      <c r="B31" s="489">
        <f t="shared" si="5"/>
        <v>79.349999999999994</v>
      </c>
      <c r="C31" s="496">
        <v>43828</v>
      </c>
      <c r="D31" s="483">
        <v>31299550</v>
      </c>
      <c r="E31" s="330">
        <f t="shared" si="9"/>
        <v>4974</v>
      </c>
      <c r="F31" s="483">
        <v>3426257</v>
      </c>
      <c r="G31" s="331">
        <f t="shared" si="0"/>
        <v>2643</v>
      </c>
      <c r="H31" s="483">
        <v>17214298</v>
      </c>
      <c r="I31" s="331">
        <f t="shared" si="10"/>
        <v>2730</v>
      </c>
      <c r="J31" s="483">
        <v>28224982</v>
      </c>
      <c r="K31" s="331">
        <f t="shared" si="11"/>
        <v>2632</v>
      </c>
      <c r="L31" s="483">
        <v>22513108</v>
      </c>
      <c r="M31" s="331">
        <f t="shared" si="12"/>
        <v>4694</v>
      </c>
      <c r="N31" s="329">
        <f t="shared" si="13"/>
        <v>17673</v>
      </c>
      <c r="O31" s="505">
        <f t="shared" si="22"/>
        <v>222.72211720226844</v>
      </c>
      <c r="P31" s="483">
        <v>15211.678</v>
      </c>
      <c r="Q31" s="487">
        <f t="shared" si="24"/>
        <v>3677.9999999998836</v>
      </c>
      <c r="R31" s="487">
        <f t="shared" si="17"/>
        <v>13995.000000000116</v>
      </c>
      <c r="S31" s="483">
        <v>8325</v>
      </c>
      <c r="T31" s="507">
        <f t="shared" si="2"/>
        <v>0</v>
      </c>
      <c r="U31" s="483">
        <v>1013316</v>
      </c>
      <c r="V31" s="487">
        <f t="shared" si="14"/>
        <v>0</v>
      </c>
      <c r="W31" s="483">
        <v>31790</v>
      </c>
      <c r="X31" s="487">
        <f t="shared" si="20"/>
        <v>5</v>
      </c>
      <c r="Y31" s="483">
        <v>615043</v>
      </c>
      <c r="Z31" s="509">
        <f>Y31-Y30</f>
        <v>939</v>
      </c>
      <c r="AA31" s="483">
        <v>34848</v>
      </c>
      <c r="AB31" s="487">
        <f t="shared" si="15"/>
        <v>4</v>
      </c>
      <c r="AC31" s="483">
        <v>735114</v>
      </c>
      <c r="AD31" s="487">
        <f t="shared" si="25"/>
        <v>741</v>
      </c>
      <c r="AE31" s="510">
        <f t="shared" si="7"/>
        <v>9</v>
      </c>
      <c r="AF31" s="511">
        <f t="shared" si="8"/>
        <v>1680</v>
      </c>
      <c r="AG31" s="503">
        <f t="shared" si="23"/>
        <v>186.66666666666666</v>
      </c>
      <c r="AI31" s="504">
        <f>R31-'EDl log'!B29</f>
        <v>-49225048</v>
      </c>
    </row>
    <row r="32" spans="1:35">
      <c r="A32" s="495">
        <f>'General information '!F35</f>
        <v>0.34499999999999997</v>
      </c>
      <c r="B32" s="489">
        <f>SUM(230*A32)</f>
        <v>79.349999999999994</v>
      </c>
      <c r="C32" s="496">
        <v>43829</v>
      </c>
      <c r="D32" s="483">
        <v>31304560</v>
      </c>
      <c r="E32" s="330">
        <f t="shared" si="9"/>
        <v>5010</v>
      </c>
      <c r="F32" s="483">
        <v>3428870</v>
      </c>
      <c r="G32" s="331">
        <f>F32-F31</f>
        <v>2613</v>
      </c>
      <c r="H32" s="483">
        <v>17217114</v>
      </c>
      <c r="I32" s="331">
        <f>H32-H31</f>
        <v>2816</v>
      </c>
      <c r="J32" s="483">
        <v>28227042</v>
      </c>
      <c r="K32" s="331">
        <f>J32-J31</f>
        <v>2060</v>
      </c>
      <c r="L32" s="483">
        <v>22518770</v>
      </c>
      <c r="M32" s="331">
        <f>L32-L31</f>
        <v>5662</v>
      </c>
      <c r="N32" s="329">
        <f>M32+K32+I32+G32+E32</f>
        <v>18161</v>
      </c>
      <c r="O32" s="505">
        <f t="shared" si="22"/>
        <v>228.87208569628231</v>
      </c>
      <c r="P32" s="483">
        <v>15214.705</v>
      </c>
      <c r="Q32" s="487">
        <f>(P32-P31)*1000</f>
        <v>3027.0000000000437</v>
      </c>
      <c r="R32" s="487">
        <f>N32-Q32</f>
        <v>15133.999999999956</v>
      </c>
      <c r="S32" s="483">
        <v>8334</v>
      </c>
      <c r="T32" s="507">
        <f t="shared" si="2"/>
        <v>9</v>
      </c>
      <c r="U32" s="483">
        <v>1014633</v>
      </c>
      <c r="V32" s="487">
        <f t="shared" si="14"/>
        <v>1317</v>
      </c>
      <c r="W32" s="483">
        <v>31790</v>
      </c>
      <c r="X32" s="487">
        <f t="shared" si="20"/>
        <v>0</v>
      </c>
      <c r="Y32" s="483">
        <f t="shared" si="19"/>
        <v>615043</v>
      </c>
      <c r="Z32" s="509">
        <f>Y32-Y31</f>
        <v>0</v>
      </c>
      <c r="AA32" s="483">
        <v>34851</v>
      </c>
      <c r="AB32" s="487">
        <f t="shared" si="15"/>
        <v>3</v>
      </c>
      <c r="AC32" s="483">
        <v>735699</v>
      </c>
      <c r="AD32" s="487">
        <f t="shared" si="25"/>
        <v>585</v>
      </c>
      <c r="AE32" s="510">
        <f t="shared" si="7"/>
        <v>12</v>
      </c>
      <c r="AF32" s="511">
        <f>V32+Z32+AD32</f>
        <v>1902</v>
      </c>
      <c r="AG32" s="503">
        <f t="shared" si="23"/>
        <v>158.5</v>
      </c>
      <c r="AI32" s="504">
        <f>R32-'EDl log'!B30</f>
        <v>-49230051</v>
      </c>
    </row>
    <row r="33" spans="1:35">
      <c r="A33" s="495">
        <f>'General information '!F36</f>
        <v>0.5</v>
      </c>
      <c r="B33" s="489">
        <f>SUM(230*A33)</f>
        <v>115</v>
      </c>
      <c r="C33" s="496">
        <v>43830</v>
      </c>
      <c r="D33" s="483">
        <v>31308238</v>
      </c>
      <c r="E33" s="330">
        <f>D33-D32</f>
        <v>3678</v>
      </c>
      <c r="F33" s="483">
        <v>3431349</v>
      </c>
      <c r="G33" s="331">
        <f>F33-F32</f>
        <v>2479</v>
      </c>
      <c r="H33" s="483">
        <v>17219918</v>
      </c>
      <c r="I33" s="331">
        <f>H33-H32</f>
        <v>2804</v>
      </c>
      <c r="J33" s="483">
        <v>28230090</v>
      </c>
      <c r="K33" s="331">
        <f>J33-J32</f>
        <v>3048</v>
      </c>
      <c r="L33" s="483">
        <v>22522846</v>
      </c>
      <c r="M33" s="331">
        <f>L33-L32</f>
        <v>4076</v>
      </c>
      <c r="N33" s="329">
        <f>M33+K33+I33+G33+E33</f>
        <v>16085</v>
      </c>
      <c r="O33" s="505">
        <f>IF(B33&gt;0,N33/B33,0)</f>
        <v>139.86956521739131</v>
      </c>
      <c r="P33" s="483">
        <v>15218.2</v>
      </c>
      <c r="Q33" s="487">
        <f>(P33-P32)*1000</f>
        <v>3495.0000000008004</v>
      </c>
      <c r="R33" s="487">
        <f>N33-Q33</f>
        <v>12589.9999999992</v>
      </c>
      <c r="S33" s="483">
        <f t="shared" si="19"/>
        <v>8334</v>
      </c>
      <c r="T33" s="507">
        <f>S33-S32</f>
        <v>0</v>
      </c>
      <c r="U33" s="483">
        <f t="shared" si="19"/>
        <v>1014633</v>
      </c>
      <c r="V33" s="487">
        <f>U33-U32</f>
        <v>0</v>
      </c>
      <c r="W33" s="483">
        <v>31800</v>
      </c>
      <c r="X33" s="487">
        <f>W33-W32</f>
        <v>10</v>
      </c>
      <c r="Y33" s="483">
        <v>616769</v>
      </c>
      <c r="Z33" s="509">
        <f>Y33-Y32</f>
        <v>1726</v>
      </c>
      <c r="AA33" s="483">
        <f t="shared" si="19"/>
        <v>34851</v>
      </c>
      <c r="AB33" s="487">
        <f>AA33-AA32</f>
        <v>0</v>
      </c>
      <c r="AC33" s="483">
        <f t="shared" ref="AC33" si="26">AC32</f>
        <v>735699</v>
      </c>
      <c r="AD33" s="487">
        <f>AC33-AC32</f>
        <v>0</v>
      </c>
      <c r="AE33" s="510">
        <f>AB33+X33+T33</f>
        <v>10</v>
      </c>
      <c r="AF33" s="511">
        <f>V33+Z33+AD33</f>
        <v>1726</v>
      </c>
      <c r="AG33" s="503">
        <f t="shared" si="23"/>
        <v>172.6</v>
      </c>
      <c r="AI33" s="504">
        <f>R33-'EDl log'!B31</f>
        <v>-49239434</v>
      </c>
    </row>
    <row r="34" spans="1:35">
      <c r="P34" s="516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zoomScale="90" zoomScaleNormal="90" workbookViewId="0">
      <pane ySplit="1" topLeftCell="A20" activePane="bottomLeft" state="frozen"/>
      <selection activeCell="AF1" sqref="AF1"/>
      <selection pane="bottomLeft" activeCell="C35" sqref="C35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8" width="7.85546875" style="42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40" customWidth="1"/>
    <col min="38" max="38" width="11.140625" style="340" bestFit="1" customWidth="1"/>
    <col min="39" max="39" width="11.42578125" style="340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32"/>
    <col min="51" max="16384" width="9.140625" style="42"/>
  </cols>
  <sheetData>
    <row r="1" spans="1:50" ht="30.75" thickBot="1">
      <c r="F1" s="590" t="s">
        <v>2</v>
      </c>
      <c r="G1" s="591"/>
      <c r="H1" s="591"/>
      <c r="I1" s="592"/>
      <c r="J1" s="295">
        <f>J36</f>
        <v>76.667478354978357</v>
      </c>
      <c r="K1" s="593" t="s">
        <v>4</v>
      </c>
      <c r="L1" s="594"/>
      <c r="M1" s="594"/>
      <c r="N1" s="594"/>
      <c r="O1" s="595"/>
      <c r="P1" s="584" t="s">
        <v>6</v>
      </c>
      <c r="Q1" s="585"/>
      <c r="R1" s="585"/>
      <c r="S1" s="585"/>
      <c r="T1" s="586"/>
      <c r="U1" s="422"/>
      <c r="V1" s="27" t="s">
        <v>104</v>
      </c>
      <c r="W1" s="423"/>
      <c r="X1" s="584" t="s">
        <v>8</v>
      </c>
      <c r="Y1" s="585"/>
      <c r="Z1" s="585"/>
      <c r="AA1" s="585"/>
      <c r="AB1" s="585"/>
      <c r="AC1" s="587" t="s">
        <v>10</v>
      </c>
      <c r="AD1" s="588"/>
      <c r="AE1" s="588"/>
      <c r="AF1" s="589"/>
      <c r="AG1" s="212"/>
      <c r="AH1" s="86" t="s">
        <v>105</v>
      </c>
      <c r="AI1" s="333" t="s">
        <v>128</v>
      </c>
      <c r="AJ1" s="333"/>
      <c r="AK1" s="333"/>
      <c r="AL1" s="333" t="s">
        <v>133</v>
      </c>
      <c r="AM1" s="333" t="s">
        <v>134</v>
      </c>
      <c r="AN1" s="335" t="s">
        <v>12</v>
      </c>
      <c r="AO1" s="335" t="s">
        <v>13</v>
      </c>
      <c r="AP1" s="335" t="s">
        <v>14</v>
      </c>
      <c r="AQ1" s="335" t="s">
        <v>15</v>
      </c>
      <c r="AR1" s="335" t="s">
        <v>16</v>
      </c>
      <c r="AS1" s="335" t="s">
        <v>17</v>
      </c>
      <c r="AT1" s="335"/>
      <c r="AU1" s="336" t="s">
        <v>18</v>
      </c>
      <c r="AV1" s="181" t="s">
        <v>71</v>
      </c>
      <c r="AW1" s="181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82"/>
      <c r="R2" s="583"/>
      <c r="S2" s="52" t="s">
        <v>7</v>
      </c>
      <c r="T2" s="53"/>
      <c r="U2" s="426" t="s">
        <v>384</v>
      </c>
      <c r="V2" s="54" t="s">
        <v>103</v>
      </c>
      <c r="W2" s="424"/>
      <c r="X2" s="55" t="s">
        <v>8</v>
      </c>
      <c r="Y2" s="46" t="s">
        <v>9</v>
      </c>
      <c r="Z2" s="413" t="s">
        <v>380</v>
      </c>
      <c r="AA2" s="414" t="s">
        <v>381</v>
      </c>
      <c r="AB2" s="294"/>
      <c r="AC2" s="49" t="s">
        <v>10</v>
      </c>
      <c r="AD2" s="56" t="s">
        <v>11</v>
      </c>
      <c r="AE2" s="57" t="s">
        <v>81</v>
      </c>
      <c r="AF2" s="58" t="s">
        <v>82</v>
      </c>
      <c r="AG2" s="213" t="s">
        <v>127</v>
      </c>
      <c r="AH2" s="54" t="s">
        <v>103</v>
      </c>
      <c r="AI2" s="334" t="s">
        <v>103</v>
      </c>
      <c r="AJ2" s="417"/>
      <c r="AK2" s="417"/>
      <c r="AL2" s="417"/>
      <c r="AM2" s="417"/>
      <c r="AN2" s="416"/>
      <c r="AO2" s="416"/>
      <c r="AP2" s="416"/>
      <c r="AQ2" s="416"/>
      <c r="AR2" s="416"/>
      <c r="AS2" s="416"/>
      <c r="AT2" s="416"/>
      <c r="AU2" s="416"/>
      <c r="AV2" s="277"/>
      <c r="AW2" s="277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6"/>
      <c r="V3" s="59"/>
      <c r="W3" s="424"/>
      <c r="X3" s="55"/>
      <c r="Y3" s="52"/>
      <c r="Z3" s="47"/>
      <c r="AA3" s="47"/>
      <c r="AB3" s="47"/>
      <c r="AC3" s="49"/>
      <c r="AD3" s="45"/>
      <c r="AE3" s="60"/>
      <c r="AF3" s="61"/>
      <c r="AG3" s="214"/>
      <c r="AH3" s="62"/>
      <c r="AI3" s="337"/>
      <c r="AJ3" s="338"/>
      <c r="AK3" s="338"/>
      <c r="AL3" s="338"/>
      <c r="AM3" s="338"/>
    </row>
    <row r="4" spans="1:50" s="359" customFormat="1">
      <c r="A4" s="63">
        <v>43799</v>
      </c>
      <c r="B4" s="420">
        <f>[1]B5!B34</f>
        <v>217</v>
      </c>
      <c r="C4" s="420">
        <f>[1]B5!C34</f>
        <v>223</v>
      </c>
      <c r="D4" s="420">
        <f>[1]B5!D34</f>
        <v>3</v>
      </c>
      <c r="E4" s="420">
        <f>[1]B5!E34</f>
        <v>25.14</v>
      </c>
      <c r="F4" s="420">
        <f>[1]B5!F34</f>
        <v>1192</v>
      </c>
      <c r="G4" s="420">
        <f>[1]B5!G34</f>
        <v>2</v>
      </c>
      <c r="H4" s="420">
        <f>[1]B5!H34</f>
        <v>321489</v>
      </c>
      <c r="I4" s="420">
        <f>[1]B5!I34</f>
        <v>155</v>
      </c>
      <c r="J4" s="420">
        <f>[1]B5!J34</f>
        <v>77.5</v>
      </c>
      <c r="K4" s="420">
        <f>[1]B5!K34</f>
        <v>1566</v>
      </c>
      <c r="L4" s="420">
        <f>[1]B5!L34</f>
        <v>2</v>
      </c>
      <c r="M4" s="420">
        <f>[1]B5!M34</f>
        <v>114273</v>
      </c>
      <c r="N4" s="420">
        <f>[1]B5!N34</f>
        <v>92</v>
      </c>
      <c r="O4" s="420">
        <f>[1]B5!O34</f>
        <v>152.15789473684211</v>
      </c>
      <c r="P4" s="420">
        <f>[1]B5!P34</f>
        <v>1408</v>
      </c>
      <c r="Q4" s="420">
        <f>[1]B5!Q34</f>
        <v>122696</v>
      </c>
      <c r="R4" s="420">
        <f>[1]B5!R34</f>
        <v>0</v>
      </c>
      <c r="S4" s="420">
        <f>[1]B5!S34</f>
        <v>0</v>
      </c>
      <c r="T4" s="420">
        <f>[1]B5!T34</f>
        <v>0</v>
      </c>
      <c r="U4" s="420">
        <f>[1]B5!U34</f>
        <v>4</v>
      </c>
      <c r="V4" s="420">
        <f>[1]B5!V34</f>
        <v>247</v>
      </c>
      <c r="W4" s="420">
        <f>[1]B5!W34</f>
        <v>0</v>
      </c>
      <c r="X4" s="420">
        <f>[1]B5!X34</f>
        <v>2239</v>
      </c>
      <c r="Y4" s="420">
        <f>[1]B5!Y34</f>
        <v>0</v>
      </c>
      <c r="Z4" s="420">
        <f>[1]B5!Z34</f>
        <v>126340</v>
      </c>
      <c r="AA4" s="420">
        <f>[1]B5!AA34</f>
        <v>0</v>
      </c>
      <c r="AB4" s="420">
        <f>[1]B5!AB34</f>
        <v>0</v>
      </c>
      <c r="AC4" s="420">
        <f>[1]B5!AC34</f>
        <v>1688</v>
      </c>
      <c r="AD4" s="420">
        <f>[1]B5!AD34</f>
        <v>0</v>
      </c>
      <c r="AE4" s="420">
        <f>[1]B5!AE34</f>
        <v>351848</v>
      </c>
      <c r="AF4" s="420">
        <f>[1]B5!AF34</f>
        <v>0</v>
      </c>
      <c r="AG4" s="420">
        <f>[1]B5!AG34</f>
        <v>0</v>
      </c>
      <c r="AH4" s="420">
        <f>[1]B5!AH34</f>
        <v>0</v>
      </c>
      <c r="AI4" s="420">
        <f>[1]B5!AI34</f>
        <v>247</v>
      </c>
      <c r="AJ4" s="420">
        <f>[1]B5!AJ34</f>
        <v>247</v>
      </c>
      <c r="AK4" s="420">
        <f>[1]B5!AK34</f>
        <v>0</v>
      </c>
      <c r="AL4" s="420">
        <f>[1]B5!AL34</f>
        <v>4</v>
      </c>
      <c r="AM4" s="420">
        <f>[1]B5!AM34</f>
        <v>0</v>
      </c>
      <c r="AN4" s="420">
        <f>[1]B5!AN34</f>
        <v>79</v>
      </c>
      <c r="AO4" s="420">
        <f>[1]B5!AO34</f>
        <v>2370</v>
      </c>
      <c r="AP4" s="420">
        <f>[1]B5!AP34</f>
        <v>78</v>
      </c>
      <c r="AQ4" s="420">
        <f>[1]B5!AQ34</f>
        <v>2340</v>
      </c>
      <c r="AR4" s="420">
        <f>[1]B5!AR34</f>
        <v>78</v>
      </c>
      <c r="AS4" s="420">
        <f>[1]B5!AS34</f>
        <v>2340</v>
      </c>
      <c r="AT4" s="420">
        <f>[1]B5!AT34</f>
        <v>7050</v>
      </c>
      <c r="AU4" s="420">
        <f>[1]B5!AU34</f>
        <v>150</v>
      </c>
      <c r="AV4" s="420">
        <f>[1]B5!AV34</f>
        <v>0</v>
      </c>
      <c r="AW4" s="420">
        <f>[1]B5!AW34</f>
        <v>0</v>
      </c>
      <c r="AX4" s="420">
        <f>[1]B5!AX34</f>
        <v>0.7</v>
      </c>
    </row>
    <row r="5" spans="1:50">
      <c r="A5" s="63">
        <v>43800</v>
      </c>
      <c r="B5" s="64">
        <v>214</v>
      </c>
      <c r="C5" s="64">
        <v>219</v>
      </c>
      <c r="D5" s="45">
        <f t="shared" ref="D5:D34" si="0">C4-C5</f>
        <v>4</v>
      </c>
      <c r="E5" s="45">
        <f>D5*8.38</f>
        <v>33.520000000000003</v>
      </c>
      <c r="F5" s="64">
        <v>1192</v>
      </c>
      <c r="G5" s="52">
        <f t="shared" ref="G5:G34" si="1">F5-F4</f>
        <v>0</v>
      </c>
      <c r="H5" s="64">
        <v>321489</v>
      </c>
      <c r="I5" s="421">
        <f t="shared" ref="I5:I34" si="2">SUM(H5-H4)</f>
        <v>0</v>
      </c>
      <c r="J5" s="66">
        <v>1</v>
      </c>
      <c r="K5" s="64">
        <v>1567</v>
      </c>
      <c r="L5" s="52">
        <f t="shared" ref="L5:L34" si="3">K5-K4</f>
        <v>1</v>
      </c>
      <c r="M5" s="64">
        <v>114381</v>
      </c>
      <c r="N5" s="421">
        <f t="shared" ref="N5:N30" si="4">M5-M4</f>
        <v>108</v>
      </c>
      <c r="O5" s="362">
        <f t="shared" ref="O5:O34" si="5">SUM(L5*$J$1)</f>
        <v>76.667478354978357</v>
      </c>
      <c r="P5" s="64">
        <v>1410</v>
      </c>
      <c r="Q5" s="64">
        <v>122817</v>
      </c>
      <c r="R5" s="420">
        <f t="shared" ref="R5:R10" si="6">Q5-Q4</f>
        <v>121</v>
      </c>
      <c r="S5" s="52">
        <f>SUM(P5-P4)</f>
        <v>2</v>
      </c>
      <c r="T5" s="68">
        <f>SUM(S5*$T$2)</f>
        <v>0</v>
      </c>
      <c r="U5" s="427">
        <f>SUM(G5+L5+S5)</f>
        <v>3</v>
      </c>
      <c r="V5" s="62">
        <f>R5+N5+I5:I5</f>
        <v>229</v>
      </c>
      <c r="W5" s="425">
        <f>SUM(V5/U5)</f>
        <v>76.333333333333329</v>
      </c>
      <c r="X5" s="64">
        <v>2239</v>
      </c>
      <c r="Y5" s="52">
        <f>X5-X4</f>
        <v>0</v>
      </c>
      <c r="Z5" s="64">
        <v>126340</v>
      </c>
      <c r="AA5" s="65">
        <f t="shared" ref="AA5:AA34" si="7">Z5-Z4</f>
        <v>0</v>
      </c>
      <c r="AB5" s="297">
        <f>SUM(Y5*$AB$2)</f>
        <v>0</v>
      </c>
      <c r="AC5" s="64">
        <v>1688</v>
      </c>
      <c r="AD5" s="45">
        <f t="shared" ref="AD5:AD34" si="8">AC5-AC4</f>
        <v>0</v>
      </c>
      <c r="AE5" s="64">
        <v>351848</v>
      </c>
      <c r="AF5" s="325">
        <f>AE5-AE4</f>
        <v>0</v>
      </c>
      <c r="AG5" s="214">
        <f>IF(AD5&gt;0,AF5/AD5,0)</f>
        <v>0</v>
      </c>
      <c r="AH5" s="62">
        <f>AF5+AA5</f>
        <v>0</v>
      </c>
      <c r="AI5" s="337">
        <f>SUM(AH5+V5)</f>
        <v>229</v>
      </c>
      <c r="AJ5" s="337">
        <f>-tanks!AW6</f>
        <v>229</v>
      </c>
      <c r="AK5" s="337">
        <f>SUM(AJ5-AI5)</f>
        <v>0</v>
      </c>
      <c r="AL5" s="337">
        <f t="shared" ref="AL5:AL18" si="9">S5+L5+G5</f>
        <v>3</v>
      </c>
      <c r="AM5" s="337">
        <f>Y5+AD5</f>
        <v>0</v>
      </c>
      <c r="AN5" s="64">
        <v>78</v>
      </c>
      <c r="AO5" s="339">
        <f>(AN5/100)*3000</f>
        <v>2340</v>
      </c>
      <c r="AP5" s="64">
        <v>77</v>
      </c>
      <c r="AQ5" s="339">
        <f>(AP5/100)*3000</f>
        <v>2310</v>
      </c>
      <c r="AR5" s="64">
        <v>78</v>
      </c>
      <c r="AS5" s="339">
        <f>(AR5/100)*3000</f>
        <v>2340</v>
      </c>
      <c r="AT5" s="339">
        <f>SUM(AO5+AQ5+AS5)</f>
        <v>6990</v>
      </c>
      <c r="AU5" s="339">
        <f>AT4-AT5+AV5</f>
        <v>60</v>
      </c>
      <c r="AV5" s="277"/>
      <c r="AW5" s="277"/>
      <c r="AX5" s="332">
        <f>IF(AV5&gt;0,AW5,AX4)</f>
        <v>0.7</v>
      </c>
    </row>
    <row r="6" spans="1:50">
      <c r="A6" s="63">
        <v>43801</v>
      </c>
      <c r="B6" s="64">
        <v>210</v>
      </c>
      <c r="C6" s="64">
        <v>216</v>
      </c>
      <c r="D6" s="45">
        <f t="shared" si="0"/>
        <v>3</v>
      </c>
      <c r="E6" s="45">
        <f t="shared" ref="E6:E28" si="10">D6*8.38</f>
        <v>25.14</v>
      </c>
      <c r="F6" s="64">
        <v>1194</v>
      </c>
      <c r="G6" s="52">
        <f t="shared" si="1"/>
        <v>2</v>
      </c>
      <c r="H6" s="64">
        <v>321606</v>
      </c>
      <c r="I6" s="421">
        <f t="shared" si="2"/>
        <v>117</v>
      </c>
      <c r="J6" s="66">
        <f t="shared" ref="J6:J34" si="11">IF(G6&gt;0,I6/G6,0)</f>
        <v>58.5</v>
      </c>
      <c r="K6" s="64">
        <v>1567</v>
      </c>
      <c r="L6" s="52">
        <f t="shared" si="3"/>
        <v>0</v>
      </c>
      <c r="M6" s="64">
        <v>114381</v>
      </c>
      <c r="N6" s="421">
        <f t="shared" si="4"/>
        <v>0</v>
      </c>
      <c r="O6" s="67">
        <f t="shared" si="5"/>
        <v>0</v>
      </c>
      <c r="P6" s="64">
        <v>1411</v>
      </c>
      <c r="Q6" s="64">
        <v>122915</v>
      </c>
      <c r="R6" s="420">
        <f t="shared" si="6"/>
        <v>98</v>
      </c>
      <c r="S6" s="52">
        <f t="shared" ref="S6:S23" si="12">SUM(P6-P5)</f>
        <v>1</v>
      </c>
      <c r="T6" s="68">
        <f>SUM(S6*$T$2)</f>
        <v>0</v>
      </c>
      <c r="U6" s="427">
        <f t="shared" ref="U6:U35" si="13">SUM(G6+L6+S6)</f>
        <v>3</v>
      </c>
      <c r="V6" s="62">
        <f t="shared" ref="V6:V34" si="14">R6+N6+I6:I6</f>
        <v>215</v>
      </c>
      <c r="W6" s="425">
        <f t="shared" ref="W6:W16" si="15">SUM(V6/U6)</f>
        <v>71.666666666666671</v>
      </c>
      <c r="X6" s="64">
        <v>2241</v>
      </c>
      <c r="Y6" s="52">
        <f t="shared" ref="Y6:Y34" si="16">X6-X5</f>
        <v>2</v>
      </c>
      <c r="Z6" s="64">
        <v>126454</v>
      </c>
      <c r="AA6" s="65">
        <f t="shared" si="7"/>
        <v>114</v>
      </c>
      <c r="AB6" s="297">
        <f>SUM(Y6*$AB$2)</f>
        <v>0</v>
      </c>
      <c r="AC6" s="64">
        <v>1688</v>
      </c>
      <c r="AD6" s="45">
        <f t="shared" si="8"/>
        <v>0</v>
      </c>
      <c r="AE6" s="64">
        <f>AE5</f>
        <v>351848</v>
      </c>
      <c r="AF6" s="325">
        <f t="shared" ref="AF6:AF34" si="17">AE6-AE5</f>
        <v>0</v>
      </c>
      <c r="AG6" s="214">
        <f>IF(AD6&gt;0,AF6/AD6,0)</f>
        <v>0</v>
      </c>
      <c r="AH6" s="62">
        <f>AF6+AA6</f>
        <v>114</v>
      </c>
      <c r="AI6" s="337">
        <f t="shared" ref="AI6:AI34" si="18">SUM(AH6+V6)</f>
        <v>329</v>
      </c>
      <c r="AJ6" s="337">
        <f>-tanks!AW7</f>
        <v>329</v>
      </c>
      <c r="AK6" s="337">
        <f t="shared" ref="AK6:AK34" si="19">SUM(AJ6-AI6)</f>
        <v>0</v>
      </c>
      <c r="AL6" s="337">
        <f t="shared" si="9"/>
        <v>3</v>
      </c>
      <c r="AM6" s="337">
        <f t="shared" ref="AM6:AM33" si="20">Y6+AD6</f>
        <v>2</v>
      </c>
      <c r="AN6" s="64">
        <v>75</v>
      </c>
      <c r="AO6" s="339">
        <f t="shared" ref="AO6:AO26" si="21">(AN6/100)*3000</f>
        <v>2250</v>
      </c>
      <c r="AP6" s="64">
        <v>75</v>
      </c>
      <c r="AQ6" s="339">
        <f t="shared" ref="AQ6:AQ24" si="22">(AP6/100)*3000</f>
        <v>2250</v>
      </c>
      <c r="AR6" s="64">
        <f t="shared" ref="AN6:AR25" si="23">AR5</f>
        <v>78</v>
      </c>
      <c r="AS6" s="339">
        <f>(AR6/100)*3000</f>
        <v>2340</v>
      </c>
      <c r="AT6" s="339">
        <f>SUM(AO6+AQ6+AS6)</f>
        <v>6840</v>
      </c>
      <c r="AU6" s="339">
        <f>AT5-AT6+AV6</f>
        <v>150</v>
      </c>
      <c r="AV6" s="277"/>
      <c r="AW6" s="277"/>
      <c r="AX6" s="332">
        <f t="shared" ref="AX6:AX34" si="24">IF(AV6&gt;0,AW6,AX5)</f>
        <v>0.7</v>
      </c>
    </row>
    <row r="7" spans="1:50">
      <c r="A7" s="63">
        <v>43802</v>
      </c>
      <c r="B7" s="64">
        <v>205</v>
      </c>
      <c r="C7" s="64">
        <v>210</v>
      </c>
      <c r="D7" s="45">
        <f t="shared" si="0"/>
        <v>6</v>
      </c>
      <c r="E7" s="45">
        <f t="shared" si="10"/>
        <v>50.28</v>
      </c>
      <c r="F7" s="64">
        <v>1196</v>
      </c>
      <c r="G7" s="52">
        <f t="shared" si="1"/>
        <v>2</v>
      </c>
      <c r="H7" s="64">
        <v>321743</v>
      </c>
      <c r="I7" s="421">
        <f t="shared" si="2"/>
        <v>137</v>
      </c>
      <c r="J7" s="66">
        <f t="shared" si="11"/>
        <v>68.5</v>
      </c>
      <c r="K7" s="64">
        <v>1568</v>
      </c>
      <c r="L7" s="52">
        <f t="shared" si="3"/>
        <v>1</v>
      </c>
      <c r="M7" s="64">
        <v>114414</v>
      </c>
      <c r="N7" s="421">
        <f>M7-M6</f>
        <v>33</v>
      </c>
      <c r="O7" s="67">
        <v>1</v>
      </c>
      <c r="P7" s="64">
        <v>1412</v>
      </c>
      <c r="Q7" s="64">
        <v>123007</v>
      </c>
      <c r="R7" s="420">
        <f t="shared" si="6"/>
        <v>92</v>
      </c>
      <c r="S7" s="52">
        <f t="shared" si="12"/>
        <v>1</v>
      </c>
      <c r="T7" s="68">
        <f t="shared" ref="T7:T34" si="25">SUM(S7*$T$2)</f>
        <v>0</v>
      </c>
      <c r="U7" s="427">
        <f t="shared" si="13"/>
        <v>4</v>
      </c>
      <c r="V7" s="62">
        <f t="shared" si="14"/>
        <v>262</v>
      </c>
      <c r="W7" s="425">
        <f t="shared" si="15"/>
        <v>65.5</v>
      </c>
      <c r="X7" s="64">
        <v>2248</v>
      </c>
      <c r="Y7" s="52">
        <f t="shared" si="16"/>
        <v>7</v>
      </c>
      <c r="Z7" s="64">
        <v>126816</v>
      </c>
      <c r="AA7" s="65">
        <f t="shared" si="7"/>
        <v>362</v>
      </c>
      <c r="AB7" s="297">
        <f t="shared" ref="AB7:AB17" si="26">SUM(Y7*$AB$2)</f>
        <v>0</v>
      </c>
      <c r="AC7" s="64">
        <v>1688</v>
      </c>
      <c r="AD7" s="45">
        <f t="shared" si="8"/>
        <v>0</v>
      </c>
      <c r="AE7" s="64">
        <v>351848.7</v>
      </c>
      <c r="AF7" s="325">
        <f t="shared" si="17"/>
        <v>0.70000000001164153</v>
      </c>
      <c r="AG7" s="214">
        <f t="shared" ref="AG7:AG34" si="27">IF(AD7&gt;0,AF7/AD7,0)</f>
        <v>0</v>
      </c>
      <c r="AH7" s="62">
        <f t="shared" ref="AH7:AH34" si="28">AF7+AA7</f>
        <v>362.70000000001164</v>
      </c>
      <c r="AI7" s="337">
        <f t="shared" si="18"/>
        <v>624.70000000001164</v>
      </c>
      <c r="AJ7" s="337">
        <f>-tanks!AW8</f>
        <v>624.70000000001164</v>
      </c>
      <c r="AK7" s="337">
        <f t="shared" si="19"/>
        <v>0</v>
      </c>
      <c r="AL7" s="337">
        <f t="shared" si="9"/>
        <v>4</v>
      </c>
      <c r="AM7" s="337">
        <f t="shared" si="20"/>
        <v>7</v>
      </c>
      <c r="AN7" s="64">
        <v>75</v>
      </c>
      <c r="AO7" s="339">
        <f t="shared" si="21"/>
        <v>2250</v>
      </c>
      <c r="AP7" s="64">
        <v>75</v>
      </c>
      <c r="AQ7" s="339">
        <f t="shared" si="22"/>
        <v>2250</v>
      </c>
      <c r="AR7" s="64">
        <v>75</v>
      </c>
      <c r="AS7" s="339">
        <f t="shared" ref="AS7:AS34" si="29">(AR7/100)*3000</f>
        <v>2250</v>
      </c>
      <c r="AT7" s="339">
        <f t="shared" ref="AT7:AT23" si="30">SUM(AO7+AQ7+AS7)</f>
        <v>6750</v>
      </c>
      <c r="AU7" s="339">
        <f t="shared" ref="AU7:AU34" si="31">AT6-AT7+AV7</f>
        <v>90</v>
      </c>
      <c r="AV7" s="277"/>
      <c r="AW7" s="277"/>
      <c r="AX7" s="332">
        <f t="shared" si="24"/>
        <v>0.7</v>
      </c>
    </row>
    <row r="8" spans="1:50">
      <c r="A8" s="63">
        <v>43803</v>
      </c>
      <c r="B8" s="64">
        <v>201</v>
      </c>
      <c r="C8" s="64">
        <v>207</v>
      </c>
      <c r="D8" s="45">
        <f t="shared" si="0"/>
        <v>3</v>
      </c>
      <c r="E8" s="45">
        <f t="shared" si="10"/>
        <v>25.14</v>
      </c>
      <c r="F8" s="64">
        <v>1199</v>
      </c>
      <c r="G8" s="52">
        <f t="shared" si="1"/>
        <v>3</v>
      </c>
      <c r="H8" s="64">
        <v>321991</v>
      </c>
      <c r="I8" s="421">
        <f t="shared" si="2"/>
        <v>248</v>
      </c>
      <c r="J8" s="66">
        <f t="shared" si="11"/>
        <v>82.666666666666671</v>
      </c>
      <c r="K8" s="64">
        <v>1568</v>
      </c>
      <c r="L8" s="52">
        <f t="shared" si="3"/>
        <v>0</v>
      </c>
      <c r="M8" s="64">
        <v>114414</v>
      </c>
      <c r="N8" s="421">
        <f t="shared" si="4"/>
        <v>0</v>
      </c>
      <c r="O8" s="67">
        <f t="shared" si="5"/>
        <v>0</v>
      </c>
      <c r="P8" s="64">
        <v>1414</v>
      </c>
      <c r="Q8" s="64">
        <v>123208</v>
      </c>
      <c r="R8" s="420">
        <f t="shared" si="6"/>
        <v>201</v>
      </c>
      <c r="S8" s="52">
        <f t="shared" si="12"/>
        <v>2</v>
      </c>
      <c r="T8" s="68">
        <f t="shared" si="25"/>
        <v>0</v>
      </c>
      <c r="U8" s="427">
        <f t="shared" si="13"/>
        <v>5</v>
      </c>
      <c r="V8" s="62">
        <f t="shared" si="14"/>
        <v>449</v>
      </c>
      <c r="W8" s="425">
        <f t="shared" si="15"/>
        <v>89.8</v>
      </c>
      <c r="X8" s="64">
        <v>2248</v>
      </c>
      <c r="Y8" s="52">
        <f t="shared" si="16"/>
        <v>0</v>
      </c>
      <c r="Z8" s="64">
        <v>126816.9</v>
      </c>
      <c r="AA8" s="65">
        <f t="shared" si="7"/>
        <v>0.89999999999417923</v>
      </c>
      <c r="AB8" s="297">
        <f t="shared" si="26"/>
        <v>0</v>
      </c>
      <c r="AC8" s="64">
        <v>1688</v>
      </c>
      <c r="AD8" s="45">
        <f t="shared" si="8"/>
        <v>0</v>
      </c>
      <c r="AE8" s="64">
        <v>351848.7</v>
      </c>
      <c r="AF8" s="325">
        <f t="shared" si="17"/>
        <v>0</v>
      </c>
      <c r="AG8" s="214">
        <f t="shared" si="27"/>
        <v>0</v>
      </c>
      <c r="AH8" s="62">
        <f t="shared" si="28"/>
        <v>0.89999999999417923</v>
      </c>
      <c r="AI8" s="337">
        <f t="shared" si="18"/>
        <v>449.89999999999418</v>
      </c>
      <c r="AJ8" s="337">
        <f>-tanks!AW9</f>
        <v>449.89999999999418</v>
      </c>
      <c r="AK8" s="337">
        <f t="shared" si="19"/>
        <v>0</v>
      </c>
      <c r="AL8" s="337">
        <f t="shared" si="9"/>
        <v>5</v>
      </c>
      <c r="AM8" s="337">
        <f t="shared" si="20"/>
        <v>0</v>
      </c>
      <c r="AN8" s="64">
        <v>71</v>
      </c>
      <c r="AO8" s="339">
        <f t="shared" si="21"/>
        <v>2130</v>
      </c>
      <c r="AP8" s="64">
        <v>71</v>
      </c>
      <c r="AQ8" s="339">
        <f t="shared" si="22"/>
        <v>2130</v>
      </c>
      <c r="AR8" s="64">
        <v>72</v>
      </c>
      <c r="AS8" s="339">
        <f t="shared" si="29"/>
        <v>2160</v>
      </c>
      <c r="AT8" s="339">
        <f t="shared" si="30"/>
        <v>6420</v>
      </c>
      <c r="AU8" s="339">
        <f t="shared" si="31"/>
        <v>330</v>
      </c>
      <c r="AV8" s="277"/>
      <c r="AW8" s="277"/>
      <c r="AX8" s="332">
        <f t="shared" si="24"/>
        <v>0.7</v>
      </c>
    </row>
    <row r="9" spans="1:50">
      <c r="A9" s="63">
        <v>43804</v>
      </c>
      <c r="B9" s="64">
        <v>196</v>
      </c>
      <c r="C9" s="64">
        <v>202</v>
      </c>
      <c r="D9" s="45">
        <f t="shared" si="0"/>
        <v>5</v>
      </c>
      <c r="E9" s="45">
        <f t="shared" si="10"/>
        <v>41.900000000000006</v>
      </c>
      <c r="F9" s="64">
        <v>1200</v>
      </c>
      <c r="G9" s="52">
        <f t="shared" si="1"/>
        <v>1</v>
      </c>
      <c r="H9" s="64">
        <v>322096</v>
      </c>
      <c r="I9" s="421">
        <f t="shared" si="2"/>
        <v>105</v>
      </c>
      <c r="J9" s="66">
        <f t="shared" si="11"/>
        <v>105</v>
      </c>
      <c r="K9" s="64">
        <v>1574</v>
      </c>
      <c r="L9" s="52">
        <f t="shared" si="3"/>
        <v>6</v>
      </c>
      <c r="M9" s="64">
        <v>114807</v>
      </c>
      <c r="N9" s="421">
        <f t="shared" si="4"/>
        <v>393</v>
      </c>
      <c r="O9" s="67">
        <f t="shared" si="5"/>
        <v>460.00487012987014</v>
      </c>
      <c r="P9" s="64">
        <v>1414</v>
      </c>
      <c r="Q9" s="64">
        <v>123208</v>
      </c>
      <c r="R9" s="420">
        <f t="shared" si="6"/>
        <v>0</v>
      </c>
      <c r="S9" s="52">
        <f t="shared" si="12"/>
        <v>0</v>
      </c>
      <c r="T9" s="68">
        <f t="shared" si="25"/>
        <v>0</v>
      </c>
      <c r="U9" s="427">
        <f t="shared" si="13"/>
        <v>7</v>
      </c>
      <c r="V9" s="62">
        <f t="shared" si="14"/>
        <v>498</v>
      </c>
      <c r="W9" s="425">
        <f t="shared" si="15"/>
        <v>71.142857142857139</v>
      </c>
      <c r="X9" s="64">
        <v>2248</v>
      </c>
      <c r="Y9" s="52">
        <f t="shared" si="16"/>
        <v>0</v>
      </c>
      <c r="Z9" s="64">
        <f t="shared" ref="Z9:Z35" si="32">Z8</f>
        <v>126816.9</v>
      </c>
      <c r="AA9" s="65">
        <f t="shared" si="7"/>
        <v>0</v>
      </c>
      <c r="AB9" s="297">
        <f t="shared" si="26"/>
        <v>0</v>
      </c>
      <c r="AC9" s="64">
        <v>1688</v>
      </c>
      <c r="AD9" s="45">
        <f t="shared" si="8"/>
        <v>0</v>
      </c>
      <c r="AE9" s="64">
        <v>351848.7</v>
      </c>
      <c r="AF9" s="325">
        <f t="shared" si="17"/>
        <v>0</v>
      </c>
      <c r="AG9" s="214">
        <f t="shared" si="27"/>
        <v>0</v>
      </c>
      <c r="AH9" s="62">
        <f t="shared" si="28"/>
        <v>0</v>
      </c>
      <c r="AI9" s="337">
        <f t="shared" si="18"/>
        <v>498</v>
      </c>
      <c r="AJ9" s="337">
        <f>-tanks!AW10</f>
        <v>498</v>
      </c>
      <c r="AK9" s="337">
        <f t="shared" si="19"/>
        <v>0</v>
      </c>
      <c r="AL9" s="337">
        <f t="shared" si="9"/>
        <v>7</v>
      </c>
      <c r="AM9" s="337">
        <f t="shared" si="20"/>
        <v>0</v>
      </c>
      <c r="AN9" s="64">
        <v>80</v>
      </c>
      <c r="AO9" s="339">
        <f t="shared" si="21"/>
        <v>2400</v>
      </c>
      <c r="AP9" s="64">
        <v>80</v>
      </c>
      <c r="AQ9" s="339">
        <f t="shared" si="22"/>
        <v>2400</v>
      </c>
      <c r="AR9" s="64">
        <v>80</v>
      </c>
      <c r="AS9" s="339">
        <f>(AR9/100)*3000</f>
        <v>2400</v>
      </c>
      <c r="AT9" s="339">
        <f t="shared" si="30"/>
        <v>7200</v>
      </c>
      <c r="AU9" s="339">
        <f t="shared" si="31"/>
        <v>320</v>
      </c>
      <c r="AV9" s="277">
        <v>1100</v>
      </c>
      <c r="AW9" s="277">
        <v>0.7</v>
      </c>
      <c r="AX9" s="332">
        <f t="shared" si="24"/>
        <v>0.7</v>
      </c>
    </row>
    <row r="10" spans="1:50">
      <c r="A10" s="63">
        <v>43805</v>
      </c>
      <c r="B10" s="64">
        <v>190</v>
      </c>
      <c r="C10" s="64">
        <v>196</v>
      </c>
      <c r="D10" s="45">
        <f t="shared" si="0"/>
        <v>6</v>
      </c>
      <c r="E10" s="45">
        <f t="shared" si="10"/>
        <v>50.28</v>
      </c>
      <c r="F10" s="64">
        <f t="shared" ref="F10:H35" si="33">F9</f>
        <v>1200</v>
      </c>
      <c r="G10" s="52">
        <f t="shared" si="1"/>
        <v>0</v>
      </c>
      <c r="H10" s="64">
        <f t="shared" si="33"/>
        <v>322096</v>
      </c>
      <c r="I10" s="421">
        <f t="shared" si="2"/>
        <v>0</v>
      </c>
      <c r="J10" s="66">
        <f t="shared" si="11"/>
        <v>0</v>
      </c>
      <c r="K10" s="64">
        <v>1578</v>
      </c>
      <c r="L10" s="52">
        <f t="shared" si="3"/>
        <v>4</v>
      </c>
      <c r="M10" s="64">
        <v>115056</v>
      </c>
      <c r="N10" s="421">
        <f t="shared" si="4"/>
        <v>249</v>
      </c>
      <c r="O10" s="67">
        <f t="shared" si="5"/>
        <v>306.66991341991343</v>
      </c>
      <c r="P10" s="64">
        <v>1417</v>
      </c>
      <c r="Q10" s="64">
        <v>123458</v>
      </c>
      <c r="R10" s="420">
        <f t="shared" si="6"/>
        <v>250</v>
      </c>
      <c r="S10" s="52">
        <f t="shared" si="12"/>
        <v>3</v>
      </c>
      <c r="T10" s="68">
        <f t="shared" si="25"/>
        <v>0</v>
      </c>
      <c r="U10" s="427">
        <f t="shared" si="13"/>
        <v>7</v>
      </c>
      <c r="V10" s="62">
        <f t="shared" si="14"/>
        <v>499</v>
      </c>
      <c r="W10" s="425">
        <f t="shared" si="15"/>
        <v>71.285714285714292</v>
      </c>
      <c r="X10" s="64">
        <v>2252</v>
      </c>
      <c r="Y10" s="52">
        <f t="shared" si="16"/>
        <v>4</v>
      </c>
      <c r="Z10" s="64">
        <v>127023.7</v>
      </c>
      <c r="AA10" s="65">
        <f t="shared" si="7"/>
        <v>206.80000000000291</v>
      </c>
      <c r="AB10" s="297">
        <f t="shared" si="26"/>
        <v>0</v>
      </c>
      <c r="AC10" s="64">
        <f t="shared" ref="AC10:AC31" si="34">AC9</f>
        <v>1688</v>
      </c>
      <c r="AD10" s="45">
        <f t="shared" si="8"/>
        <v>0</v>
      </c>
      <c r="AE10" s="64">
        <f t="shared" ref="AE10:AE31" si="35">AE9</f>
        <v>351848.7</v>
      </c>
      <c r="AF10" s="325">
        <f t="shared" si="17"/>
        <v>0</v>
      </c>
      <c r="AG10" s="214">
        <f t="shared" si="27"/>
        <v>0</v>
      </c>
      <c r="AH10" s="62">
        <f t="shared" si="28"/>
        <v>206.80000000000291</v>
      </c>
      <c r="AI10" s="337">
        <f>SUM(AH10+V10)</f>
        <v>705.80000000000291</v>
      </c>
      <c r="AJ10" s="337">
        <f>-tanks!AW11</f>
        <v>705.80000000000291</v>
      </c>
      <c r="AK10" s="337">
        <f t="shared" si="19"/>
        <v>0</v>
      </c>
      <c r="AL10" s="337">
        <f t="shared" si="9"/>
        <v>7</v>
      </c>
      <c r="AM10" s="337">
        <f t="shared" si="20"/>
        <v>4</v>
      </c>
      <c r="AN10" s="64">
        <f t="shared" si="23"/>
        <v>80</v>
      </c>
      <c r="AO10" s="339">
        <f t="shared" si="21"/>
        <v>2400</v>
      </c>
      <c r="AP10" s="64">
        <v>79</v>
      </c>
      <c r="AQ10" s="339">
        <f t="shared" si="22"/>
        <v>2370</v>
      </c>
      <c r="AR10" s="64">
        <f t="shared" si="23"/>
        <v>80</v>
      </c>
      <c r="AS10" s="339">
        <f t="shared" si="29"/>
        <v>2400</v>
      </c>
      <c r="AT10" s="339">
        <f t="shared" si="30"/>
        <v>7170</v>
      </c>
      <c r="AU10" s="339">
        <f t="shared" si="31"/>
        <v>30</v>
      </c>
      <c r="AV10" s="277"/>
      <c r="AW10" s="277"/>
      <c r="AX10" s="332">
        <f t="shared" si="24"/>
        <v>0.7</v>
      </c>
    </row>
    <row r="11" spans="1:50">
      <c r="A11" s="63">
        <v>43806</v>
      </c>
      <c r="B11" s="64">
        <v>184</v>
      </c>
      <c r="C11" s="64">
        <v>190</v>
      </c>
      <c r="D11" s="45">
        <f t="shared" si="0"/>
        <v>6</v>
      </c>
      <c r="E11" s="45">
        <f t="shared" si="10"/>
        <v>50.28</v>
      </c>
      <c r="F11" s="64">
        <v>1203</v>
      </c>
      <c r="G11" s="52">
        <f t="shared" si="1"/>
        <v>3</v>
      </c>
      <c r="H11" s="64">
        <v>322362</v>
      </c>
      <c r="I11" s="421">
        <f t="shared" si="2"/>
        <v>266</v>
      </c>
      <c r="J11" s="66">
        <f t="shared" si="11"/>
        <v>88.666666666666671</v>
      </c>
      <c r="K11" s="64">
        <v>1578</v>
      </c>
      <c r="L11" s="52">
        <f t="shared" si="3"/>
        <v>0</v>
      </c>
      <c r="M11" s="64">
        <f t="shared" ref="K11:M28" si="36">M10</f>
        <v>115056</v>
      </c>
      <c r="N11" s="421">
        <f t="shared" si="4"/>
        <v>0</v>
      </c>
      <c r="O11" s="67">
        <f t="shared" si="5"/>
        <v>0</v>
      </c>
      <c r="P11" s="64">
        <v>1421</v>
      </c>
      <c r="Q11" s="64">
        <v>123775</v>
      </c>
      <c r="R11" s="420">
        <f t="shared" ref="R11:R34" si="37">Q11-Q10</f>
        <v>317</v>
      </c>
      <c r="S11" s="52">
        <f t="shared" si="12"/>
        <v>4</v>
      </c>
      <c r="T11" s="68">
        <f t="shared" si="25"/>
        <v>0</v>
      </c>
      <c r="U11" s="427">
        <f t="shared" si="13"/>
        <v>7</v>
      </c>
      <c r="V11" s="62">
        <f t="shared" si="14"/>
        <v>583</v>
      </c>
      <c r="W11" s="425">
        <f t="shared" si="15"/>
        <v>83.285714285714292</v>
      </c>
      <c r="X11" s="64">
        <v>2259</v>
      </c>
      <c r="Y11" s="52">
        <f t="shared" si="16"/>
        <v>7</v>
      </c>
      <c r="Z11" s="64">
        <v>127401</v>
      </c>
      <c r="AA11" s="65">
        <f t="shared" si="7"/>
        <v>377.30000000000291</v>
      </c>
      <c r="AB11" s="297">
        <f t="shared" si="26"/>
        <v>0</v>
      </c>
      <c r="AC11" s="64">
        <f t="shared" si="34"/>
        <v>1688</v>
      </c>
      <c r="AD11" s="45">
        <f t="shared" si="8"/>
        <v>0</v>
      </c>
      <c r="AE11" s="64">
        <f t="shared" si="35"/>
        <v>351848.7</v>
      </c>
      <c r="AF11" s="325">
        <f t="shared" si="17"/>
        <v>0</v>
      </c>
      <c r="AG11" s="214">
        <f t="shared" si="27"/>
        <v>0</v>
      </c>
      <c r="AH11" s="62">
        <f>AF11+AA11</f>
        <v>377.30000000000291</v>
      </c>
      <c r="AI11" s="337">
        <f>SUM(AH11+V11)</f>
        <v>960.30000000000291</v>
      </c>
      <c r="AJ11" s="337">
        <f>-tanks!AW12</f>
        <v>960.30000000000291</v>
      </c>
      <c r="AK11" s="337">
        <f t="shared" si="19"/>
        <v>0</v>
      </c>
      <c r="AL11" s="337">
        <f t="shared" si="9"/>
        <v>7</v>
      </c>
      <c r="AM11" s="337">
        <f t="shared" si="20"/>
        <v>7</v>
      </c>
      <c r="AN11" s="64">
        <v>79</v>
      </c>
      <c r="AO11" s="339">
        <f t="shared" si="21"/>
        <v>2370</v>
      </c>
      <c r="AP11" s="64">
        <v>78</v>
      </c>
      <c r="AQ11" s="339">
        <f t="shared" si="22"/>
        <v>2340</v>
      </c>
      <c r="AR11" s="64">
        <v>79</v>
      </c>
      <c r="AS11" s="339">
        <f t="shared" si="29"/>
        <v>2370</v>
      </c>
      <c r="AT11" s="339">
        <f t="shared" si="30"/>
        <v>7080</v>
      </c>
      <c r="AU11" s="339">
        <f t="shared" si="31"/>
        <v>90</v>
      </c>
      <c r="AV11" s="277"/>
      <c r="AW11" s="277"/>
      <c r="AX11" s="332">
        <f t="shared" si="24"/>
        <v>0.7</v>
      </c>
    </row>
    <row r="12" spans="1:50">
      <c r="A12" s="63">
        <v>43807</v>
      </c>
      <c r="B12" s="64">
        <v>180</v>
      </c>
      <c r="C12" s="64">
        <v>186</v>
      </c>
      <c r="D12" s="45">
        <f t="shared" si="0"/>
        <v>4</v>
      </c>
      <c r="E12" s="45">
        <f t="shared" si="10"/>
        <v>33.520000000000003</v>
      </c>
      <c r="F12" s="64">
        <v>1208</v>
      </c>
      <c r="G12" s="52">
        <f t="shared" si="1"/>
        <v>5</v>
      </c>
      <c r="H12" s="64">
        <v>322713</v>
      </c>
      <c r="I12" s="421">
        <f t="shared" si="2"/>
        <v>351</v>
      </c>
      <c r="J12" s="66">
        <f t="shared" si="11"/>
        <v>70.2</v>
      </c>
      <c r="K12" s="64">
        <v>1582</v>
      </c>
      <c r="L12" s="52">
        <f t="shared" si="3"/>
        <v>4</v>
      </c>
      <c r="M12" s="64">
        <v>115313</v>
      </c>
      <c r="N12" s="421">
        <f t="shared" si="4"/>
        <v>257</v>
      </c>
      <c r="O12" s="67">
        <f t="shared" si="5"/>
        <v>306.66991341991343</v>
      </c>
      <c r="P12" s="64">
        <v>1422</v>
      </c>
      <c r="Q12" s="64">
        <v>123809</v>
      </c>
      <c r="R12" s="420">
        <f t="shared" si="37"/>
        <v>34</v>
      </c>
      <c r="S12" s="52">
        <f t="shared" si="12"/>
        <v>1</v>
      </c>
      <c r="T12" s="68">
        <f t="shared" si="25"/>
        <v>0</v>
      </c>
      <c r="U12" s="427">
        <f t="shared" si="13"/>
        <v>10</v>
      </c>
      <c r="V12" s="62">
        <f t="shared" si="14"/>
        <v>642</v>
      </c>
      <c r="W12" s="425">
        <f t="shared" si="15"/>
        <v>64.2</v>
      </c>
      <c r="X12" s="64">
        <f t="shared" ref="X12:X35" si="38">X11</f>
        <v>2259</v>
      </c>
      <c r="Y12" s="52">
        <f t="shared" si="16"/>
        <v>0</v>
      </c>
      <c r="Z12" s="64">
        <f t="shared" si="32"/>
        <v>127401</v>
      </c>
      <c r="AA12" s="65">
        <f t="shared" si="7"/>
        <v>0</v>
      </c>
      <c r="AB12" s="297">
        <f t="shared" si="26"/>
        <v>0</v>
      </c>
      <c r="AC12" s="64">
        <f t="shared" si="34"/>
        <v>1688</v>
      </c>
      <c r="AD12" s="45">
        <f t="shared" si="8"/>
        <v>0</v>
      </c>
      <c r="AE12" s="64">
        <f t="shared" si="35"/>
        <v>351848.7</v>
      </c>
      <c r="AF12" s="325">
        <f t="shared" si="17"/>
        <v>0</v>
      </c>
      <c r="AG12" s="214">
        <f t="shared" si="27"/>
        <v>0</v>
      </c>
      <c r="AH12" s="62">
        <f t="shared" si="28"/>
        <v>0</v>
      </c>
      <c r="AI12" s="337">
        <f t="shared" si="18"/>
        <v>642</v>
      </c>
      <c r="AJ12" s="337">
        <f>-tanks!AW13</f>
        <v>642</v>
      </c>
      <c r="AK12" s="337">
        <f t="shared" si="19"/>
        <v>0</v>
      </c>
      <c r="AL12" s="337">
        <f t="shared" si="9"/>
        <v>10</v>
      </c>
      <c r="AM12" s="337">
        <f t="shared" si="20"/>
        <v>0</v>
      </c>
      <c r="AN12" s="64">
        <f t="shared" si="23"/>
        <v>79</v>
      </c>
      <c r="AO12" s="339">
        <f t="shared" si="21"/>
        <v>2370</v>
      </c>
      <c r="AP12" s="64">
        <f t="shared" si="23"/>
        <v>78</v>
      </c>
      <c r="AQ12" s="339">
        <f t="shared" si="22"/>
        <v>2340</v>
      </c>
      <c r="AR12" s="64">
        <f t="shared" si="23"/>
        <v>79</v>
      </c>
      <c r="AS12" s="339">
        <f t="shared" si="29"/>
        <v>2370</v>
      </c>
      <c r="AT12" s="339">
        <f t="shared" si="30"/>
        <v>7080</v>
      </c>
      <c r="AU12" s="339">
        <f t="shared" si="31"/>
        <v>0</v>
      </c>
      <c r="AV12" s="277"/>
      <c r="AW12" s="277"/>
      <c r="AX12" s="332">
        <f t="shared" si="24"/>
        <v>0.7</v>
      </c>
    </row>
    <row r="13" spans="1:50">
      <c r="A13" s="63">
        <v>43808</v>
      </c>
      <c r="B13" s="64">
        <v>175</v>
      </c>
      <c r="C13" s="64">
        <v>181</v>
      </c>
      <c r="D13" s="45">
        <f t="shared" si="0"/>
        <v>5</v>
      </c>
      <c r="E13" s="45">
        <f t="shared" si="10"/>
        <v>41.900000000000006</v>
      </c>
      <c r="F13" s="64">
        <v>1208</v>
      </c>
      <c r="G13" s="52">
        <f t="shared" si="1"/>
        <v>0</v>
      </c>
      <c r="H13" s="64">
        <v>322713</v>
      </c>
      <c r="I13" s="421">
        <f t="shared" si="2"/>
        <v>0</v>
      </c>
      <c r="J13" s="66">
        <f t="shared" si="11"/>
        <v>0</v>
      </c>
      <c r="K13" s="64">
        <v>1588</v>
      </c>
      <c r="L13" s="52">
        <f t="shared" si="3"/>
        <v>6</v>
      </c>
      <c r="M13" s="64">
        <v>115663</v>
      </c>
      <c r="N13" s="421">
        <f t="shared" si="4"/>
        <v>350</v>
      </c>
      <c r="O13" s="67">
        <f t="shared" si="5"/>
        <v>460.00487012987014</v>
      </c>
      <c r="P13" s="64">
        <v>1425</v>
      </c>
      <c r="Q13" s="64">
        <v>124083</v>
      </c>
      <c r="R13" s="420">
        <f t="shared" si="37"/>
        <v>274</v>
      </c>
      <c r="S13" s="52">
        <f t="shared" si="12"/>
        <v>3</v>
      </c>
      <c r="T13" s="68">
        <f t="shared" si="25"/>
        <v>0</v>
      </c>
      <c r="U13" s="427">
        <f t="shared" si="13"/>
        <v>9</v>
      </c>
      <c r="V13" s="62">
        <f>R13+N13+I13:I13</f>
        <v>624</v>
      </c>
      <c r="W13" s="425">
        <f t="shared" si="15"/>
        <v>69.333333333333329</v>
      </c>
      <c r="X13" s="64">
        <v>2259</v>
      </c>
      <c r="Y13" s="52">
        <f t="shared" si="16"/>
        <v>0</v>
      </c>
      <c r="Z13" s="64">
        <v>127401</v>
      </c>
      <c r="AA13" s="297">
        <f t="shared" si="7"/>
        <v>0</v>
      </c>
      <c r="AB13" s="297">
        <f t="shared" si="26"/>
        <v>0</v>
      </c>
      <c r="AC13" s="64">
        <v>1688</v>
      </c>
      <c r="AD13" s="45">
        <f t="shared" si="8"/>
        <v>0</v>
      </c>
      <c r="AE13" s="64">
        <v>351848.7</v>
      </c>
      <c r="AF13" s="325">
        <f t="shared" si="17"/>
        <v>0</v>
      </c>
      <c r="AG13" s="214">
        <f t="shared" si="27"/>
        <v>0</v>
      </c>
      <c r="AH13" s="62">
        <f t="shared" si="28"/>
        <v>0</v>
      </c>
      <c r="AI13" s="337">
        <f t="shared" si="18"/>
        <v>624</v>
      </c>
      <c r="AJ13" s="337">
        <f>-tanks!AW14</f>
        <v>624</v>
      </c>
      <c r="AK13" s="337">
        <f t="shared" si="19"/>
        <v>0</v>
      </c>
      <c r="AL13" s="337">
        <f t="shared" si="9"/>
        <v>9</v>
      </c>
      <c r="AM13" s="337">
        <f t="shared" si="20"/>
        <v>0</v>
      </c>
      <c r="AN13" s="64">
        <v>74</v>
      </c>
      <c r="AO13" s="339">
        <f t="shared" si="21"/>
        <v>2220</v>
      </c>
      <c r="AP13" s="64">
        <v>74</v>
      </c>
      <c r="AQ13" s="339">
        <f t="shared" si="22"/>
        <v>2220</v>
      </c>
      <c r="AR13" s="64">
        <v>75</v>
      </c>
      <c r="AS13" s="339">
        <f t="shared" si="29"/>
        <v>2250</v>
      </c>
      <c r="AT13" s="339">
        <f t="shared" si="30"/>
        <v>6690</v>
      </c>
      <c r="AU13" s="339">
        <f t="shared" si="31"/>
        <v>390</v>
      </c>
      <c r="AV13" s="277"/>
      <c r="AW13" s="277"/>
      <c r="AX13" s="332">
        <f t="shared" si="24"/>
        <v>0.7</v>
      </c>
    </row>
    <row r="14" spans="1:50">
      <c r="A14" s="63">
        <v>43809</v>
      </c>
      <c r="B14" s="64">
        <v>170</v>
      </c>
      <c r="C14" s="64">
        <v>176</v>
      </c>
      <c r="D14" s="45">
        <f t="shared" si="0"/>
        <v>5</v>
      </c>
      <c r="E14" s="45">
        <f t="shared" si="10"/>
        <v>41.900000000000006</v>
      </c>
      <c r="F14" s="64">
        <v>1211</v>
      </c>
      <c r="G14" s="52">
        <f t="shared" si="1"/>
        <v>3</v>
      </c>
      <c r="H14" s="64">
        <v>322970</v>
      </c>
      <c r="I14" s="421">
        <f t="shared" si="2"/>
        <v>257</v>
      </c>
      <c r="J14" s="66">
        <f t="shared" si="11"/>
        <v>85.666666666666671</v>
      </c>
      <c r="K14" s="64">
        <v>1588</v>
      </c>
      <c r="L14" s="52">
        <f t="shared" si="3"/>
        <v>0</v>
      </c>
      <c r="M14" s="64">
        <f t="shared" si="36"/>
        <v>115663</v>
      </c>
      <c r="N14" s="421">
        <f t="shared" si="4"/>
        <v>0</v>
      </c>
      <c r="O14" s="67">
        <f t="shared" si="5"/>
        <v>0</v>
      </c>
      <c r="P14" s="64">
        <v>1430</v>
      </c>
      <c r="Q14" s="64">
        <v>124498</v>
      </c>
      <c r="R14" s="420">
        <f t="shared" si="37"/>
        <v>415</v>
      </c>
      <c r="S14" s="52">
        <f t="shared" si="12"/>
        <v>5</v>
      </c>
      <c r="T14" s="68">
        <f t="shared" si="25"/>
        <v>0</v>
      </c>
      <c r="U14" s="427">
        <f t="shared" si="13"/>
        <v>8</v>
      </c>
      <c r="V14" s="62">
        <f t="shared" si="14"/>
        <v>672</v>
      </c>
      <c r="W14" s="425">
        <f t="shared" si="15"/>
        <v>84</v>
      </c>
      <c r="X14" s="64">
        <v>2261</v>
      </c>
      <c r="Y14" s="52">
        <f t="shared" si="16"/>
        <v>2</v>
      </c>
      <c r="Z14" s="64">
        <v>127491.2</v>
      </c>
      <c r="AA14" s="65">
        <f t="shared" si="7"/>
        <v>90.19999999999709</v>
      </c>
      <c r="AB14" s="297">
        <f t="shared" si="26"/>
        <v>0</v>
      </c>
      <c r="AC14" s="64">
        <v>1688</v>
      </c>
      <c r="AD14" s="45">
        <f t="shared" si="8"/>
        <v>0</v>
      </c>
      <c r="AE14" s="64">
        <v>351848.7</v>
      </c>
      <c r="AF14" s="325">
        <f t="shared" si="17"/>
        <v>0</v>
      </c>
      <c r="AG14" s="214">
        <f t="shared" si="27"/>
        <v>0</v>
      </c>
      <c r="AH14" s="62">
        <f t="shared" si="28"/>
        <v>90.19999999999709</v>
      </c>
      <c r="AI14" s="337">
        <f t="shared" si="18"/>
        <v>762.19999999999709</v>
      </c>
      <c r="AJ14" s="337">
        <f>-tanks!AW15</f>
        <v>762.19999999999709</v>
      </c>
      <c r="AK14" s="337">
        <f t="shared" si="19"/>
        <v>0</v>
      </c>
      <c r="AL14" s="337">
        <f t="shared" si="9"/>
        <v>8</v>
      </c>
      <c r="AM14" s="337">
        <f t="shared" si="20"/>
        <v>2</v>
      </c>
      <c r="AN14" s="64">
        <v>72</v>
      </c>
      <c r="AO14" s="339">
        <f t="shared" si="21"/>
        <v>2160</v>
      </c>
      <c r="AP14" s="64">
        <v>72</v>
      </c>
      <c r="AQ14" s="339">
        <f t="shared" si="22"/>
        <v>2160</v>
      </c>
      <c r="AR14" s="64">
        <v>74</v>
      </c>
      <c r="AS14" s="339">
        <f t="shared" si="29"/>
        <v>2220</v>
      </c>
      <c r="AT14" s="339">
        <f t="shared" si="30"/>
        <v>6540</v>
      </c>
      <c r="AU14" s="339">
        <f t="shared" si="31"/>
        <v>150</v>
      </c>
      <c r="AV14" s="277"/>
      <c r="AW14" s="277"/>
      <c r="AX14" s="332">
        <f t="shared" si="24"/>
        <v>0.7</v>
      </c>
    </row>
    <row r="15" spans="1:50" ht="15" customHeight="1">
      <c r="A15" s="63">
        <v>43810</v>
      </c>
      <c r="B15" s="64">
        <v>164</v>
      </c>
      <c r="C15" s="64">
        <v>170</v>
      </c>
      <c r="D15" s="45">
        <f t="shared" si="0"/>
        <v>6</v>
      </c>
      <c r="E15" s="45">
        <f t="shared" si="10"/>
        <v>50.28</v>
      </c>
      <c r="F15" s="64">
        <v>1215</v>
      </c>
      <c r="G15" s="52">
        <f t="shared" si="1"/>
        <v>4</v>
      </c>
      <c r="H15" s="64">
        <v>323283</v>
      </c>
      <c r="I15" s="421">
        <f t="shared" si="2"/>
        <v>313</v>
      </c>
      <c r="J15" s="66">
        <f t="shared" si="11"/>
        <v>78.25</v>
      </c>
      <c r="K15" s="64">
        <v>1590</v>
      </c>
      <c r="L15" s="52">
        <f t="shared" si="3"/>
        <v>2</v>
      </c>
      <c r="M15" s="64">
        <v>115777</v>
      </c>
      <c r="N15" s="421">
        <f t="shared" si="4"/>
        <v>114</v>
      </c>
      <c r="O15" s="67">
        <f t="shared" si="5"/>
        <v>153.33495670995671</v>
      </c>
      <c r="P15" s="64">
        <v>1430</v>
      </c>
      <c r="Q15" s="64">
        <v>124499</v>
      </c>
      <c r="R15" s="420">
        <f t="shared" si="37"/>
        <v>1</v>
      </c>
      <c r="S15" s="52">
        <f t="shared" si="12"/>
        <v>0</v>
      </c>
      <c r="T15" s="68">
        <f t="shared" si="25"/>
        <v>0</v>
      </c>
      <c r="U15" s="427">
        <f t="shared" si="13"/>
        <v>6</v>
      </c>
      <c r="V15" s="62">
        <f t="shared" si="14"/>
        <v>428</v>
      </c>
      <c r="W15" s="425">
        <f t="shared" si="15"/>
        <v>71.333333333333329</v>
      </c>
      <c r="X15" s="64">
        <v>2269</v>
      </c>
      <c r="Y15" s="52">
        <f t="shared" si="16"/>
        <v>8</v>
      </c>
      <c r="Z15" s="64">
        <v>127901.4</v>
      </c>
      <c r="AA15" s="65">
        <f t="shared" si="7"/>
        <v>410.19999999999709</v>
      </c>
      <c r="AB15" s="297">
        <f t="shared" si="26"/>
        <v>0</v>
      </c>
      <c r="AC15" s="64">
        <v>1688</v>
      </c>
      <c r="AD15" s="45">
        <f t="shared" si="8"/>
        <v>0</v>
      </c>
      <c r="AE15" s="64">
        <v>351848.7</v>
      </c>
      <c r="AF15" s="325">
        <f t="shared" si="17"/>
        <v>0</v>
      </c>
      <c r="AG15" s="214">
        <f t="shared" si="27"/>
        <v>0</v>
      </c>
      <c r="AH15" s="62">
        <f t="shared" si="28"/>
        <v>410.19999999999709</v>
      </c>
      <c r="AI15" s="337">
        <f t="shared" si="18"/>
        <v>838.19999999999709</v>
      </c>
      <c r="AJ15" s="337">
        <f>-tanks!AW16</f>
        <v>838.19999999999709</v>
      </c>
      <c r="AK15" s="337">
        <f t="shared" si="19"/>
        <v>0</v>
      </c>
      <c r="AL15" s="337">
        <f t="shared" si="9"/>
        <v>6</v>
      </c>
      <c r="AM15" s="337">
        <f t="shared" si="20"/>
        <v>8</v>
      </c>
      <c r="AN15" s="64">
        <v>70</v>
      </c>
      <c r="AO15" s="339">
        <f t="shared" si="21"/>
        <v>2100</v>
      </c>
      <c r="AP15" s="64">
        <v>70</v>
      </c>
      <c r="AQ15" s="339">
        <f t="shared" si="22"/>
        <v>2100</v>
      </c>
      <c r="AR15" s="64">
        <v>72</v>
      </c>
      <c r="AS15" s="339">
        <f t="shared" si="29"/>
        <v>2160</v>
      </c>
      <c r="AT15" s="339">
        <f t="shared" si="30"/>
        <v>6360</v>
      </c>
      <c r="AU15" s="339">
        <f t="shared" si="31"/>
        <v>180</v>
      </c>
      <c r="AV15" s="277"/>
      <c r="AW15" s="277"/>
      <c r="AX15" s="332">
        <f t="shared" si="24"/>
        <v>0.7</v>
      </c>
    </row>
    <row r="16" spans="1:50">
      <c r="A16" s="63">
        <v>43811</v>
      </c>
      <c r="B16" s="64">
        <v>202</v>
      </c>
      <c r="C16" s="64">
        <v>208</v>
      </c>
      <c r="D16" s="45">
        <f t="shared" si="0"/>
        <v>-38</v>
      </c>
      <c r="E16" s="45">
        <f t="shared" si="10"/>
        <v>-318.44000000000005</v>
      </c>
      <c r="F16" s="64">
        <v>1215</v>
      </c>
      <c r="G16" s="52">
        <f t="shared" si="1"/>
        <v>0</v>
      </c>
      <c r="H16" s="64">
        <v>323283</v>
      </c>
      <c r="I16" s="421">
        <f t="shared" si="2"/>
        <v>0</v>
      </c>
      <c r="J16" s="66">
        <f t="shared" si="11"/>
        <v>0</v>
      </c>
      <c r="K16" s="64">
        <v>1595</v>
      </c>
      <c r="L16" s="52">
        <f t="shared" si="3"/>
        <v>5</v>
      </c>
      <c r="M16" s="64">
        <v>116112</v>
      </c>
      <c r="N16" s="421">
        <f t="shared" si="4"/>
        <v>335</v>
      </c>
      <c r="O16" s="67">
        <f t="shared" si="5"/>
        <v>383.33739177489178</v>
      </c>
      <c r="P16" s="64">
        <v>1434</v>
      </c>
      <c r="Q16" s="64">
        <v>124825</v>
      </c>
      <c r="R16" s="420">
        <f t="shared" si="37"/>
        <v>326</v>
      </c>
      <c r="S16" s="52">
        <f t="shared" si="12"/>
        <v>4</v>
      </c>
      <c r="T16" s="68">
        <f t="shared" si="25"/>
        <v>0</v>
      </c>
      <c r="U16" s="427">
        <f t="shared" si="13"/>
        <v>9</v>
      </c>
      <c r="V16" s="62">
        <f t="shared" si="14"/>
        <v>661</v>
      </c>
      <c r="W16" s="425">
        <f t="shared" si="15"/>
        <v>73.444444444444443</v>
      </c>
      <c r="X16" s="64">
        <v>2269</v>
      </c>
      <c r="Y16" s="52">
        <f t="shared" si="16"/>
        <v>0</v>
      </c>
      <c r="Z16" s="64">
        <f>Z15</f>
        <v>127901.4</v>
      </c>
      <c r="AA16" s="65">
        <f t="shared" si="7"/>
        <v>0</v>
      </c>
      <c r="AB16" s="297">
        <f t="shared" si="26"/>
        <v>0</v>
      </c>
      <c r="AC16" s="64">
        <v>1688</v>
      </c>
      <c r="AD16" s="45">
        <f t="shared" si="8"/>
        <v>0</v>
      </c>
      <c r="AE16" s="64">
        <f>AE15</f>
        <v>351848.7</v>
      </c>
      <c r="AF16" s="325">
        <f t="shared" si="17"/>
        <v>0</v>
      </c>
      <c r="AG16" s="214">
        <f t="shared" si="27"/>
        <v>0</v>
      </c>
      <c r="AH16" s="62">
        <f t="shared" si="28"/>
        <v>0</v>
      </c>
      <c r="AI16" s="337">
        <f t="shared" si="18"/>
        <v>661</v>
      </c>
      <c r="AJ16" s="337">
        <f>-tanks!AW17</f>
        <v>661</v>
      </c>
      <c r="AK16" s="337">
        <f t="shared" si="19"/>
        <v>0</v>
      </c>
      <c r="AL16" s="337">
        <f t="shared" si="9"/>
        <v>9</v>
      </c>
      <c r="AM16" s="337">
        <f t="shared" si="20"/>
        <v>0</v>
      </c>
      <c r="AN16" s="64">
        <v>78</v>
      </c>
      <c r="AO16" s="339">
        <f t="shared" si="21"/>
        <v>2340</v>
      </c>
      <c r="AP16" s="64">
        <v>78</v>
      </c>
      <c r="AQ16" s="339">
        <f t="shared" si="22"/>
        <v>2340</v>
      </c>
      <c r="AR16" s="64">
        <v>82</v>
      </c>
      <c r="AS16" s="339">
        <f t="shared" si="29"/>
        <v>2460</v>
      </c>
      <c r="AT16" s="339">
        <f t="shared" si="30"/>
        <v>7140</v>
      </c>
      <c r="AU16" s="339">
        <f t="shared" si="31"/>
        <v>320</v>
      </c>
      <c r="AV16" s="277">
        <v>1100</v>
      </c>
      <c r="AW16" s="277">
        <v>0.7</v>
      </c>
      <c r="AX16" s="332">
        <f t="shared" si="24"/>
        <v>0.7</v>
      </c>
    </row>
    <row r="17" spans="1:50">
      <c r="A17" s="63">
        <v>43812</v>
      </c>
      <c r="B17" s="64">
        <v>196</v>
      </c>
      <c r="C17" s="64">
        <v>203</v>
      </c>
      <c r="D17" s="45">
        <f t="shared" si="0"/>
        <v>5</v>
      </c>
      <c r="E17" s="45">
        <f t="shared" si="10"/>
        <v>41.900000000000006</v>
      </c>
      <c r="F17" s="64">
        <v>1220</v>
      </c>
      <c r="G17" s="52">
        <f t="shared" si="1"/>
        <v>5</v>
      </c>
      <c r="H17" s="64">
        <v>323679</v>
      </c>
      <c r="I17" s="421">
        <f t="shared" si="2"/>
        <v>396</v>
      </c>
      <c r="J17" s="66">
        <f t="shared" si="11"/>
        <v>79.2</v>
      </c>
      <c r="K17" s="64">
        <v>1595</v>
      </c>
      <c r="L17" s="52">
        <f t="shared" si="3"/>
        <v>0</v>
      </c>
      <c r="M17" s="64">
        <v>116112</v>
      </c>
      <c r="N17" s="421">
        <f t="shared" si="4"/>
        <v>0</v>
      </c>
      <c r="O17" s="67">
        <f t="shared" si="5"/>
        <v>0</v>
      </c>
      <c r="P17" s="64">
        <v>1440</v>
      </c>
      <c r="Q17" s="64">
        <v>125296</v>
      </c>
      <c r="R17" s="420">
        <f t="shared" si="37"/>
        <v>471</v>
      </c>
      <c r="S17" s="52">
        <f t="shared" si="12"/>
        <v>6</v>
      </c>
      <c r="T17" s="68">
        <f t="shared" si="25"/>
        <v>0</v>
      </c>
      <c r="U17" s="427">
        <f t="shared" si="13"/>
        <v>11</v>
      </c>
      <c r="V17" s="62">
        <f t="shared" si="14"/>
        <v>867</v>
      </c>
      <c r="W17" s="425"/>
      <c r="X17" s="64">
        <v>2269</v>
      </c>
      <c r="Y17" s="52">
        <f t="shared" si="16"/>
        <v>0</v>
      </c>
      <c r="Z17" s="64">
        <v>127901.4</v>
      </c>
      <c r="AA17" s="65">
        <f t="shared" si="7"/>
        <v>0</v>
      </c>
      <c r="AB17" s="297">
        <f t="shared" si="26"/>
        <v>0</v>
      </c>
      <c r="AC17" s="64">
        <v>1688</v>
      </c>
      <c r="AD17" s="45">
        <f t="shared" si="8"/>
        <v>0</v>
      </c>
      <c r="AE17" s="64">
        <v>351848.7</v>
      </c>
      <c r="AF17" s="325">
        <f t="shared" si="17"/>
        <v>0</v>
      </c>
      <c r="AG17" s="214">
        <f t="shared" si="27"/>
        <v>0</v>
      </c>
      <c r="AH17" s="62">
        <f t="shared" si="28"/>
        <v>0</v>
      </c>
      <c r="AI17" s="337">
        <f t="shared" si="18"/>
        <v>867</v>
      </c>
      <c r="AJ17" s="337">
        <f>-tanks!AW18</f>
        <v>867</v>
      </c>
      <c r="AK17" s="337">
        <f t="shared" si="19"/>
        <v>0</v>
      </c>
      <c r="AL17" s="337">
        <f t="shared" si="9"/>
        <v>11</v>
      </c>
      <c r="AM17" s="337">
        <f t="shared" si="20"/>
        <v>0</v>
      </c>
      <c r="AN17" s="64">
        <v>75</v>
      </c>
      <c r="AO17" s="339">
        <f t="shared" si="21"/>
        <v>2250</v>
      </c>
      <c r="AP17" s="64">
        <v>75</v>
      </c>
      <c r="AQ17" s="339">
        <f t="shared" si="22"/>
        <v>2250</v>
      </c>
      <c r="AR17" s="64">
        <v>79</v>
      </c>
      <c r="AS17" s="339">
        <f t="shared" si="29"/>
        <v>2370</v>
      </c>
      <c r="AT17" s="339">
        <f t="shared" si="30"/>
        <v>6870</v>
      </c>
      <c r="AU17" s="339">
        <f t="shared" si="31"/>
        <v>270</v>
      </c>
      <c r="AV17" s="277"/>
      <c r="AW17" s="277"/>
      <c r="AX17" s="332">
        <f t="shared" si="24"/>
        <v>0.7</v>
      </c>
    </row>
    <row r="18" spans="1:50">
      <c r="A18" s="63">
        <v>43813</v>
      </c>
      <c r="B18" s="64">
        <v>189</v>
      </c>
      <c r="C18" s="64">
        <v>195</v>
      </c>
      <c r="D18" s="45">
        <f t="shared" si="0"/>
        <v>8</v>
      </c>
      <c r="E18" s="45">
        <f t="shared" si="10"/>
        <v>67.040000000000006</v>
      </c>
      <c r="F18" s="64">
        <v>1225</v>
      </c>
      <c r="G18" s="52">
        <f t="shared" si="1"/>
        <v>5</v>
      </c>
      <c r="H18" s="64">
        <v>324117</v>
      </c>
      <c r="I18" s="421">
        <f t="shared" si="2"/>
        <v>438</v>
      </c>
      <c r="J18" s="66">
        <f t="shared" si="11"/>
        <v>87.6</v>
      </c>
      <c r="K18" s="64">
        <v>1600</v>
      </c>
      <c r="L18" s="52">
        <f t="shared" si="3"/>
        <v>5</v>
      </c>
      <c r="M18" s="64">
        <v>116468</v>
      </c>
      <c r="N18" s="421">
        <f t="shared" si="4"/>
        <v>356</v>
      </c>
      <c r="O18" s="67">
        <f t="shared" si="5"/>
        <v>383.33739177489178</v>
      </c>
      <c r="P18" s="64">
        <f t="shared" ref="P18:Q35" si="39">P17</f>
        <v>1440</v>
      </c>
      <c r="Q18" s="64">
        <f t="shared" si="39"/>
        <v>125296</v>
      </c>
      <c r="R18" s="420">
        <f t="shared" si="37"/>
        <v>0</v>
      </c>
      <c r="S18" s="52">
        <f t="shared" si="12"/>
        <v>0</v>
      </c>
      <c r="T18" s="68">
        <f t="shared" si="25"/>
        <v>0</v>
      </c>
      <c r="U18" s="427">
        <f t="shared" si="13"/>
        <v>10</v>
      </c>
      <c r="V18" s="62">
        <f t="shared" si="14"/>
        <v>794</v>
      </c>
      <c r="W18" s="425"/>
      <c r="X18" s="64">
        <v>2271</v>
      </c>
      <c r="Y18" s="52">
        <f t="shared" si="16"/>
        <v>2</v>
      </c>
      <c r="Z18" s="64">
        <v>128025.8</v>
      </c>
      <c r="AA18" s="65">
        <f t="shared" si="7"/>
        <v>124.40000000000873</v>
      </c>
      <c r="AB18" s="297">
        <f t="shared" ref="AB18:AB23" si="40">SUM(Y18*$AB$2)</f>
        <v>0</v>
      </c>
      <c r="AC18" s="64">
        <f t="shared" si="34"/>
        <v>1688</v>
      </c>
      <c r="AD18" s="45">
        <f t="shared" si="8"/>
        <v>0</v>
      </c>
      <c r="AE18" s="64">
        <f t="shared" si="35"/>
        <v>351848.7</v>
      </c>
      <c r="AF18" s="325">
        <f t="shared" si="17"/>
        <v>0</v>
      </c>
      <c r="AG18" s="214">
        <f t="shared" si="27"/>
        <v>0</v>
      </c>
      <c r="AH18" s="62">
        <f t="shared" si="28"/>
        <v>124.40000000000873</v>
      </c>
      <c r="AI18" s="337">
        <f t="shared" si="18"/>
        <v>918.40000000000873</v>
      </c>
      <c r="AJ18" s="337">
        <f>-tanks!AW19</f>
        <v>918.40000000000873</v>
      </c>
      <c r="AK18" s="337">
        <f t="shared" si="19"/>
        <v>0</v>
      </c>
      <c r="AL18" s="337">
        <f t="shared" si="9"/>
        <v>10</v>
      </c>
      <c r="AM18" s="337">
        <f t="shared" si="20"/>
        <v>2</v>
      </c>
      <c r="AN18" s="64">
        <v>74</v>
      </c>
      <c r="AO18" s="339">
        <f t="shared" si="21"/>
        <v>2220</v>
      </c>
      <c r="AP18" s="64">
        <v>74</v>
      </c>
      <c r="AQ18" s="339">
        <f t="shared" si="22"/>
        <v>2220</v>
      </c>
      <c r="AR18" s="64">
        <v>78</v>
      </c>
      <c r="AS18" s="339">
        <f t="shared" si="29"/>
        <v>2340</v>
      </c>
      <c r="AT18" s="339">
        <f t="shared" si="30"/>
        <v>6780</v>
      </c>
      <c r="AU18" s="339">
        <f t="shared" si="31"/>
        <v>90</v>
      </c>
      <c r="AV18" s="277"/>
      <c r="AW18" s="277"/>
      <c r="AX18" s="332">
        <f t="shared" si="24"/>
        <v>0.7</v>
      </c>
    </row>
    <row r="19" spans="1:50">
      <c r="A19" s="63">
        <v>43814</v>
      </c>
      <c r="B19" s="64">
        <v>183</v>
      </c>
      <c r="C19" s="64">
        <v>189</v>
      </c>
      <c r="D19" s="45">
        <f t="shared" si="0"/>
        <v>6</v>
      </c>
      <c r="E19" s="45">
        <f t="shared" si="10"/>
        <v>50.28</v>
      </c>
      <c r="F19" s="64">
        <v>1225</v>
      </c>
      <c r="G19" s="52">
        <f t="shared" si="1"/>
        <v>0</v>
      </c>
      <c r="H19" s="64">
        <v>324117</v>
      </c>
      <c r="I19" s="421">
        <f t="shared" si="2"/>
        <v>0</v>
      </c>
      <c r="J19" s="66">
        <f t="shared" si="11"/>
        <v>0</v>
      </c>
      <c r="K19" s="64">
        <v>1605</v>
      </c>
      <c r="L19" s="52">
        <f t="shared" si="3"/>
        <v>5</v>
      </c>
      <c r="M19" s="64">
        <v>116836</v>
      </c>
      <c r="N19" s="421">
        <f t="shared" si="4"/>
        <v>368</v>
      </c>
      <c r="O19" s="67">
        <f t="shared" si="5"/>
        <v>383.33739177489178</v>
      </c>
      <c r="P19" s="64">
        <v>1445</v>
      </c>
      <c r="Q19" s="64">
        <v>125686</v>
      </c>
      <c r="R19" s="420">
        <f t="shared" si="37"/>
        <v>390</v>
      </c>
      <c r="S19" s="52">
        <f t="shared" si="12"/>
        <v>5</v>
      </c>
      <c r="T19" s="68">
        <f t="shared" si="25"/>
        <v>0</v>
      </c>
      <c r="U19" s="427">
        <f t="shared" si="13"/>
        <v>10</v>
      </c>
      <c r="V19" s="62">
        <f t="shared" si="14"/>
        <v>758</v>
      </c>
      <c r="W19" s="425"/>
      <c r="X19" s="64">
        <v>2279</v>
      </c>
      <c r="Y19" s="52">
        <f t="shared" si="16"/>
        <v>8</v>
      </c>
      <c r="Z19" s="64">
        <v>128431.1</v>
      </c>
      <c r="AA19" s="65">
        <f t="shared" si="7"/>
        <v>405.30000000000291</v>
      </c>
      <c r="AB19" s="297">
        <f t="shared" si="40"/>
        <v>0</v>
      </c>
      <c r="AC19" s="64">
        <v>1688</v>
      </c>
      <c r="AD19" s="45">
        <f t="shared" si="8"/>
        <v>0</v>
      </c>
      <c r="AE19" s="64">
        <v>351848.7</v>
      </c>
      <c r="AF19" s="325">
        <f t="shared" si="17"/>
        <v>0</v>
      </c>
      <c r="AG19" s="214">
        <f t="shared" si="27"/>
        <v>0</v>
      </c>
      <c r="AH19" s="62">
        <f t="shared" si="28"/>
        <v>405.30000000000291</v>
      </c>
      <c r="AI19" s="337">
        <f t="shared" si="18"/>
        <v>1163.3000000000029</v>
      </c>
      <c r="AJ19" s="337">
        <f>-tanks!AW20</f>
        <v>1163.3000000000029</v>
      </c>
      <c r="AK19" s="337">
        <f t="shared" si="19"/>
        <v>0</v>
      </c>
      <c r="AL19" s="337">
        <f>S19+L20+G19</f>
        <v>5</v>
      </c>
      <c r="AM19" s="337">
        <f t="shared" si="20"/>
        <v>8</v>
      </c>
      <c r="AN19" s="64">
        <v>72</v>
      </c>
      <c r="AO19" s="339">
        <f t="shared" si="21"/>
        <v>2160</v>
      </c>
      <c r="AP19" s="64">
        <v>74</v>
      </c>
      <c r="AQ19" s="339">
        <f t="shared" si="22"/>
        <v>2220</v>
      </c>
      <c r="AR19" s="64">
        <v>76</v>
      </c>
      <c r="AS19" s="339">
        <f t="shared" si="29"/>
        <v>2280</v>
      </c>
      <c r="AT19" s="339">
        <f t="shared" si="30"/>
        <v>6660</v>
      </c>
      <c r="AU19" s="339">
        <f t="shared" si="31"/>
        <v>120</v>
      </c>
      <c r="AV19" s="277"/>
      <c r="AW19" s="277"/>
      <c r="AX19" s="332">
        <f t="shared" si="24"/>
        <v>0.7</v>
      </c>
    </row>
    <row r="20" spans="1:50">
      <c r="A20" s="63">
        <v>43815</v>
      </c>
      <c r="B20" s="64">
        <v>177</v>
      </c>
      <c r="C20" s="64">
        <v>182</v>
      </c>
      <c r="D20" s="45">
        <f>C19-C20</f>
        <v>7</v>
      </c>
      <c r="E20" s="45">
        <f t="shared" si="10"/>
        <v>58.660000000000004</v>
      </c>
      <c r="F20" s="64">
        <v>1231</v>
      </c>
      <c r="G20" s="52">
        <f t="shared" si="1"/>
        <v>6</v>
      </c>
      <c r="H20" s="64">
        <v>324528</v>
      </c>
      <c r="I20" s="421">
        <f t="shared" si="2"/>
        <v>411</v>
      </c>
      <c r="J20" s="66">
        <f t="shared" si="11"/>
        <v>68.5</v>
      </c>
      <c r="K20" s="64">
        <f t="shared" si="36"/>
        <v>1605</v>
      </c>
      <c r="L20" s="52">
        <f t="shared" si="3"/>
        <v>0</v>
      </c>
      <c r="M20" s="64">
        <f t="shared" si="36"/>
        <v>116836</v>
      </c>
      <c r="N20" s="421">
        <f t="shared" si="4"/>
        <v>0</v>
      </c>
      <c r="O20" s="67">
        <f t="shared" si="5"/>
        <v>0</v>
      </c>
      <c r="P20" s="64">
        <v>1450</v>
      </c>
      <c r="Q20" s="64">
        <v>126115</v>
      </c>
      <c r="R20" s="420">
        <f t="shared" si="37"/>
        <v>429</v>
      </c>
      <c r="S20" s="52">
        <f t="shared" si="12"/>
        <v>5</v>
      </c>
      <c r="T20" s="68">
        <f t="shared" si="25"/>
        <v>0</v>
      </c>
      <c r="U20" s="427">
        <f t="shared" si="13"/>
        <v>11</v>
      </c>
      <c r="V20" s="62">
        <f t="shared" si="14"/>
        <v>840</v>
      </c>
      <c r="W20" s="425"/>
      <c r="X20" s="64">
        <f t="shared" si="38"/>
        <v>2279</v>
      </c>
      <c r="Y20" s="52">
        <f t="shared" si="16"/>
        <v>0</v>
      </c>
      <c r="Z20" s="64">
        <f t="shared" si="32"/>
        <v>128431.1</v>
      </c>
      <c r="AA20" s="65">
        <f t="shared" si="7"/>
        <v>0</v>
      </c>
      <c r="AB20" s="297">
        <f t="shared" si="40"/>
        <v>0</v>
      </c>
      <c r="AC20" s="64">
        <f t="shared" si="34"/>
        <v>1688</v>
      </c>
      <c r="AD20" s="45">
        <f t="shared" si="8"/>
        <v>0</v>
      </c>
      <c r="AE20" s="64">
        <f t="shared" si="35"/>
        <v>351848.7</v>
      </c>
      <c r="AF20" s="325">
        <f t="shared" si="17"/>
        <v>0</v>
      </c>
      <c r="AG20" s="214">
        <f t="shared" si="27"/>
        <v>0</v>
      </c>
      <c r="AH20" s="62">
        <f t="shared" si="28"/>
        <v>0</v>
      </c>
      <c r="AI20" s="337">
        <f t="shared" si="18"/>
        <v>840</v>
      </c>
      <c r="AJ20" s="337">
        <f>-tanks!AW21</f>
        <v>840</v>
      </c>
      <c r="AK20" s="337">
        <f t="shared" si="19"/>
        <v>0</v>
      </c>
      <c r="AL20" s="337">
        <f>S20+L21+G20</f>
        <v>16</v>
      </c>
      <c r="AM20" s="337">
        <f t="shared" si="20"/>
        <v>0</v>
      </c>
      <c r="AN20" s="64">
        <f t="shared" si="23"/>
        <v>72</v>
      </c>
      <c r="AO20" s="339">
        <f t="shared" si="21"/>
        <v>2160</v>
      </c>
      <c r="AP20" s="64">
        <f t="shared" si="23"/>
        <v>74</v>
      </c>
      <c r="AQ20" s="339">
        <f t="shared" si="22"/>
        <v>2220</v>
      </c>
      <c r="AR20" s="64">
        <f t="shared" si="23"/>
        <v>76</v>
      </c>
      <c r="AS20" s="339">
        <f t="shared" si="29"/>
        <v>2280</v>
      </c>
      <c r="AT20" s="339">
        <f t="shared" si="30"/>
        <v>6660</v>
      </c>
      <c r="AU20" s="339">
        <f t="shared" si="31"/>
        <v>0</v>
      </c>
      <c r="AV20" s="277"/>
      <c r="AW20" s="277"/>
      <c r="AX20" s="332">
        <f t="shared" si="24"/>
        <v>0.7</v>
      </c>
    </row>
    <row r="21" spans="1:50">
      <c r="A21" s="63">
        <v>43816</v>
      </c>
      <c r="B21" s="64">
        <v>187</v>
      </c>
      <c r="C21" s="64">
        <v>193</v>
      </c>
      <c r="D21" s="45">
        <f t="shared" si="0"/>
        <v>-11</v>
      </c>
      <c r="E21" s="45">
        <f t="shared" si="10"/>
        <v>-92.18</v>
      </c>
      <c r="F21" s="64">
        <v>1235</v>
      </c>
      <c r="G21" s="52">
        <f t="shared" si="1"/>
        <v>4</v>
      </c>
      <c r="H21" s="64">
        <v>324849</v>
      </c>
      <c r="I21" s="421">
        <f t="shared" si="2"/>
        <v>321</v>
      </c>
      <c r="J21" s="66">
        <f t="shared" si="11"/>
        <v>80.25</v>
      </c>
      <c r="K21" s="64">
        <v>1610</v>
      </c>
      <c r="L21" s="52">
        <f t="shared" si="3"/>
        <v>5</v>
      </c>
      <c r="M21" s="64">
        <v>117178</v>
      </c>
      <c r="N21" s="421">
        <f t="shared" si="4"/>
        <v>342</v>
      </c>
      <c r="O21" s="67">
        <f t="shared" si="5"/>
        <v>383.33739177489178</v>
      </c>
      <c r="P21" s="64">
        <v>1452</v>
      </c>
      <c r="Q21" s="64">
        <v>126239</v>
      </c>
      <c r="R21" s="420">
        <f t="shared" si="37"/>
        <v>124</v>
      </c>
      <c r="S21" s="52">
        <f t="shared" si="12"/>
        <v>2</v>
      </c>
      <c r="T21" s="68">
        <f t="shared" si="25"/>
        <v>0</v>
      </c>
      <c r="U21" s="427">
        <f t="shared" si="13"/>
        <v>11</v>
      </c>
      <c r="V21" s="62">
        <f t="shared" si="14"/>
        <v>787</v>
      </c>
      <c r="W21" s="425"/>
      <c r="X21" s="64">
        <v>2279</v>
      </c>
      <c r="Y21" s="52">
        <f t="shared" si="16"/>
        <v>0</v>
      </c>
      <c r="Z21" s="64">
        <v>128431.1</v>
      </c>
      <c r="AA21" s="65">
        <f t="shared" si="7"/>
        <v>0</v>
      </c>
      <c r="AB21" s="297">
        <f t="shared" si="40"/>
        <v>0</v>
      </c>
      <c r="AC21" s="64">
        <v>1688</v>
      </c>
      <c r="AD21" s="45">
        <f t="shared" si="8"/>
        <v>0</v>
      </c>
      <c r="AE21" s="64">
        <v>351848.7</v>
      </c>
      <c r="AF21" s="325">
        <f t="shared" si="17"/>
        <v>0</v>
      </c>
      <c r="AG21" s="214">
        <f t="shared" si="27"/>
        <v>0</v>
      </c>
      <c r="AH21" s="62">
        <f t="shared" si="28"/>
        <v>0</v>
      </c>
      <c r="AI21" s="337">
        <f t="shared" si="18"/>
        <v>787</v>
      </c>
      <c r="AJ21" s="337">
        <f>-tanks!AW22</f>
        <v>787</v>
      </c>
      <c r="AK21" s="337">
        <f t="shared" si="19"/>
        <v>0</v>
      </c>
      <c r="AL21" s="337">
        <f t="shared" ref="AL21:AL34" si="41">S21+L21+G21</f>
        <v>11</v>
      </c>
      <c r="AM21" s="337">
        <f t="shared" si="20"/>
        <v>0</v>
      </c>
      <c r="AN21" s="64">
        <v>69</v>
      </c>
      <c r="AO21" s="339">
        <f t="shared" si="21"/>
        <v>2070</v>
      </c>
      <c r="AP21" s="64">
        <v>70</v>
      </c>
      <c r="AQ21" s="339">
        <f t="shared" si="22"/>
        <v>2100</v>
      </c>
      <c r="AR21" s="64">
        <v>71</v>
      </c>
      <c r="AS21" s="339">
        <f t="shared" si="29"/>
        <v>2130</v>
      </c>
      <c r="AT21" s="339">
        <f t="shared" si="30"/>
        <v>6300</v>
      </c>
      <c r="AU21" s="339">
        <f t="shared" si="31"/>
        <v>360</v>
      </c>
      <c r="AV21" s="277"/>
      <c r="AW21" s="277"/>
      <c r="AX21" s="332">
        <f t="shared" si="24"/>
        <v>0.7</v>
      </c>
    </row>
    <row r="22" spans="1:50" ht="16.5" customHeight="1">
      <c r="A22" s="63">
        <v>43817</v>
      </c>
      <c r="B22" s="64">
        <v>225</v>
      </c>
      <c r="C22" s="64">
        <v>229</v>
      </c>
      <c r="D22" s="45">
        <f t="shared" si="0"/>
        <v>-36</v>
      </c>
      <c r="E22" s="45">
        <f t="shared" si="10"/>
        <v>-301.68</v>
      </c>
      <c r="F22" s="64">
        <v>1238</v>
      </c>
      <c r="G22" s="52">
        <f t="shared" si="1"/>
        <v>3</v>
      </c>
      <c r="H22" s="64">
        <v>325131</v>
      </c>
      <c r="I22" s="421">
        <f t="shared" si="2"/>
        <v>282</v>
      </c>
      <c r="J22" s="66">
        <f t="shared" si="11"/>
        <v>94</v>
      </c>
      <c r="K22" s="64">
        <v>1615</v>
      </c>
      <c r="L22" s="52">
        <f t="shared" si="3"/>
        <v>5</v>
      </c>
      <c r="M22" s="64">
        <v>117578</v>
      </c>
      <c r="N22" s="421">
        <f t="shared" si="4"/>
        <v>400</v>
      </c>
      <c r="O22" s="67">
        <f t="shared" si="5"/>
        <v>383.33739177489178</v>
      </c>
      <c r="P22" s="64">
        <v>1452</v>
      </c>
      <c r="Q22" s="64">
        <v>126239</v>
      </c>
      <c r="R22" s="420">
        <f t="shared" si="37"/>
        <v>0</v>
      </c>
      <c r="S22" s="52">
        <f t="shared" si="12"/>
        <v>0</v>
      </c>
      <c r="T22" s="68">
        <f t="shared" si="25"/>
        <v>0</v>
      </c>
      <c r="U22" s="427">
        <f t="shared" si="13"/>
        <v>8</v>
      </c>
      <c r="V22" s="62">
        <f t="shared" si="14"/>
        <v>682</v>
      </c>
      <c r="W22" s="425"/>
      <c r="X22" s="64">
        <v>2281</v>
      </c>
      <c r="Y22" s="52">
        <f t="shared" si="16"/>
        <v>2</v>
      </c>
      <c r="Z22" s="64">
        <v>128565.7</v>
      </c>
      <c r="AA22" s="65">
        <f t="shared" si="7"/>
        <v>134.59999999999127</v>
      </c>
      <c r="AB22" s="297">
        <f t="shared" si="40"/>
        <v>0</v>
      </c>
      <c r="AC22" s="64">
        <v>1688</v>
      </c>
      <c r="AD22" s="45">
        <f t="shared" si="8"/>
        <v>0</v>
      </c>
      <c r="AE22" s="64">
        <v>351848.7</v>
      </c>
      <c r="AF22" s="325">
        <f t="shared" si="17"/>
        <v>0</v>
      </c>
      <c r="AG22" s="214">
        <f t="shared" si="27"/>
        <v>0</v>
      </c>
      <c r="AH22" s="62">
        <f t="shared" si="28"/>
        <v>134.59999999999127</v>
      </c>
      <c r="AI22" s="337">
        <f t="shared" si="18"/>
        <v>816.59999999999127</v>
      </c>
      <c r="AJ22" s="337">
        <f>-tanks!AW23</f>
        <v>816.59999999999127</v>
      </c>
      <c r="AK22" s="337">
        <f t="shared" si="19"/>
        <v>0</v>
      </c>
      <c r="AL22" s="337">
        <f t="shared" si="41"/>
        <v>8</v>
      </c>
      <c r="AM22" s="337">
        <f t="shared" si="20"/>
        <v>2</v>
      </c>
      <c r="AN22" s="64">
        <v>65</v>
      </c>
      <c r="AO22" s="339">
        <f t="shared" si="21"/>
        <v>1950</v>
      </c>
      <c r="AP22" s="64">
        <v>67</v>
      </c>
      <c r="AQ22" s="339">
        <f t="shared" si="22"/>
        <v>2010.0000000000002</v>
      </c>
      <c r="AR22" s="64">
        <v>69</v>
      </c>
      <c r="AS22" s="339">
        <f t="shared" si="29"/>
        <v>2070</v>
      </c>
      <c r="AT22" s="339">
        <f t="shared" si="30"/>
        <v>6030</v>
      </c>
      <c r="AU22" s="339">
        <f t="shared" si="31"/>
        <v>270</v>
      </c>
      <c r="AV22" s="277"/>
      <c r="AW22" s="277"/>
      <c r="AX22" s="332">
        <f t="shared" si="24"/>
        <v>0.7</v>
      </c>
    </row>
    <row r="23" spans="1:50">
      <c r="A23" s="63">
        <v>43818</v>
      </c>
      <c r="B23" s="64">
        <v>222</v>
      </c>
      <c r="C23" s="64">
        <v>207</v>
      </c>
      <c r="D23" s="45">
        <f t="shared" si="0"/>
        <v>22</v>
      </c>
      <c r="E23" s="45">
        <f t="shared" si="10"/>
        <v>184.36</v>
      </c>
      <c r="F23" s="64">
        <v>1248</v>
      </c>
      <c r="G23" s="52">
        <f t="shared" si="1"/>
        <v>10</v>
      </c>
      <c r="H23" s="64">
        <v>325886</v>
      </c>
      <c r="I23" s="421">
        <f t="shared" si="2"/>
        <v>755</v>
      </c>
      <c r="J23" s="66">
        <f t="shared" si="11"/>
        <v>75.5</v>
      </c>
      <c r="K23" s="64">
        <v>1615</v>
      </c>
      <c r="L23" s="52">
        <f t="shared" si="3"/>
        <v>0</v>
      </c>
      <c r="M23" s="64">
        <v>117578</v>
      </c>
      <c r="N23" s="421">
        <f t="shared" si="4"/>
        <v>0</v>
      </c>
      <c r="O23" s="67">
        <f t="shared" si="5"/>
        <v>0</v>
      </c>
      <c r="P23" s="64">
        <v>1452</v>
      </c>
      <c r="Q23" s="64">
        <v>126239</v>
      </c>
      <c r="R23" s="420">
        <f t="shared" si="37"/>
        <v>0</v>
      </c>
      <c r="S23" s="52">
        <f t="shared" si="12"/>
        <v>0</v>
      </c>
      <c r="T23" s="68">
        <f t="shared" si="25"/>
        <v>0</v>
      </c>
      <c r="U23" s="427">
        <f t="shared" si="13"/>
        <v>10</v>
      </c>
      <c r="V23" s="62">
        <f t="shared" si="14"/>
        <v>755</v>
      </c>
      <c r="W23" s="425"/>
      <c r="X23" s="64">
        <v>2289</v>
      </c>
      <c r="Y23" s="52">
        <f t="shared" si="16"/>
        <v>8</v>
      </c>
      <c r="Z23" s="64">
        <v>128954.4</v>
      </c>
      <c r="AA23" s="65">
        <f t="shared" si="7"/>
        <v>388.69999999999709</v>
      </c>
      <c r="AB23" s="297">
        <f t="shared" si="40"/>
        <v>0</v>
      </c>
      <c r="AC23" s="64">
        <v>1688</v>
      </c>
      <c r="AD23" s="45">
        <f t="shared" si="8"/>
        <v>0</v>
      </c>
      <c r="AE23" s="64">
        <v>351848.7</v>
      </c>
      <c r="AF23" s="325">
        <f t="shared" si="17"/>
        <v>0</v>
      </c>
      <c r="AG23" s="214">
        <f t="shared" si="27"/>
        <v>0</v>
      </c>
      <c r="AH23" s="62">
        <f t="shared" si="28"/>
        <v>388.69999999999709</v>
      </c>
      <c r="AI23" s="337">
        <f t="shared" si="18"/>
        <v>1143.6999999999971</v>
      </c>
      <c r="AJ23" s="337">
        <f>-tanks!AW24</f>
        <v>1143.6999999999971</v>
      </c>
      <c r="AK23" s="337">
        <f t="shared" si="19"/>
        <v>0</v>
      </c>
      <c r="AL23" s="337">
        <f t="shared" si="41"/>
        <v>10</v>
      </c>
      <c r="AM23" s="337">
        <f t="shared" si="20"/>
        <v>8</v>
      </c>
      <c r="AN23" s="64">
        <v>80</v>
      </c>
      <c r="AO23" s="339">
        <f t="shared" si="21"/>
        <v>2400</v>
      </c>
      <c r="AP23" s="64">
        <v>81</v>
      </c>
      <c r="AQ23" s="339">
        <f t="shared" si="22"/>
        <v>2430</v>
      </c>
      <c r="AR23" s="64">
        <v>79</v>
      </c>
      <c r="AS23" s="339">
        <f t="shared" si="29"/>
        <v>2370</v>
      </c>
      <c r="AT23" s="339">
        <f t="shared" si="30"/>
        <v>7200</v>
      </c>
      <c r="AU23" s="339">
        <f t="shared" si="31"/>
        <v>330</v>
      </c>
      <c r="AV23" s="277">
        <v>1500</v>
      </c>
      <c r="AW23" s="277">
        <v>0.7</v>
      </c>
      <c r="AX23" s="332">
        <f t="shared" si="24"/>
        <v>0.7</v>
      </c>
    </row>
    <row r="24" spans="1:50">
      <c r="A24" s="63">
        <v>43819</v>
      </c>
      <c r="B24" s="64">
        <v>219</v>
      </c>
      <c r="C24" s="64">
        <v>193</v>
      </c>
      <c r="D24" s="45">
        <f t="shared" si="0"/>
        <v>14</v>
      </c>
      <c r="E24" s="45">
        <f t="shared" si="10"/>
        <v>117.32000000000001</v>
      </c>
      <c r="F24" s="64">
        <v>1256</v>
      </c>
      <c r="G24" s="52">
        <f t="shared" si="1"/>
        <v>8</v>
      </c>
      <c r="H24" s="64">
        <v>326591</v>
      </c>
      <c r="I24" s="421">
        <f t="shared" si="2"/>
        <v>705</v>
      </c>
      <c r="J24" s="66">
        <f t="shared" si="11"/>
        <v>88.125</v>
      </c>
      <c r="K24" s="64">
        <v>1615</v>
      </c>
      <c r="L24" s="52">
        <f t="shared" si="3"/>
        <v>0</v>
      </c>
      <c r="M24" s="64">
        <v>117578</v>
      </c>
      <c r="N24" s="421">
        <f t="shared" si="4"/>
        <v>0</v>
      </c>
      <c r="O24" s="67">
        <f t="shared" si="5"/>
        <v>0</v>
      </c>
      <c r="P24" s="64">
        <v>1452</v>
      </c>
      <c r="Q24" s="64">
        <v>126239</v>
      </c>
      <c r="R24" s="420">
        <f t="shared" si="37"/>
        <v>0</v>
      </c>
      <c r="S24" s="52">
        <f t="shared" ref="S24:S33" si="42">SUM(P24-P23)</f>
        <v>0</v>
      </c>
      <c r="T24" s="68">
        <f t="shared" si="25"/>
        <v>0</v>
      </c>
      <c r="U24" s="427">
        <f t="shared" si="13"/>
        <v>8</v>
      </c>
      <c r="V24" s="62">
        <f t="shared" si="14"/>
        <v>705</v>
      </c>
      <c r="W24" s="425"/>
      <c r="X24" s="64">
        <v>2289</v>
      </c>
      <c r="Y24" s="52">
        <f t="shared" si="16"/>
        <v>0</v>
      </c>
      <c r="Z24" s="64">
        <v>128954.4</v>
      </c>
      <c r="AA24" s="65">
        <f t="shared" si="7"/>
        <v>0</v>
      </c>
      <c r="AB24" s="297">
        <f t="shared" ref="AB24:AB34" si="43">SUM(Y24*$AB$2)</f>
        <v>0</v>
      </c>
      <c r="AC24" s="64">
        <v>1688</v>
      </c>
      <c r="AD24" s="45">
        <f t="shared" si="8"/>
        <v>0</v>
      </c>
      <c r="AE24" s="64">
        <v>351848.7</v>
      </c>
      <c r="AF24" s="325">
        <f t="shared" si="17"/>
        <v>0</v>
      </c>
      <c r="AG24" s="214">
        <f t="shared" si="27"/>
        <v>0</v>
      </c>
      <c r="AH24" s="62">
        <f t="shared" si="28"/>
        <v>0</v>
      </c>
      <c r="AI24" s="337">
        <f t="shared" si="18"/>
        <v>705</v>
      </c>
      <c r="AJ24" s="337">
        <f>-tanks!AW25</f>
        <v>705</v>
      </c>
      <c r="AK24" s="337">
        <f t="shared" si="19"/>
        <v>0</v>
      </c>
      <c r="AL24" s="337">
        <f t="shared" si="41"/>
        <v>8</v>
      </c>
      <c r="AM24" s="337">
        <f t="shared" si="20"/>
        <v>0</v>
      </c>
      <c r="AN24" s="64">
        <v>79</v>
      </c>
      <c r="AO24" s="339">
        <f t="shared" si="21"/>
        <v>2370</v>
      </c>
      <c r="AP24" s="64">
        <v>80</v>
      </c>
      <c r="AQ24" s="339">
        <f t="shared" si="22"/>
        <v>2400</v>
      </c>
      <c r="AR24" s="64">
        <v>78</v>
      </c>
      <c r="AS24" s="339">
        <f t="shared" si="29"/>
        <v>2340</v>
      </c>
      <c r="AT24" s="339">
        <f t="shared" ref="AT24:AT34" si="44">SUM(AO24+AQ24+AS24)</f>
        <v>7110</v>
      </c>
      <c r="AU24" s="339">
        <f t="shared" si="31"/>
        <v>90</v>
      </c>
      <c r="AV24" s="277"/>
      <c r="AW24" s="277"/>
      <c r="AX24" s="332">
        <f t="shared" si="24"/>
        <v>0.7</v>
      </c>
    </row>
    <row r="25" spans="1:50" ht="13.5" customHeight="1">
      <c r="A25" s="63">
        <v>43820</v>
      </c>
      <c r="B25" s="64">
        <v>216</v>
      </c>
      <c r="C25" s="64">
        <v>179</v>
      </c>
      <c r="D25" s="45">
        <f t="shared" si="0"/>
        <v>14</v>
      </c>
      <c r="E25" s="45">
        <f t="shared" si="10"/>
        <v>117.32000000000001</v>
      </c>
      <c r="F25" s="64">
        <v>1267</v>
      </c>
      <c r="G25" s="52">
        <f t="shared" si="1"/>
        <v>11</v>
      </c>
      <c r="H25" s="64">
        <v>327405</v>
      </c>
      <c r="I25" s="421">
        <f t="shared" si="2"/>
        <v>814</v>
      </c>
      <c r="J25" s="66">
        <f t="shared" si="11"/>
        <v>74</v>
      </c>
      <c r="K25" s="64">
        <f t="shared" si="36"/>
        <v>1615</v>
      </c>
      <c r="L25" s="52">
        <f t="shared" si="3"/>
        <v>0</v>
      </c>
      <c r="M25" s="64">
        <f t="shared" si="36"/>
        <v>117578</v>
      </c>
      <c r="N25" s="421">
        <f t="shared" si="4"/>
        <v>0</v>
      </c>
      <c r="O25" s="67">
        <f t="shared" si="5"/>
        <v>0</v>
      </c>
      <c r="P25" s="64">
        <f t="shared" si="39"/>
        <v>1452</v>
      </c>
      <c r="Q25" s="64">
        <f t="shared" si="39"/>
        <v>126239</v>
      </c>
      <c r="R25" s="420">
        <f t="shared" si="37"/>
        <v>0</v>
      </c>
      <c r="S25" s="52">
        <f t="shared" si="42"/>
        <v>0</v>
      </c>
      <c r="T25" s="68">
        <f t="shared" si="25"/>
        <v>0</v>
      </c>
      <c r="U25" s="427">
        <f t="shared" si="13"/>
        <v>11</v>
      </c>
      <c r="V25" s="62">
        <f t="shared" si="14"/>
        <v>814</v>
      </c>
      <c r="W25" s="425"/>
      <c r="X25" s="64">
        <f t="shared" si="38"/>
        <v>2289</v>
      </c>
      <c r="Y25" s="52">
        <f t="shared" si="16"/>
        <v>0</v>
      </c>
      <c r="Z25" s="64">
        <f t="shared" si="32"/>
        <v>128954.4</v>
      </c>
      <c r="AA25" s="65">
        <f t="shared" si="7"/>
        <v>0</v>
      </c>
      <c r="AB25" s="297">
        <f t="shared" si="43"/>
        <v>0</v>
      </c>
      <c r="AC25" s="64">
        <f t="shared" si="34"/>
        <v>1688</v>
      </c>
      <c r="AD25" s="45">
        <f t="shared" si="8"/>
        <v>0</v>
      </c>
      <c r="AE25" s="64">
        <f t="shared" si="35"/>
        <v>351848.7</v>
      </c>
      <c r="AF25" s="325">
        <f t="shared" si="17"/>
        <v>0</v>
      </c>
      <c r="AG25" s="214">
        <f t="shared" si="27"/>
        <v>0</v>
      </c>
      <c r="AH25" s="62">
        <f t="shared" si="28"/>
        <v>0</v>
      </c>
      <c r="AI25" s="337">
        <f t="shared" si="18"/>
        <v>814</v>
      </c>
      <c r="AJ25" s="337">
        <f>-tanks!AW26</f>
        <v>814</v>
      </c>
      <c r="AK25" s="337">
        <f t="shared" si="19"/>
        <v>0</v>
      </c>
      <c r="AL25" s="337">
        <f t="shared" si="41"/>
        <v>11</v>
      </c>
      <c r="AM25" s="337">
        <f t="shared" si="20"/>
        <v>0</v>
      </c>
      <c r="AN25" s="64">
        <f t="shared" si="23"/>
        <v>79</v>
      </c>
      <c r="AO25" s="339">
        <f t="shared" si="21"/>
        <v>2370</v>
      </c>
      <c r="AP25" s="64">
        <v>78</v>
      </c>
      <c r="AQ25" s="339">
        <f t="shared" ref="AQ25:AQ34" si="45">(AP25/100)*3000</f>
        <v>2340</v>
      </c>
      <c r="AR25" s="64">
        <v>76</v>
      </c>
      <c r="AS25" s="339">
        <f t="shared" si="29"/>
        <v>2280</v>
      </c>
      <c r="AT25" s="339">
        <f t="shared" si="44"/>
        <v>6990</v>
      </c>
      <c r="AU25" s="339">
        <f t="shared" si="31"/>
        <v>120</v>
      </c>
      <c r="AV25" s="277"/>
      <c r="AW25" s="277"/>
      <c r="AX25" s="332">
        <f t="shared" si="24"/>
        <v>0.7</v>
      </c>
    </row>
    <row r="26" spans="1:50" ht="14.25" customHeight="1">
      <c r="A26" s="63">
        <v>43821</v>
      </c>
      <c r="B26" s="64">
        <v>213</v>
      </c>
      <c r="C26" s="64">
        <v>166</v>
      </c>
      <c r="D26" s="45">
        <f t="shared" si="0"/>
        <v>13</v>
      </c>
      <c r="E26" s="45">
        <f t="shared" si="10"/>
        <v>108.94000000000001</v>
      </c>
      <c r="F26" s="64">
        <v>1274</v>
      </c>
      <c r="G26" s="52">
        <f t="shared" si="1"/>
        <v>7</v>
      </c>
      <c r="H26" s="64">
        <v>328001</v>
      </c>
      <c r="I26" s="421">
        <f t="shared" si="2"/>
        <v>596</v>
      </c>
      <c r="J26" s="66">
        <f t="shared" si="11"/>
        <v>85.142857142857139</v>
      </c>
      <c r="K26" s="64">
        <v>1615</v>
      </c>
      <c r="L26" s="52">
        <f t="shared" si="3"/>
        <v>0</v>
      </c>
      <c r="M26" s="64">
        <v>117578</v>
      </c>
      <c r="N26" s="421">
        <f t="shared" si="4"/>
        <v>0</v>
      </c>
      <c r="O26" s="67">
        <f t="shared" si="5"/>
        <v>0</v>
      </c>
      <c r="P26" s="64">
        <v>1452</v>
      </c>
      <c r="Q26" s="64">
        <v>126239</v>
      </c>
      <c r="R26" s="420">
        <f t="shared" si="37"/>
        <v>0</v>
      </c>
      <c r="S26" s="52">
        <f t="shared" si="42"/>
        <v>0</v>
      </c>
      <c r="T26" s="68">
        <f t="shared" si="25"/>
        <v>0</v>
      </c>
      <c r="U26" s="427">
        <f t="shared" si="13"/>
        <v>7</v>
      </c>
      <c r="V26" s="62">
        <f t="shared" si="14"/>
        <v>596</v>
      </c>
      <c r="W26" s="425"/>
      <c r="X26" s="64">
        <v>2292</v>
      </c>
      <c r="Y26" s="52">
        <f t="shared" si="16"/>
        <v>3</v>
      </c>
      <c r="Z26" s="64">
        <v>129117</v>
      </c>
      <c r="AA26" s="65">
        <f t="shared" si="7"/>
        <v>162.60000000000582</v>
      </c>
      <c r="AB26" s="297">
        <f t="shared" si="43"/>
        <v>0</v>
      </c>
      <c r="AC26" s="64">
        <v>1688</v>
      </c>
      <c r="AD26" s="45">
        <f t="shared" si="8"/>
        <v>0</v>
      </c>
      <c r="AE26" s="64">
        <v>351848.7</v>
      </c>
      <c r="AF26" s="325">
        <f t="shared" si="17"/>
        <v>0</v>
      </c>
      <c r="AG26" s="214">
        <f t="shared" si="27"/>
        <v>0</v>
      </c>
      <c r="AH26" s="62">
        <f t="shared" si="28"/>
        <v>162.60000000000582</v>
      </c>
      <c r="AI26" s="337">
        <f t="shared" si="18"/>
        <v>758.60000000000582</v>
      </c>
      <c r="AJ26" s="337">
        <f>-tanks!AW27</f>
        <v>758.60000000000582</v>
      </c>
      <c r="AK26" s="337">
        <f t="shared" si="19"/>
        <v>0</v>
      </c>
      <c r="AL26" s="337">
        <f t="shared" si="41"/>
        <v>7</v>
      </c>
      <c r="AM26" s="337">
        <f t="shared" si="20"/>
        <v>3</v>
      </c>
      <c r="AN26" s="64">
        <v>73</v>
      </c>
      <c r="AO26" s="339">
        <f t="shared" si="21"/>
        <v>2190</v>
      </c>
      <c r="AP26" s="64">
        <v>74</v>
      </c>
      <c r="AQ26" s="339">
        <f t="shared" si="45"/>
        <v>2220</v>
      </c>
      <c r="AR26" s="64">
        <v>73</v>
      </c>
      <c r="AS26" s="339">
        <f t="shared" si="29"/>
        <v>2190</v>
      </c>
      <c r="AT26" s="339">
        <f t="shared" si="44"/>
        <v>6600</v>
      </c>
      <c r="AU26" s="339">
        <f t="shared" si="31"/>
        <v>390</v>
      </c>
      <c r="AV26" s="277"/>
      <c r="AW26" s="277"/>
      <c r="AX26" s="332">
        <f t="shared" si="24"/>
        <v>0.7</v>
      </c>
    </row>
    <row r="27" spans="1:50">
      <c r="A27" s="63">
        <v>43822</v>
      </c>
      <c r="B27" s="64">
        <v>209</v>
      </c>
      <c r="C27" s="64">
        <v>145</v>
      </c>
      <c r="D27" s="45">
        <f t="shared" si="0"/>
        <v>21</v>
      </c>
      <c r="E27" s="45">
        <f t="shared" si="10"/>
        <v>175.98000000000002</v>
      </c>
      <c r="F27" s="64">
        <v>1283</v>
      </c>
      <c r="G27" s="52">
        <f t="shared" si="1"/>
        <v>9</v>
      </c>
      <c r="H27" s="64">
        <v>328697</v>
      </c>
      <c r="I27" s="421">
        <f t="shared" si="2"/>
        <v>696</v>
      </c>
      <c r="J27" s="66">
        <f t="shared" si="11"/>
        <v>77.333333333333329</v>
      </c>
      <c r="K27" s="64">
        <v>1615</v>
      </c>
      <c r="L27" s="52">
        <f t="shared" si="3"/>
        <v>0</v>
      </c>
      <c r="M27" s="64">
        <v>117578</v>
      </c>
      <c r="N27" s="421">
        <f t="shared" si="4"/>
        <v>0</v>
      </c>
      <c r="O27" s="67">
        <f t="shared" si="5"/>
        <v>0</v>
      </c>
      <c r="P27" s="64">
        <v>1452</v>
      </c>
      <c r="Q27" s="64">
        <v>126239</v>
      </c>
      <c r="R27" s="420">
        <f t="shared" si="37"/>
        <v>0</v>
      </c>
      <c r="S27" s="52">
        <f t="shared" si="42"/>
        <v>0</v>
      </c>
      <c r="T27" s="68">
        <f t="shared" si="25"/>
        <v>0</v>
      </c>
      <c r="U27" s="427">
        <f t="shared" si="13"/>
        <v>9</v>
      </c>
      <c r="V27" s="62">
        <f t="shared" si="14"/>
        <v>696</v>
      </c>
      <c r="W27" s="425"/>
      <c r="X27" s="64">
        <v>2300</v>
      </c>
      <c r="Y27" s="52">
        <f t="shared" si="16"/>
        <v>8</v>
      </c>
      <c r="Z27" s="64">
        <v>129516.3</v>
      </c>
      <c r="AA27" s="65">
        <f t="shared" si="7"/>
        <v>399.30000000000291</v>
      </c>
      <c r="AB27" s="297">
        <f t="shared" si="43"/>
        <v>0</v>
      </c>
      <c r="AC27" s="64">
        <v>1688</v>
      </c>
      <c r="AD27" s="45">
        <f t="shared" si="8"/>
        <v>0</v>
      </c>
      <c r="AE27" s="64">
        <v>351848.7</v>
      </c>
      <c r="AF27" s="325">
        <f t="shared" si="17"/>
        <v>0</v>
      </c>
      <c r="AG27" s="214">
        <f t="shared" si="27"/>
        <v>0</v>
      </c>
      <c r="AH27" s="62">
        <f t="shared" si="28"/>
        <v>399.30000000000291</v>
      </c>
      <c r="AI27" s="337">
        <f t="shared" si="18"/>
        <v>1095.3000000000029</v>
      </c>
      <c r="AJ27" s="337">
        <f>-tanks!AW28</f>
        <v>1095.3000000000029</v>
      </c>
      <c r="AK27" s="337">
        <f t="shared" si="19"/>
        <v>0</v>
      </c>
      <c r="AL27" s="337">
        <f t="shared" si="41"/>
        <v>9</v>
      </c>
      <c r="AM27" s="337">
        <f t="shared" si="20"/>
        <v>8</v>
      </c>
      <c r="AN27" s="64">
        <v>70</v>
      </c>
      <c r="AO27" s="339">
        <f>(AN27/100)*3000</f>
        <v>2100</v>
      </c>
      <c r="AP27" s="64">
        <v>71</v>
      </c>
      <c r="AQ27" s="339">
        <f t="shared" si="45"/>
        <v>2130</v>
      </c>
      <c r="AR27" s="64">
        <v>71</v>
      </c>
      <c r="AS27" s="339">
        <f t="shared" si="29"/>
        <v>2130</v>
      </c>
      <c r="AT27" s="339">
        <f t="shared" si="44"/>
        <v>6360</v>
      </c>
      <c r="AU27" s="339">
        <f t="shared" si="31"/>
        <v>240</v>
      </c>
      <c r="AV27" s="277"/>
      <c r="AW27" s="552"/>
      <c r="AX27" s="332">
        <f t="shared" si="24"/>
        <v>0.7</v>
      </c>
    </row>
    <row r="28" spans="1:50">
      <c r="A28" s="63">
        <v>43823</v>
      </c>
      <c r="B28" s="64">
        <v>206</v>
      </c>
      <c r="C28" s="64">
        <v>136</v>
      </c>
      <c r="D28" s="45">
        <f t="shared" si="0"/>
        <v>9</v>
      </c>
      <c r="E28" s="45">
        <f t="shared" si="10"/>
        <v>75.42</v>
      </c>
      <c r="F28" s="64">
        <v>1289</v>
      </c>
      <c r="G28" s="52">
        <f t="shared" si="1"/>
        <v>6</v>
      </c>
      <c r="H28" s="64">
        <v>329163</v>
      </c>
      <c r="I28" s="421">
        <f t="shared" si="2"/>
        <v>466</v>
      </c>
      <c r="J28" s="66">
        <f t="shared" si="11"/>
        <v>77.666666666666671</v>
      </c>
      <c r="K28" s="64">
        <f t="shared" si="36"/>
        <v>1615</v>
      </c>
      <c r="L28" s="52">
        <f t="shared" si="3"/>
        <v>0</v>
      </c>
      <c r="M28" s="64">
        <f t="shared" si="36"/>
        <v>117578</v>
      </c>
      <c r="N28" s="421">
        <f t="shared" si="4"/>
        <v>0</v>
      </c>
      <c r="O28" s="67">
        <f t="shared" si="5"/>
        <v>0</v>
      </c>
      <c r="P28" s="64">
        <f t="shared" si="39"/>
        <v>1452</v>
      </c>
      <c r="Q28" s="64">
        <f t="shared" si="39"/>
        <v>126239</v>
      </c>
      <c r="R28" s="420">
        <f t="shared" si="37"/>
        <v>0</v>
      </c>
      <c r="S28" s="52">
        <f t="shared" si="42"/>
        <v>0</v>
      </c>
      <c r="T28" s="68">
        <f t="shared" si="25"/>
        <v>0</v>
      </c>
      <c r="U28" s="427">
        <f t="shared" si="13"/>
        <v>6</v>
      </c>
      <c r="V28" s="62">
        <f t="shared" si="14"/>
        <v>466</v>
      </c>
      <c r="W28" s="425"/>
      <c r="X28" s="64">
        <v>2301</v>
      </c>
      <c r="Y28" s="52">
        <f t="shared" si="16"/>
        <v>1</v>
      </c>
      <c r="Z28" s="64">
        <v>129598.3</v>
      </c>
      <c r="AA28" s="65">
        <f t="shared" si="7"/>
        <v>82</v>
      </c>
      <c r="AB28" s="297">
        <f t="shared" si="43"/>
        <v>0</v>
      </c>
      <c r="AC28" s="64">
        <f t="shared" si="34"/>
        <v>1688</v>
      </c>
      <c r="AD28" s="45">
        <f t="shared" si="8"/>
        <v>0</v>
      </c>
      <c r="AE28" s="64">
        <f t="shared" si="35"/>
        <v>351848.7</v>
      </c>
      <c r="AF28" s="325">
        <f t="shared" si="17"/>
        <v>0</v>
      </c>
      <c r="AG28" s="214">
        <f t="shared" si="27"/>
        <v>0</v>
      </c>
      <c r="AH28" s="62">
        <f t="shared" si="28"/>
        <v>82</v>
      </c>
      <c r="AI28" s="337">
        <f t="shared" si="18"/>
        <v>548</v>
      </c>
      <c r="AJ28" s="337">
        <f>-tanks!AW29</f>
        <v>548</v>
      </c>
      <c r="AK28" s="337">
        <f t="shared" si="19"/>
        <v>0</v>
      </c>
      <c r="AL28" s="337">
        <f t="shared" si="41"/>
        <v>6</v>
      </c>
      <c r="AM28" s="337">
        <f t="shared" si="20"/>
        <v>1</v>
      </c>
      <c r="AN28" s="64">
        <v>68</v>
      </c>
      <c r="AO28" s="339">
        <f t="shared" ref="AO28:AO34" si="46">(AN28/100)*3000</f>
        <v>2040.0000000000002</v>
      </c>
      <c r="AP28" s="64">
        <v>69</v>
      </c>
      <c r="AQ28" s="339">
        <f t="shared" si="45"/>
        <v>2070</v>
      </c>
      <c r="AR28" s="64">
        <v>68</v>
      </c>
      <c r="AS28" s="339">
        <f t="shared" si="29"/>
        <v>2040.0000000000002</v>
      </c>
      <c r="AT28" s="339">
        <f t="shared" si="44"/>
        <v>6150</v>
      </c>
      <c r="AU28" s="339">
        <f t="shared" si="31"/>
        <v>210</v>
      </c>
      <c r="AV28" s="277"/>
      <c r="AW28" s="277"/>
      <c r="AX28" s="332">
        <f t="shared" si="24"/>
        <v>0.7</v>
      </c>
    </row>
    <row r="29" spans="1:50">
      <c r="A29" s="63">
        <v>43824</v>
      </c>
      <c r="B29" s="64">
        <v>202</v>
      </c>
      <c r="C29" s="64">
        <v>118</v>
      </c>
      <c r="D29" s="45">
        <f t="shared" si="0"/>
        <v>18</v>
      </c>
      <c r="E29" s="45">
        <f t="shared" ref="E29:E34" si="47">D29*8.38</f>
        <v>150.84</v>
      </c>
      <c r="F29" s="64">
        <v>1295</v>
      </c>
      <c r="G29" s="52">
        <f t="shared" si="1"/>
        <v>6</v>
      </c>
      <c r="H29" s="64">
        <v>329704</v>
      </c>
      <c r="I29" s="421">
        <f t="shared" si="2"/>
        <v>541</v>
      </c>
      <c r="J29" s="66">
        <f t="shared" si="11"/>
        <v>90.166666666666671</v>
      </c>
      <c r="K29" s="64">
        <v>1615</v>
      </c>
      <c r="L29" s="52">
        <f t="shared" si="3"/>
        <v>0</v>
      </c>
      <c r="M29" s="64">
        <v>117578</v>
      </c>
      <c r="N29" s="421">
        <f t="shared" si="4"/>
        <v>0</v>
      </c>
      <c r="O29" s="67">
        <f t="shared" si="5"/>
        <v>0</v>
      </c>
      <c r="P29" s="64">
        <v>1452</v>
      </c>
      <c r="Q29" s="64">
        <v>126239</v>
      </c>
      <c r="R29" s="420">
        <f t="shared" si="37"/>
        <v>0</v>
      </c>
      <c r="S29" s="52">
        <f t="shared" si="42"/>
        <v>0</v>
      </c>
      <c r="T29" s="68">
        <f t="shared" si="25"/>
        <v>0</v>
      </c>
      <c r="U29" s="427">
        <f t="shared" si="13"/>
        <v>6</v>
      </c>
      <c r="V29" s="62">
        <f t="shared" si="14"/>
        <v>541</v>
      </c>
      <c r="W29" s="425"/>
      <c r="X29" s="64">
        <v>2309</v>
      </c>
      <c r="Y29" s="52">
        <f t="shared" si="16"/>
        <v>8</v>
      </c>
      <c r="Z29" s="64">
        <v>130009.7</v>
      </c>
      <c r="AA29" s="65">
        <f t="shared" si="7"/>
        <v>411.39999999999418</v>
      </c>
      <c r="AB29" s="297">
        <f t="shared" si="43"/>
        <v>0</v>
      </c>
      <c r="AC29" s="64">
        <v>1688</v>
      </c>
      <c r="AD29" s="45">
        <f t="shared" si="8"/>
        <v>0</v>
      </c>
      <c r="AE29" s="64">
        <v>351848.7</v>
      </c>
      <c r="AF29" s="325">
        <f t="shared" si="17"/>
        <v>0</v>
      </c>
      <c r="AG29" s="214">
        <f t="shared" si="27"/>
        <v>0</v>
      </c>
      <c r="AH29" s="62">
        <f t="shared" si="28"/>
        <v>411.39999999999418</v>
      </c>
      <c r="AI29" s="337">
        <f t="shared" si="18"/>
        <v>952.39999999999418</v>
      </c>
      <c r="AJ29" s="337">
        <f>-tanks!AW30</f>
        <v>952.39999999999418</v>
      </c>
      <c r="AK29" s="337">
        <f t="shared" si="19"/>
        <v>0</v>
      </c>
      <c r="AL29" s="337">
        <f t="shared" si="41"/>
        <v>6</v>
      </c>
      <c r="AM29" s="337">
        <f t="shared" si="20"/>
        <v>8</v>
      </c>
      <c r="AN29" s="64">
        <v>65</v>
      </c>
      <c r="AO29" s="339">
        <f t="shared" si="46"/>
        <v>1950</v>
      </c>
      <c r="AP29" s="64">
        <v>66</v>
      </c>
      <c r="AQ29" s="339">
        <f t="shared" si="45"/>
        <v>1980</v>
      </c>
      <c r="AR29" s="64">
        <v>65</v>
      </c>
      <c r="AS29" s="339">
        <f t="shared" si="29"/>
        <v>1950</v>
      </c>
      <c r="AT29" s="339">
        <f>SUM(AO29+AQ29+AS29)</f>
        <v>5880</v>
      </c>
      <c r="AU29" s="339">
        <f>AT28-AT29+AV29</f>
        <v>270</v>
      </c>
      <c r="AV29" s="277"/>
      <c r="AW29" s="277"/>
      <c r="AX29" s="332">
        <f t="shared" si="24"/>
        <v>0.7</v>
      </c>
    </row>
    <row r="30" spans="1:50">
      <c r="A30" s="63">
        <v>43825</v>
      </c>
      <c r="B30" s="64">
        <v>181</v>
      </c>
      <c r="C30" s="64">
        <v>162</v>
      </c>
      <c r="D30" s="45">
        <f t="shared" si="0"/>
        <v>-44</v>
      </c>
      <c r="E30" s="45">
        <f t="shared" si="47"/>
        <v>-368.72</v>
      </c>
      <c r="F30" s="64">
        <v>1303</v>
      </c>
      <c r="G30" s="52">
        <f t="shared" si="1"/>
        <v>8</v>
      </c>
      <c r="H30" s="64">
        <v>330270</v>
      </c>
      <c r="I30" s="421">
        <f t="shared" si="2"/>
        <v>566</v>
      </c>
      <c r="J30" s="66">
        <f t="shared" si="11"/>
        <v>70.75</v>
      </c>
      <c r="K30" s="64">
        <v>1621</v>
      </c>
      <c r="L30" s="52">
        <f t="shared" si="3"/>
        <v>6</v>
      </c>
      <c r="M30" s="64">
        <v>117953</v>
      </c>
      <c r="N30" s="421">
        <f t="shared" si="4"/>
        <v>375</v>
      </c>
      <c r="O30" s="67">
        <f t="shared" si="5"/>
        <v>460.00487012987014</v>
      </c>
      <c r="P30" s="64">
        <v>1452</v>
      </c>
      <c r="Q30" s="64">
        <v>126239</v>
      </c>
      <c r="R30" s="420">
        <f t="shared" si="37"/>
        <v>0</v>
      </c>
      <c r="S30" s="52">
        <f t="shared" si="42"/>
        <v>0</v>
      </c>
      <c r="T30" s="68">
        <f t="shared" si="25"/>
        <v>0</v>
      </c>
      <c r="U30" s="427">
        <f t="shared" si="13"/>
        <v>14</v>
      </c>
      <c r="V30" s="62">
        <f t="shared" si="14"/>
        <v>941</v>
      </c>
      <c r="W30" s="425"/>
      <c r="X30" s="64">
        <v>2310</v>
      </c>
      <c r="Y30" s="52">
        <f t="shared" si="16"/>
        <v>1</v>
      </c>
      <c r="Z30" s="64">
        <v>130086.3</v>
      </c>
      <c r="AA30" s="65">
        <f t="shared" si="7"/>
        <v>76.600000000005821</v>
      </c>
      <c r="AB30" s="297">
        <f t="shared" si="43"/>
        <v>0</v>
      </c>
      <c r="AC30" s="64">
        <v>1688</v>
      </c>
      <c r="AD30" s="45">
        <f t="shared" si="8"/>
        <v>0</v>
      </c>
      <c r="AE30" s="64">
        <v>351848.7</v>
      </c>
      <c r="AF30" s="325">
        <f t="shared" si="17"/>
        <v>0</v>
      </c>
      <c r="AG30" s="214">
        <f t="shared" si="27"/>
        <v>0</v>
      </c>
      <c r="AH30" s="62">
        <f t="shared" si="28"/>
        <v>76.600000000005821</v>
      </c>
      <c r="AI30" s="337">
        <f t="shared" si="18"/>
        <v>1017.6000000000058</v>
      </c>
      <c r="AJ30" s="337">
        <f>-tanks!AW31</f>
        <v>1017.6000000000058</v>
      </c>
      <c r="AK30" s="337">
        <f t="shared" si="19"/>
        <v>0</v>
      </c>
      <c r="AL30" s="337">
        <f t="shared" si="41"/>
        <v>14</v>
      </c>
      <c r="AM30" s="337">
        <f t="shared" si="20"/>
        <v>1</v>
      </c>
      <c r="AN30" s="64">
        <v>80</v>
      </c>
      <c r="AO30" s="339">
        <f t="shared" si="46"/>
        <v>2400</v>
      </c>
      <c r="AP30" s="64">
        <v>81</v>
      </c>
      <c r="AQ30" s="339">
        <f t="shared" si="45"/>
        <v>2430</v>
      </c>
      <c r="AR30" s="64">
        <v>82</v>
      </c>
      <c r="AS30" s="339">
        <f t="shared" si="29"/>
        <v>2460</v>
      </c>
      <c r="AT30" s="339">
        <f t="shared" si="44"/>
        <v>7290</v>
      </c>
      <c r="AU30" s="339">
        <f t="shared" si="31"/>
        <v>390</v>
      </c>
      <c r="AV30" s="277">
        <v>1800</v>
      </c>
      <c r="AW30" s="277">
        <v>0.7</v>
      </c>
      <c r="AX30" s="332">
        <f t="shared" si="24"/>
        <v>0.7</v>
      </c>
    </row>
    <row r="31" spans="1:50">
      <c r="A31" s="63">
        <v>43826</v>
      </c>
      <c r="B31" s="64">
        <v>213</v>
      </c>
      <c r="C31" s="64">
        <v>139</v>
      </c>
      <c r="D31" s="45">
        <f t="shared" si="0"/>
        <v>23</v>
      </c>
      <c r="E31" s="45">
        <f t="shared" si="47"/>
        <v>192.74</v>
      </c>
      <c r="F31" s="64">
        <f t="shared" si="33"/>
        <v>1303</v>
      </c>
      <c r="G31" s="52">
        <f t="shared" si="1"/>
        <v>0</v>
      </c>
      <c r="H31" s="64">
        <f t="shared" si="33"/>
        <v>330270</v>
      </c>
      <c r="I31" s="421">
        <f t="shared" si="2"/>
        <v>0</v>
      </c>
      <c r="J31" s="66">
        <f t="shared" si="11"/>
        <v>0</v>
      </c>
      <c r="K31" s="64">
        <v>1631</v>
      </c>
      <c r="L31" s="52">
        <f t="shared" si="3"/>
        <v>10</v>
      </c>
      <c r="M31" s="64">
        <v>118736</v>
      </c>
      <c r="N31" s="421">
        <f>M31-M30</f>
        <v>783</v>
      </c>
      <c r="O31" s="67">
        <f t="shared" si="5"/>
        <v>766.67478354978357</v>
      </c>
      <c r="P31" s="64">
        <v>1452</v>
      </c>
      <c r="Q31" s="64">
        <f t="shared" si="39"/>
        <v>126239</v>
      </c>
      <c r="R31" s="420">
        <f t="shared" si="37"/>
        <v>0</v>
      </c>
      <c r="S31" s="52">
        <f t="shared" si="42"/>
        <v>0</v>
      </c>
      <c r="T31" s="68">
        <f t="shared" si="25"/>
        <v>0</v>
      </c>
      <c r="U31" s="427">
        <f t="shared" si="13"/>
        <v>10</v>
      </c>
      <c r="V31" s="62">
        <f t="shared" si="14"/>
        <v>783</v>
      </c>
      <c r="W31" s="425"/>
      <c r="X31" s="64">
        <v>2319</v>
      </c>
      <c r="Y31" s="52">
        <f t="shared" si="16"/>
        <v>9</v>
      </c>
      <c r="Z31" s="64">
        <v>130507</v>
      </c>
      <c r="AA31" s="65">
        <f t="shared" si="7"/>
        <v>420.69999999999709</v>
      </c>
      <c r="AB31" s="297">
        <f t="shared" si="43"/>
        <v>0</v>
      </c>
      <c r="AC31" s="64">
        <f t="shared" si="34"/>
        <v>1688</v>
      </c>
      <c r="AD31" s="277">
        <f t="shared" si="8"/>
        <v>0</v>
      </c>
      <c r="AE31" s="64">
        <f t="shared" si="35"/>
        <v>351848.7</v>
      </c>
      <c r="AF31" s="325">
        <f t="shared" si="17"/>
        <v>0</v>
      </c>
      <c r="AG31" s="214">
        <f t="shared" si="27"/>
        <v>0</v>
      </c>
      <c r="AH31" s="62">
        <f t="shared" si="28"/>
        <v>420.69999999999709</v>
      </c>
      <c r="AI31" s="337">
        <f t="shared" si="18"/>
        <v>1203.6999999999971</v>
      </c>
      <c r="AJ31" s="337">
        <f>-tanks!AW32</f>
        <v>1203.6999999999971</v>
      </c>
      <c r="AK31" s="337">
        <f t="shared" si="19"/>
        <v>0</v>
      </c>
      <c r="AL31" s="337">
        <f t="shared" si="41"/>
        <v>10</v>
      </c>
      <c r="AM31" s="337">
        <f t="shared" si="20"/>
        <v>9</v>
      </c>
      <c r="AN31" s="64">
        <v>79</v>
      </c>
      <c r="AO31" s="339">
        <f t="shared" si="46"/>
        <v>2370</v>
      </c>
      <c r="AP31" s="64">
        <v>79</v>
      </c>
      <c r="AQ31" s="339">
        <f t="shared" si="45"/>
        <v>2370</v>
      </c>
      <c r="AR31" s="64">
        <v>80</v>
      </c>
      <c r="AS31" s="339">
        <f t="shared" si="29"/>
        <v>2400</v>
      </c>
      <c r="AT31" s="339">
        <f t="shared" si="44"/>
        <v>7140</v>
      </c>
      <c r="AU31" s="339">
        <f t="shared" si="31"/>
        <v>150</v>
      </c>
      <c r="AV31" s="277"/>
      <c r="AW31" s="277"/>
      <c r="AX31" s="332">
        <f t="shared" si="24"/>
        <v>0.7</v>
      </c>
    </row>
    <row r="32" spans="1:50">
      <c r="A32" s="63">
        <v>43827</v>
      </c>
      <c r="B32" s="64">
        <v>209</v>
      </c>
      <c r="C32" s="64">
        <v>120</v>
      </c>
      <c r="D32" s="45">
        <f t="shared" si="0"/>
        <v>19</v>
      </c>
      <c r="E32" s="45">
        <f t="shared" si="47"/>
        <v>159.22000000000003</v>
      </c>
      <c r="F32" s="64">
        <v>1303</v>
      </c>
      <c r="G32" s="52">
        <f t="shared" si="1"/>
        <v>0</v>
      </c>
      <c r="H32" s="64">
        <v>330270</v>
      </c>
      <c r="I32" s="421">
        <f t="shared" si="2"/>
        <v>0</v>
      </c>
      <c r="J32" s="66">
        <f t="shared" si="11"/>
        <v>0</v>
      </c>
      <c r="K32" s="64">
        <v>1643</v>
      </c>
      <c r="L32" s="52">
        <f t="shared" si="3"/>
        <v>12</v>
      </c>
      <c r="M32" s="64">
        <v>119632</v>
      </c>
      <c r="N32" s="421">
        <f>M32-M31</f>
        <v>896</v>
      </c>
      <c r="O32" s="67">
        <f t="shared" si="5"/>
        <v>920.00974025974028</v>
      </c>
      <c r="P32" s="64">
        <v>1452</v>
      </c>
      <c r="Q32" s="64">
        <v>126239</v>
      </c>
      <c r="R32" s="420">
        <f t="shared" si="37"/>
        <v>0</v>
      </c>
      <c r="S32" s="52">
        <f t="shared" si="42"/>
        <v>0</v>
      </c>
      <c r="T32" s="68">
        <f t="shared" si="25"/>
        <v>0</v>
      </c>
      <c r="U32" s="427">
        <f t="shared" si="13"/>
        <v>12</v>
      </c>
      <c r="V32" s="62">
        <f t="shared" si="14"/>
        <v>896</v>
      </c>
      <c r="W32" s="425"/>
      <c r="X32" s="64">
        <v>2320</v>
      </c>
      <c r="Y32" s="52">
        <f t="shared" si="16"/>
        <v>1</v>
      </c>
      <c r="Z32" s="64">
        <v>130593</v>
      </c>
      <c r="AA32" s="65">
        <f t="shared" si="7"/>
        <v>86</v>
      </c>
      <c r="AB32" s="297">
        <f t="shared" si="43"/>
        <v>0</v>
      </c>
      <c r="AC32" s="64">
        <v>1689</v>
      </c>
      <c r="AD32" s="277">
        <f t="shared" si="8"/>
        <v>1</v>
      </c>
      <c r="AE32" s="578">
        <v>351940.6</v>
      </c>
      <c r="AF32" s="579">
        <f t="shared" si="17"/>
        <v>91.899999999965075</v>
      </c>
      <c r="AG32" s="580">
        <f t="shared" si="27"/>
        <v>91.899999999965075</v>
      </c>
      <c r="AH32" s="581">
        <f t="shared" si="28"/>
        <v>177.89999999996508</v>
      </c>
      <c r="AI32" s="337">
        <f t="shared" si="18"/>
        <v>1073.8999999999651</v>
      </c>
      <c r="AJ32" s="337">
        <f>-tanks!AW33</f>
        <v>1073.8999999999651</v>
      </c>
      <c r="AK32" s="337">
        <f t="shared" si="19"/>
        <v>0</v>
      </c>
      <c r="AL32" s="337">
        <f t="shared" si="41"/>
        <v>12</v>
      </c>
      <c r="AM32" s="337">
        <f t="shared" si="20"/>
        <v>2</v>
      </c>
      <c r="AN32" s="64">
        <v>76</v>
      </c>
      <c r="AO32" s="339">
        <f t="shared" si="46"/>
        <v>2280</v>
      </c>
      <c r="AP32" s="64">
        <v>76</v>
      </c>
      <c r="AQ32" s="339">
        <f t="shared" si="45"/>
        <v>2280</v>
      </c>
      <c r="AR32" s="64">
        <v>78</v>
      </c>
      <c r="AS32" s="339">
        <f t="shared" si="29"/>
        <v>2340</v>
      </c>
      <c r="AT32" s="339">
        <f t="shared" si="44"/>
        <v>6900</v>
      </c>
      <c r="AU32" s="339">
        <f t="shared" si="31"/>
        <v>240</v>
      </c>
      <c r="AV32" s="277"/>
      <c r="AW32" s="277"/>
      <c r="AX32" s="332">
        <f t="shared" si="24"/>
        <v>0.7</v>
      </c>
    </row>
    <row r="33" spans="1:50">
      <c r="A33" s="63">
        <v>43828</v>
      </c>
      <c r="B33" s="64">
        <v>205</v>
      </c>
      <c r="C33" s="64">
        <v>99</v>
      </c>
      <c r="D33" s="45">
        <f t="shared" si="0"/>
        <v>21</v>
      </c>
      <c r="E33" s="45">
        <f t="shared" si="47"/>
        <v>175.98000000000002</v>
      </c>
      <c r="F33" s="64">
        <v>1303</v>
      </c>
      <c r="G33" s="52">
        <f t="shared" si="1"/>
        <v>0</v>
      </c>
      <c r="H33" s="64">
        <v>330270</v>
      </c>
      <c r="I33" s="421">
        <f t="shared" si="2"/>
        <v>0</v>
      </c>
      <c r="J33" s="66">
        <f t="shared" si="11"/>
        <v>0</v>
      </c>
      <c r="K33" s="64">
        <v>1655</v>
      </c>
      <c r="L33" s="52">
        <f t="shared" si="3"/>
        <v>12</v>
      </c>
      <c r="M33" s="64">
        <v>120483</v>
      </c>
      <c r="N33" s="421">
        <f>M33-M32</f>
        <v>851</v>
      </c>
      <c r="O33" s="67">
        <f t="shared" si="5"/>
        <v>920.00974025974028</v>
      </c>
      <c r="P33" s="64">
        <v>1452</v>
      </c>
      <c r="Q33" s="64">
        <v>126239</v>
      </c>
      <c r="R33" s="420">
        <f t="shared" si="37"/>
        <v>0</v>
      </c>
      <c r="S33" s="52">
        <f t="shared" si="42"/>
        <v>0</v>
      </c>
      <c r="T33" s="68">
        <f t="shared" si="25"/>
        <v>0</v>
      </c>
      <c r="U33" s="427">
        <f t="shared" si="13"/>
        <v>12</v>
      </c>
      <c r="V33" s="62">
        <f t="shared" si="14"/>
        <v>851</v>
      </c>
      <c r="W33" s="425"/>
      <c r="X33" s="64">
        <v>2320</v>
      </c>
      <c r="Y33" s="52">
        <f t="shared" si="16"/>
        <v>0</v>
      </c>
      <c r="Z33" s="64">
        <v>130593</v>
      </c>
      <c r="AA33" s="65">
        <f t="shared" si="7"/>
        <v>0</v>
      </c>
      <c r="AB33" s="297">
        <f t="shared" si="43"/>
        <v>0</v>
      </c>
      <c r="AC33" s="64">
        <v>1696</v>
      </c>
      <c r="AD33" s="45">
        <f t="shared" si="8"/>
        <v>7</v>
      </c>
      <c r="AE33" s="578">
        <v>352231.8</v>
      </c>
      <c r="AF33" s="579">
        <f t="shared" si="17"/>
        <v>291.20000000001164</v>
      </c>
      <c r="AG33" s="580">
        <f t="shared" si="27"/>
        <v>41.600000000001664</v>
      </c>
      <c r="AH33" s="581">
        <f t="shared" si="28"/>
        <v>291.20000000001164</v>
      </c>
      <c r="AI33" s="337">
        <f t="shared" si="18"/>
        <v>1142.2000000000116</v>
      </c>
      <c r="AJ33" s="337">
        <f>-tanks!AW34</f>
        <v>1142.2000000000116</v>
      </c>
      <c r="AK33" s="337">
        <f t="shared" si="19"/>
        <v>0</v>
      </c>
      <c r="AL33" s="337">
        <f t="shared" si="41"/>
        <v>12</v>
      </c>
      <c r="AM33" s="337">
        <f t="shared" si="20"/>
        <v>7</v>
      </c>
      <c r="AN33" s="64">
        <v>73</v>
      </c>
      <c r="AO33" s="339">
        <f t="shared" si="46"/>
        <v>2190</v>
      </c>
      <c r="AP33" s="64">
        <v>73</v>
      </c>
      <c r="AQ33" s="339">
        <f t="shared" si="45"/>
        <v>2190</v>
      </c>
      <c r="AR33" s="64">
        <v>75</v>
      </c>
      <c r="AS33" s="339">
        <f t="shared" si="29"/>
        <v>2250</v>
      </c>
      <c r="AT33" s="339">
        <f t="shared" si="44"/>
        <v>6630</v>
      </c>
      <c r="AU33" s="339">
        <f t="shared" si="31"/>
        <v>270</v>
      </c>
      <c r="AV33" s="277"/>
      <c r="AW33" s="277"/>
      <c r="AX33" s="332">
        <f t="shared" si="24"/>
        <v>0.7</v>
      </c>
    </row>
    <row r="34" spans="1:50">
      <c r="A34" s="63">
        <v>43495</v>
      </c>
      <c r="B34" s="64">
        <v>190</v>
      </c>
      <c r="C34" s="64">
        <v>123</v>
      </c>
      <c r="D34" s="45">
        <f t="shared" si="0"/>
        <v>-24</v>
      </c>
      <c r="E34" s="45">
        <f t="shared" si="47"/>
        <v>-201.12</v>
      </c>
      <c r="F34" s="64">
        <f t="shared" si="33"/>
        <v>1303</v>
      </c>
      <c r="G34" s="52">
        <f t="shared" si="1"/>
        <v>0</v>
      </c>
      <c r="H34" s="64">
        <f t="shared" si="33"/>
        <v>330270</v>
      </c>
      <c r="I34" s="421">
        <f t="shared" si="2"/>
        <v>0</v>
      </c>
      <c r="J34" s="66">
        <f t="shared" si="11"/>
        <v>0</v>
      </c>
      <c r="K34" s="64">
        <v>1666</v>
      </c>
      <c r="L34" s="52">
        <f t="shared" si="3"/>
        <v>11</v>
      </c>
      <c r="M34" s="64">
        <v>121321</v>
      </c>
      <c r="N34" s="421">
        <f>M34-M33</f>
        <v>838</v>
      </c>
      <c r="O34" s="67">
        <f t="shared" si="5"/>
        <v>843.34226190476193</v>
      </c>
      <c r="P34" s="64">
        <f t="shared" si="39"/>
        <v>1452</v>
      </c>
      <c r="Q34" s="64">
        <f t="shared" si="39"/>
        <v>126239</v>
      </c>
      <c r="R34" s="420">
        <f t="shared" si="37"/>
        <v>0</v>
      </c>
      <c r="S34" s="52">
        <f>SUM(P34-P33)</f>
        <v>0</v>
      </c>
      <c r="T34" s="68">
        <f t="shared" si="25"/>
        <v>0</v>
      </c>
      <c r="U34" s="427">
        <f t="shared" si="13"/>
        <v>11</v>
      </c>
      <c r="V34" s="62">
        <f t="shared" si="14"/>
        <v>838</v>
      </c>
      <c r="W34" s="425"/>
      <c r="X34" s="64">
        <f t="shared" si="38"/>
        <v>2320</v>
      </c>
      <c r="Y34" s="52">
        <f t="shared" si="16"/>
        <v>0</v>
      </c>
      <c r="Z34" s="64">
        <f t="shared" si="32"/>
        <v>130593</v>
      </c>
      <c r="AA34" s="65">
        <f t="shared" si="7"/>
        <v>0</v>
      </c>
      <c r="AB34" s="297">
        <f t="shared" si="43"/>
        <v>0</v>
      </c>
      <c r="AC34" s="64">
        <v>1697</v>
      </c>
      <c r="AD34" s="45">
        <f t="shared" si="8"/>
        <v>1</v>
      </c>
      <c r="AE34" s="64">
        <v>352365.2</v>
      </c>
      <c r="AF34" s="325">
        <f t="shared" si="17"/>
        <v>133.40000000002328</v>
      </c>
      <c r="AG34" s="214">
        <f t="shared" si="27"/>
        <v>133.40000000002328</v>
      </c>
      <c r="AH34" s="62">
        <f t="shared" si="28"/>
        <v>133.40000000002328</v>
      </c>
      <c r="AI34" s="337">
        <f t="shared" si="18"/>
        <v>971.40000000002328</v>
      </c>
      <c r="AJ34" s="337">
        <f>-tanks!AW35</f>
        <v>971.40000000002328</v>
      </c>
      <c r="AK34" s="337">
        <f t="shared" si="19"/>
        <v>0</v>
      </c>
      <c r="AL34" s="337">
        <f t="shared" si="41"/>
        <v>11</v>
      </c>
      <c r="AM34" s="337">
        <f>Y34+AD34</f>
        <v>1</v>
      </c>
      <c r="AN34" s="64">
        <v>69</v>
      </c>
      <c r="AO34" s="339">
        <f t="shared" si="46"/>
        <v>2070</v>
      </c>
      <c r="AP34" s="64">
        <v>69</v>
      </c>
      <c r="AQ34" s="339">
        <f t="shared" si="45"/>
        <v>2070</v>
      </c>
      <c r="AR34" s="64">
        <v>71</v>
      </c>
      <c r="AS34" s="339">
        <f t="shared" si="29"/>
        <v>2130</v>
      </c>
      <c r="AT34" s="339">
        <f t="shared" si="44"/>
        <v>6270</v>
      </c>
      <c r="AU34" s="339">
        <f t="shared" si="31"/>
        <v>360</v>
      </c>
      <c r="AV34" s="277"/>
      <c r="AW34" s="277"/>
      <c r="AX34" s="332">
        <f t="shared" si="24"/>
        <v>0.7</v>
      </c>
    </row>
    <row r="35" spans="1:50">
      <c r="A35" s="63">
        <v>43830</v>
      </c>
      <c r="B35" s="64">
        <v>238</v>
      </c>
      <c r="C35" s="64">
        <v>98</v>
      </c>
      <c r="D35" s="45">
        <f>C34-C35</f>
        <v>25</v>
      </c>
      <c r="E35" s="45">
        <f>D35*8.38</f>
        <v>209.50000000000003</v>
      </c>
      <c r="F35" s="64">
        <f t="shared" si="33"/>
        <v>1303</v>
      </c>
      <c r="G35" s="52">
        <f>F35-F34</f>
        <v>0</v>
      </c>
      <c r="H35" s="64">
        <f t="shared" si="33"/>
        <v>330270</v>
      </c>
      <c r="I35" s="421">
        <f>SUM(H35-H34)</f>
        <v>0</v>
      </c>
      <c r="J35" s="66">
        <f>IF(G35&gt;0,I35/G35,0)</f>
        <v>0</v>
      </c>
      <c r="K35" s="64">
        <v>1679</v>
      </c>
      <c r="L35" s="52">
        <f>K35-K34</f>
        <v>13</v>
      </c>
      <c r="M35" s="64">
        <v>122271</v>
      </c>
      <c r="N35" s="421">
        <f>M35-M34</f>
        <v>950</v>
      </c>
      <c r="O35" s="67">
        <f>SUM(L35*$J$1)</f>
        <v>996.67721861471864</v>
      </c>
      <c r="P35" s="64">
        <f t="shared" si="39"/>
        <v>1452</v>
      </c>
      <c r="Q35" s="64">
        <f t="shared" si="39"/>
        <v>126239</v>
      </c>
      <c r="R35" s="420">
        <f>Q35-Q34</f>
        <v>0</v>
      </c>
      <c r="S35" s="52">
        <f>SUM(P35-P34)</f>
        <v>0</v>
      </c>
      <c r="T35" s="68">
        <f>SUM(S35*$T$2)</f>
        <v>0</v>
      </c>
      <c r="U35" s="427">
        <f t="shared" si="13"/>
        <v>13</v>
      </c>
      <c r="V35" s="62">
        <f>R35+N35+I35:I35</f>
        <v>950</v>
      </c>
      <c r="W35" s="425"/>
      <c r="X35" s="64">
        <f t="shared" si="38"/>
        <v>2320</v>
      </c>
      <c r="Y35" s="52">
        <f>X35-X34</f>
        <v>0</v>
      </c>
      <c r="Z35" s="64">
        <f t="shared" si="32"/>
        <v>130593</v>
      </c>
      <c r="AA35" s="65">
        <f>Z35-Z34</f>
        <v>0</v>
      </c>
      <c r="AB35" s="297">
        <f>SUM(Y35*$AB$2)</f>
        <v>0</v>
      </c>
      <c r="AC35" s="64">
        <v>1699</v>
      </c>
      <c r="AD35" s="45">
        <f>AC35-AC34</f>
        <v>2</v>
      </c>
      <c r="AE35" s="64">
        <v>352700</v>
      </c>
      <c r="AF35" s="325">
        <f>AE35-AE34</f>
        <v>334.79999999998836</v>
      </c>
      <c r="AG35" s="214">
        <f>IF(AD35&gt;0,AF35/AD35,0)</f>
        <v>167.39999999999418</v>
      </c>
      <c r="AH35" s="62">
        <f>AF35+AA35</f>
        <v>334.79999999998836</v>
      </c>
      <c r="AI35" s="337">
        <f>SUM(AH35+V35)</f>
        <v>1284.7999999999884</v>
      </c>
      <c r="AJ35" s="337">
        <f>-tanks!AW36</f>
        <v>1284.7999999999884</v>
      </c>
      <c r="AK35" s="337">
        <f>SUM(AJ35-AI35)</f>
        <v>0</v>
      </c>
      <c r="AL35" s="337">
        <f>S35+L35+G35</f>
        <v>13</v>
      </c>
      <c r="AM35" s="337">
        <f>Y35+AD35</f>
        <v>2</v>
      </c>
      <c r="AN35" s="64">
        <v>65</v>
      </c>
      <c r="AO35" s="339">
        <f>(AN35/100)*3000</f>
        <v>1950</v>
      </c>
      <c r="AP35" s="64">
        <v>67</v>
      </c>
      <c r="AQ35" s="339">
        <f>(AP35/100)*3000</f>
        <v>2010.0000000000002</v>
      </c>
      <c r="AR35" s="64">
        <v>68</v>
      </c>
      <c r="AS35" s="339">
        <f>(AR35/100)*3000</f>
        <v>2040.0000000000002</v>
      </c>
      <c r="AT35" s="339">
        <f>SUM(AO35+AQ35+AS35)</f>
        <v>6000</v>
      </c>
      <c r="AU35" s="339">
        <f>AT34-AT35+AV35</f>
        <v>270</v>
      </c>
      <c r="AV35" s="277"/>
      <c r="AW35" s="277"/>
      <c r="AX35" s="332">
        <f>IF(AV35&gt;0,AW35,AX34)</f>
        <v>0.7</v>
      </c>
    </row>
    <row r="36" spans="1:50">
      <c r="J36" s="296">
        <f>SUM(J5:J34)/(COUNT(J5:J34)-COUNTIF(J5:J34,0))</f>
        <v>76.667478354978357</v>
      </c>
      <c r="AE36" s="72" t="s">
        <v>386</v>
      </c>
      <c r="AG36" s="367"/>
      <c r="AH36" s="62"/>
      <c r="AP36" s="332"/>
      <c r="AQ36" s="332"/>
      <c r="AR36" s="332" t="s">
        <v>225</v>
      </c>
      <c r="AS36" s="332">
        <f>COUNT(AW5:AW35)</f>
        <v>4</v>
      </c>
      <c r="AT36" s="332"/>
      <c r="AU36" s="332">
        <f>SUM(AU5:AU35)</f>
        <v>6550</v>
      </c>
      <c r="AV36" s="72">
        <f>SUM(AV5:AV35)</f>
        <v>5500</v>
      </c>
      <c r="AW36" s="332">
        <f>SUM(AW5:AW35)/AS36</f>
        <v>0.7</v>
      </c>
    </row>
    <row r="37" spans="1:50">
      <c r="AH37" s="62">
        <f>AF37+AA37</f>
        <v>0</v>
      </c>
      <c r="AI37" s="340">
        <f>SUM(AI5:AI35)</f>
        <v>25427</v>
      </c>
      <c r="AP37" s="332"/>
      <c r="AQ37" s="332"/>
      <c r="AR37" s="332"/>
      <c r="AS37" s="332"/>
      <c r="AT37" s="332"/>
      <c r="AU37" s="332"/>
      <c r="AV37" s="332"/>
      <c r="AW37" s="332"/>
    </row>
    <row r="38" spans="1:50">
      <c r="AH38" s="62">
        <f>AF38+AA38</f>
        <v>0</v>
      </c>
      <c r="AP38" s="332"/>
      <c r="AQ38" s="332"/>
      <c r="AR38" s="332"/>
      <c r="AS38" s="332"/>
      <c r="AT38" s="332"/>
      <c r="AU38" s="332">
        <f>AU36*0.51</f>
        <v>3340.5</v>
      </c>
      <c r="AV38" s="332">
        <f>AV36/0.51</f>
        <v>10784.313725490196</v>
      </c>
      <c r="AW38" s="332">
        <f>SUM(AW5:AW35)/AS36</f>
        <v>0.7</v>
      </c>
    </row>
    <row r="39" spans="1:50">
      <c r="AP39" s="332"/>
      <c r="AQ39" s="332"/>
      <c r="AR39" s="332"/>
      <c r="AS39" s="332"/>
      <c r="AT39" s="332"/>
      <c r="AU39" s="332"/>
      <c r="AV39" s="332">
        <f>AV36*0.51</f>
        <v>2805</v>
      </c>
      <c r="AW39" s="332"/>
    </row>
    <row r="40" spans="1:50">
      <c r="AP40" s="332"/>
      <c r="AQ40" s="332"/>
      <c r="AR40" s="332"/>
      <c r="AS40" s="332"/>
      <c r="AT40" s="332"/>
      <c r="AU40" s="332"/>
      <c r="AV40" s="332"/>
      <c r="AW40" s="332"/>
    </row>
    <row r="41" spans="1:50">
      <c r="P41" s="70"/>
      <c r="Q41" s="70"/>
      <c r="R41" s="70"/>
      <c r="AP41" s="332"/>
      <c r="AQ41" s="332"/>
      <c r="AR41" s="332"/>
      <c r="AS41" s="332"/>
      <c r="AT41" s="332"/>
      <c r="AU41" s="332"/>
      <c r="AV41" s="332"/>
      <c r="AW41" s="332"/>
    </row>
    <row r="43" spans="1:50">
      <c r="AG43" s="380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5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35"/>
  <sheetViews>
    <sheetView topLeftCell="T1" zoomScaleNormal="100" workbookViewId="0">
      <pane ySplit="1" topLeftCell="A30" activePane="bottomLeft" state="frozen"/>
      <selection pane="bottomLeft" activeCell="AK33" sqref="AK33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10.5703125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9.7109375" bestFit="1" customWidth="1"/>
    <col min="31" max="34" width="9.7109375" customWidth="1"/>
  </cols>
  <sheetData>
    <row r="1" spans="1:37" s="20" customFormat="1" ht="46.5">
      <c r="A1" s="25"/>
      <c r="B1" s="434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34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9"/>
      <c r="P1" s="25" t="s">
        <v>46</v>
      </c>
      <c r="Q1" s="25" t="s">
        <v>49</v>
      </c>
      <c r="R1" s="434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9" t="s">
        <v>375</v>
      </c>
      <c r="AC1" s="299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>
        <f>ELEC!C2</f>
        <v>43799</v>
      </c>
      <c r="B2" s="278">
        <f>[1]GEN!B32</f>
        <v>8422</v>
      </c>
      <c r="C2" s="278">
        <f>[1]GEN!C32</f>
        <v>1</v>
      </c>
      <c r="D2" s="278">
        <f>[1]GEN!D32</f>
        <v>109619.1</v>
      </c>
      <c r="E2" s="278">
        <f>[1]GEN!E32</f>
        <v>41.100000000005821</v>
      </c>
      <c r="F2" s="278">
        <f>[1]GEN!F32</f>
        <v>41.100000000005821</v>
      </c>
      <c r="G2" s="278">
        <f>[1]GEN!G32</f>
        <v>0</v>
      </c>
      <c r="H2" s="278">
        <f>[1]GEN!H32</f>
        <v>8497</v>
      </c>
      <c r="I2" s="278" t="str">
        <f>[1]GEN!I32</f>
        <v>ok</v>
      </c>
      <c r="J2" s="278">
        <f>[1]GEN!J32</f>
        <v>10553.2</v>
      </c>
      <c r="K2" s="278">
        <f>[1]GEN!K32</f>
        <v>0.2000000000007276</v>
      </c>
      <c r="L2" s="278">
        <f>[1]GEN!L32</f>
        <v>214152</v>
      </c>
      <c r="M2" s="278">
        <f>[1]GEN!M32</f>
        <v>0</v>
      </c>
      <c r="N2" s="278">
        <f>[1]GEN!N32</f>
        <v>0</v>
      </c>
      <c r="O2" s="278">
        <f>[1]GEN!O32</f>
        <v>0</v>
      </c>
      <c r="P2" s="278">
        <f>[1]GEN!P32</f>
        <v>10535</v>
      </c>
      <c r="Q2" s="278" t="str">
        <f>[1]GEN!Q32</f>
        <v>oil change</v>
      </c>
      <c r="R2" s="278">
        <f>[1]GEN!R32</f>
        <v>10862.49</v>
      </c>
      <c r="S2" s="278">
        <f>[1]GEN!S32</f>
        <v>3.4899999999997817</v>
      </c>
      <c r="T2" s="278">
        <f>[1]GEN!T32</f>
        <v>170727.5</v>
      </c>
      <c r="U2" s="278">
        <f>[1]GEN!U32</f>
        <v>754</v>
      </c>
      <c r="V2" s="278">
        <f>[1]GEN!V32</f>
        <v>216.04584527221982</v>
      </c>
      <c r="W2" s="278">
        <f>[1]GEN!W32</f>
        <v>0</v>
      </c>
      <c r="X2" s="278">
        <f>[1]GEN!X32</f>
        <v>10809</v>
      </c>
      <c r="Y2" s="278" t="str">
        <f>[1]GEN!Y32</f>
        <v>oil change</v>
      </c>
      <c r="Z2" s="278">
        <f>[1]GEN!Z32</f>
        <v>4.6900000000005093</v>
      </c>
      <c r="AA2" s="278">
        <f>[1]GEN!AA32</f>
        <v>795.10000000000582</v>
      </c>
      <c r="AB2" s="278">
        <f>[1]GEN!AB32</f>
        <v>257.14584527222564</v>
      </c>
      <c r="AC2" s="278">
        <f>[1]GEN!AC32</f>
        <v>169.53091684433252</v>
      </c>
      <c r="AD2" s="278">
        <f>[1]GEN!AD32</f>
        <v>1947.9999999985012</v>
      </c>
      <c r="AE2" s="278">
        <f>[1]GEN!AE32</f>
        <v>415.35181236637305</v>
      </c>
      <c r="AF2" s="278">
        <f>[1]GEN!AF32</f>
        <v>0.25959488272898318</v>
      </c>
      <c r="AG2" s="278">
        <f>[1]GEN!AG32</f>
        <v>83.070362473274614</v>
      </c>
      <c r="AH2" s="278">
        <f>[1]GEN!AH32</f>
        <v>86.46055437105791</v>
      </c>
      <c r="AI2" s="278">
        <f>[1]GEN!AI32</f>
        <v>501.38396624434</v>
      </c>
      <c r="AJ2" s="278">
        <f>[1]GEN!AJ32</f>
        <v>0.25738396624472576</v>
      </c>
      <c r="AK2" s="278">
        <f>[1]GEN!AK32</f>
        <v>106.90489685379222</v>
      </c>
    </row>
    <row r="3" spans="1:37">
      <c r="A3" s="4">
        <f>ELEC!C3</f>
        <v>43800</v>
      </c>
      <c r="B3" s="278">
        <v>8422.08</v>
      </c>
      <c r="C3" s="300">
        <f>B3-B2</f>
        <v>7.999999999992724E-2</v>
      </c>
      <c r="D3" s="278">
        <f>D2</f>
        <v>109619.1</v>
      </c>
      <c r="E3" s="300">
        <f>SUM(D3-D2)</f>
        <v>0</v>
      </c>
      <c r="F3" s="300">
        <f t="shared" ref="F3:F32" si="0">IF(C3&gt;0,E3/C3,0)</f>
        <v>0</v>
      </c>
      <c r="G3" s="278">
        <f>[2]GEN!G32</f>
        <v>0</v>
      </c>
      <c r="H3" s="301">
        <f>H2</f>
        <v>8497</v>
      </c>
      <c r="I3" s="300" t="str">
        <f t="shared" ref="I3:I32" si="1">IF(B3-H3&lt;=0,"ok","oil change")</f>
        <v>ok</v>
      </c>
      <c r="J3" s="278">
        <v>10553.2</v>
      </c>
      <c r="K3" s="300">
        <f t="shared" ref="K3:K31" si="2">J3-J2</f>
        <v>0</v>
      </c>
      <c r="L3" s="278">
        <v>214152</v>
      </c>
      <c r="M3" s="300">
        <f t="shared" ref="M3:M33" si="3">SUM(L3-L2)</f>
        <v>0</v>
      </c>
      <c r="N3" s="300">
        <f>IF(K3&gt;0,M3/K3,0)</f>
        <v>0</v>
      </c>
      <c r="O3" s="278">
        <f>[2]GEN!O32</f>
        <v>0</v>
      </c>
      <c r="P3" s="301">
        <f>P2</f>
        <v>10535</v>
      </c>
      <c r="Q3" s="300" t="str">
        <f t="shared" ref="Q3:Q17" si="4">IF(J3-P3&lt;=0,"ok","oil change")</f>
        <v>oil change</v>
      </c>
      <c r="R3" s="278">
        <v>10865</v>
      </c>
      <c r="S3" s="300">
        <f t="shared" ref="S3:S32" si="5">R3-R2</f>
        <v>2.5100000000002183</v>
      </c>
      <c r="T3" s="278">
        <v>171471</v>
      </c>
      <c r="U3" s="300">
        <f t="shared" ref="U3:U18" si="6">SUM(T3-T2)</f>
        <v>743.5</v>
      </c>
      <c r="V3" s="300">
        <f>IF(S3&gt;0,U3/S3,0)</f>
        <v>296.21513944220533</v>
      </c>
      <c r="W3" s="278">
        <f>[2]GEN!W32</f>
        <v>0</v>
      </c>
      <c r="X3" s="301">
        <f>X2</f>
        <v>10809</v>
      </c>
      <c r="Y3" s="300" t="str">
        <f t="shared" ref="Y3:Y20" si="7">IF(R3-X3&lt;=0,"ok","oil change")</f>
        <v>oil change</v>
      </c>
      <c r="Z3" s="300">
        <f t="shared" ref="Z3:Z32" si="8">C3+K3+S3</f>
        <v>2.5900000000001455</v>
      </c>
      <c r="AA3" s="300">
        <f>U3+M3+E3</f>
        <v>743.5</v>
      </c>
      <c r="AB3" s="300">
        <f>V3+N3+F3</f>
        <v>296.21513944220533</v>
      </c>
      <c r="AC3" s="300">
        <f>IF(Z3&gt;0,AA3/Z3,0)</f>
        <v>287.06563706562093</v>
      </c>
      <c r="AD3" s="74">
        <f>ELEC!Q3</f>
        <v>2532.0000000010623</v>
      </c>
      <c r="AE3" s="74">
        <f>SUM(AD3/Z3)</f>
        <v>977.60617760653281</v>
      </c>
      <c r="AF3" s="428">
        <f>SUM(AE3/1600)</f>
        <v>0.61100386100408299</v>
      </c>
      <c r="AG3" s="429">
        <f>SUM(360*AF3)</f>
        <v>219.96138996146988</v>
      </c>
      <c r="AH3" s="429">
        <f>SUM(AC3-AG3)</f>
        <v>67.104247104151057</v>
      </c>
      <c r="AI3" s="74">
        <f>AD3*AJ3</f>
        <v>651.69620253191908</v>
      </c>
      <c r="AJ3" s="302">
        <f t="shared" ref="AJ3:AJ33" si="9">305/1185</f>
        <v>0.25738396624472576</v>
      </c>
      <c r="AK3" s="302">
        <f t="shared" ref="AK3:AK8" si="10">AI3/Z3</f>
        <v>251.62015541771524</v>
      </c>
    </row>
    <row r="4" spans="1:37">
      <c r="A4" s="4">
        <f>ELEC!C4</f>
        <v>43801</v>
      </c>
      <c r="B4" s="278">
        <v>8422</v>
      </c>
      <c r="C4" s="300">
        <f t="shared" ref="C4:C32" si="11">B4-B3</f>
        <v>-7.999999999992724E-2</v>
      </c>
      <c r="D4" s="278">
        <v>109652</v>
      </c>
      <c r="E4" s="300">
        <f t="shared" ref="E4:E32" si="12">SUM(D4-D3)</f>
        <v>32.899999999994179</v>
      </c>
      <c r="F4" s="300">
        <f t="shared" si="0"/>
        <v>0</v>
      </c>
      <c r="G4" s="201"/>
      <c r="H4" s="301">
        <f t="shared" ref="H4:H33" si="13">H3</f>
        <v>8497</v>
      </c>
      <c r="I4" s="300" t="str">
        <f t="shared" si="1"/>
        <v>ok</v>
      </c>
      <c r="J4" s="278">
        <v>10553</v>
      </c>
      <c r="K4" s="300">
        <f t="shared" si="2"/>
        <v>-0.2000000000007276</v>
      </c>
      <c r="L4" s="278">
        <v>214152</v>
      </c>
      <c r="M4" s="300">
        <f t="shared" si="3"/>
        <v>0</v>
      </c>
      <c r="N4" s="300">
        <f t="shared" ref="N4:N32" si="14">IF(K4&gt;0,M4/K4,0)</f>
        <v>0</v>
      </c>
      <c r="O4" s="201"/>
      <c r="P4" s="301">
        <f t="shared" ref="P4:P33" si="15">P3</f>
        <v>10535</v>
      </c>
      <c r="Q4" s="300" t="str">
        <f t="shared" si="4"/>
        <v>oil change</v>
      </c>
      <c r="R4" s="278">
        <v>10868</v>
      </c>
      <c r="S4" s="300">
        <f t="shared" si="5"/>
        <v>3</v>
      </c>
      <c r="T4" s="278">
        <v>171680</v>
      </c>
      <c r="U4" s="300">
        <f t="shared" si="6"/>
        <v>209</v>
      </c>
      <c r="V4" s="300">
        <f t="shared" ref="V4:V32" si="16">IF(S4&gt;0,U4/S4,0)</f>
        <v>69.666666666666671</v>
      </c>
      <c r="W4" s="201"/>
      <c r="X4" s="301">
        <f t="shared" ref="X4:X33" si="17">X3</f>
        <v>10809</v>
      </c>
      <c r="Y4" s="300" t="str">
        <f t="shared" si="7"/>
        <v>oil change</v>
      </c>
      <c r="Z4" s="300">
        <f>C4+K4+S4</f>
        <v>2.7199999999993452</v>
      </c>
      <c r="AA4" s="300">
        <f t="shared" ref="AA4:AA32" si="18">U4+M4+E4</f>
        <v>241.89999999999418</v>
      </c>
      <c r="AB4" s="300">
        <f t="shared" ref="AB4:AB32" si="19">V4+N4+F4</f>
        <v>69.666666666666671</v>
      </c>
      <c r="AC4" s="300">
        <f t="shared" ref="AC4:AC32" si="20">IF(Z4&gt;0,AA4/Z4,0)</f>
        <v>88.933823529431038</v>
      </c>
      <c r="AD4" s="74">
        <f>ELEC!Q4</f>
        <v>2167.9999999996653</v>
      </c>
      <c r="AE4" s="74">
        <f>SUM(AD4/Z4)</f>
        <v>797.05882352948061</v>
      </c>
      <c r="AF4" s="428">
        <f>SUM(AE4/1600)</f>
        <v>0.49816176470592538</v>
      </c>
      <c r="AG4" s="429">
        <f>SUM(360*AF4)</f>
        <v>179.33823529413314</v>
      </c>
      <c r="AH4" s="429">
        <f t="shared" ref="AH4:AH32" si="21">SUM(AC4-AG4)</f>
        <v>-90.404411764702104</v>
      </c>
      <c r="AI4" s="74">
        <f>AD4*AJ4</f>
        <v>558.00843881847925</v>
      </c>
      <c r="AJ4" s="302">
        <f t="shared" si="9"/>
        <v>0.25738396624472576</v>
      </c>
      <c r="AK4" s="302">
        <f t="shared" si="10"/>
        <v>205.15016133037264</v>
      </c>
    </row>
    <row r="5" spans="1:37">
      <c r="A5" s="4">
        <f>ELEC!C5</f>
        <v>43802</v>
      </c>
      <c r="B5" s="278">
        <v>8422</v>
      </c>
      <c r="C5" s="300">
        <f t="shared" si="11"/>
        <v>0</v>
      </c>
      <c r="D5" s="278">
        <v>109677</v>
      </c>
      <c r="E5" s="300">
        <f t="shared" si="12"/>
        <v>25</v>
      </c>
      <c r="F5" s="300">
        <f t="shared" si="0"/>
        <v>0</v>
      </c>
      <c r="G5" s="298"/>
      <c r="H5" s="301">
        <v>8497</v>
      </c>
      <c r="I5" s="300" t="str">
        <f t="shared" si="1"/>
        <v>ok</v>
      </c>
      <c r="J5" s="278">
        <v>10553</v>
      </c>
      <c r="K5" s="300">
        <f t="shared" si="2"/>
        <v>0</v>
      </c>
      <c r="L5" s="278">
        <v>214152</v>
      </c>
      <c r="M5" s="300">
        <f t="shared" si="3"/>
        <v>0</v>
      </c>
      <c r="N5" s="300">
        <f t="shared" si="14"/>
        <v>0</v>
      </c>
      <c r="O5" s="201"/>
      <c r="P5" s="301">
        <f>P4</f>
        <v>10535</v>
      </c>
      <c r="Q5" s="300" t="str">
        <f t="shared" si="4"/>
        <v>oil change</v>
      </c>
      <c r="R5" s="278">
        <v>10872</v>
      </c>
      <c r="S5" s="300">
        <f t="shared" si="5"/>
        <v>4</v>
      </c>
      <c r="T5" s="278">
        <v>172307.9</v>
      </c>
      <c r="U5" s="300">
        <f t="shared" si="6"/>
        <v>627.89999999999418</v>
      </c>
      <c r="V5" s="300">
        <f>IF(S5&gt;0,U5/S5,0)</f>
        <v>156.97499999999854</v>
      </c>
      <c r="W5" s="201"/>
      <c r="X5" s="301">
        <f t="shared" si="17"/>
        <v>10809</v>
      </c>
      <c r="Y5" s="300" t="str">
        <f t="shared" si="7"/>
        <v>oil change</v>
      </c>
      <c r="Z5" s="300">
        <f t="shared" si="8"/>
        <v>4</v>
      </c>
      <c r="AA5" s="300">
        <f t="shared" si="18"/>
        <v>652.89999999999418</v>
      </c>
      <c r="AB5" s="300">
        <f t="shared" si="19"/>
        <v>156.97499999999854</v>
      </c>
      <c r="AC5" s="300">
        <f t="shared" si="20"/>
        <v>163.22499999999854</v>
      </c>
      <c r="AD5" s="74">
        <f>ELEC!Q5</f>
        <v>2000</v>
      </c>
      <c r="AE5" s="74">
        <f t="shared" ref="AE5:AE32" si="22">SUM(AD5/Z5)</f>
        <v>500</v>
      </c>
      <c r="AF5" s="428">
        <f t="shared" ref="AF5:AF32" si="23">SUM(AE5/1600)</f>
        <v>0.3125</v>
      </c>
      <c r="AG5" s="429">
        <f t="shared" ref="AG5:AG32" si="24">SUM(320*AF5)</f>
        <v>100</v>
      </c>
      <c r="AH5" s="429">
        <f t="shared" si="21"/>
        <v>63.224999999998545</v>
      </c>
      <c r="AI5" s="74">
        <f t="shared" ref="AI5:AI33" si="25">AD5*AJ5</f>
        <v>514.76793248945148</v>
      </c>
      <c r="AJ5" s="302">
        <f t="shared" si="9"/>
        <v>0.25738396624472576</v>
      </c>
      <c r="AK5" s="302">
        <f t="shared" si="10"/>
        <v>128.69198312236287</v>
      </c>
    </row>
    <row r="6" spans="1:37">
      <c r="A6" s="4">
        <f>ELEC!C6</f>
        <v>43803</v>
      </c>
      <c r="B6" s="278">
        <v>8425</v>
      </c>
      <c r="C6" s="300">
        <f t="shared" si="11"/>
        <v>3</v>
      </c>
      <c r="D6" s="278">
        <v>110237</v>
      </c>
      <c r="E6" s="300">
        <f t="shared" si="12"/>
        <v>560</v>
      </c>
      <c r="F6" s="300">
        <f t="shared" si="0"/>
        <v>186.66666666666666</v>
      </c>
      <c r="G6" s="201"/>
      <c r="H6" s="301">
        <f t="shared" si="13"/>
        <v>8497</v>
      </c>
      <c r="I6" s="300" t="str">
        <f t="shared" si="1"/>
        <v>ok</v>
      </c>
      <c r="J6" s="278">
        <v>10553</v>
      </c>
      <c r="K6" s="300">
        <f t="shared" si="2"/>
        <v>0</v>
      </c>
      <c r="L6" s="278">
        <f>L5</f>
        <v>214152</v>
      </c>
      <c r="M6" s="300">
        <f t="shared" si="3"/>
        <v>0</v>
      </c>
      <c r="N6" s="300">
        <f t="shared" si="14"/>
        <v>0</v>
      </c>
      <c r="O6" s="326"/>
      <c r="P6" s="301">
        <f t="shared" si="15"/>
        <v>10535</v>
      </c>
      <c r="Q6" s="300" t="str">
        <f t="shared" si="4"/>
        <v>oil change</v>
      </c>
      <c r="R6" s="278">
        <v>10872</v>
      </c>
      <c r="S6" s="300">
        <f t="shared" si="5"/>
        <v>0</v>
      </c>
      <c r="T6" s="278">
        <v>172368</v>
      </c>
      <c r="U6" s="300">
        <f t="shared" si="6"/>
        <v>60.100000000005821</v>
      </c>
      <c r="V6" s="300">
        <f t="shared" si="16"/>
        <v>0</v>
      </c>
      <c r="W6" s="326"/>
      <c r="X6" s="301">
        <f t="shared" si="17"/>
        <v>10809</v>
      </c>
      <c r="Y6" s="300" t="str">
        <f t="shared" si="7"/>
        <v>oil change</v>
      </c>
      <c r="Z6" s="300">
        <f t="shared" si="8"/>
        <v>3</v>
      </c>
      <c r="AA6" s="300">
        <f t="shared" si="18"/>
        <v>620.10000000000582</v>
      </c>
      <c r="AB6" s="300">
        <f t="shared" si="19"/>
        <v>186.66666666666666</v>
      </c>
      <c r="AC6" s="300">
        <f t="shared" si="20"/>
        <v>206.70000000000195</v>
      </c>
      <c r="AD6" s="74">
        <f>ELEC!Q6</f>
        <v>2572.0000000001164</v>
      </c>
      <c r="AE6" s="74">
        <f>SUM(AD6/Z6)</f>
        <v>857.33333333337214</v>
      </c>
      <c r="AF6" s="428">
        <f t="shared" si="23"/>
        <v>0.53583333333335759</v>
      </c>
      <c r="AG6" s="429">
        <f>SUM(320*AF6)</f>
        <v>171.46666666667443</v>
      </c>
      <c r="AH6" s="429">
        <f t="shared" si="21"/>
        <v>35.233333333327522</v>
      </c>
      <c r="AI6" s="74">
        <f t="shared" si="25"/>
        <v>661.99156118146459</v>
      </c>
      <c r="AJ6" s="302">
        <f t="shared" si="9"/>
        <v>0.25738396624472576</v>
      </c>
      <c r="AK6" s="302">
        <f t="shared" si="10"/>
        <v>220.66385372715487</v>
      </c>
    </row>
    <row r="7" spans="1:37">
      <c r="A7" s="4">
        <f>ELEC!C7</f>
        <v>43804</v>
      </c>
      <c r="B7" s="278">
        <v>8428.4</v>
      </c>
      <c r="C7" s="300">
        <f t="shared" si="11"/>
        <v>3.3999999999996362</v>
      </c>
      <c r="D7" s="278">
        <v>110600</v>
      </c>
      <c r="E7" s="300">
        <f t="shared" si="12"/>
        <v>363</v>
      </c>
      <c r="F7" s="300">
        <f t="shared" si="0"/>
        <v>106.76470588236437</v>
      </c>
      <c r="G7" s="201"/>
      <c r="H7" s="301">
        <f t="shared" si="13"/>
        <v>8497</v>
      </c>
      <c r="I7" s="300" t="str">
        <f t="shared" si="1"/>
        <v>ok</v>
      </c>
      <c r="J7" s="278">
        <v>10553</v>
      </c>
      <c r="K7" s="300">
        <f t="shared" si="2"/>
        <v>0</v>
      </c>
      <c r="L7" s="278">
        <v>214152</v>
      </c>
      <c r="M7" s="300">
        <f t="shared" si="3"/>
        <v>0</v>
      </c>
      <c r="N7" s="300">
        <f t="shared" si="14"/>
        <v>0</v>
      </c>
      <c r="O7" s="326"/>
      <c r="P7" s="301">
        <f t="shared" si="15"/>
        <v>10535</v>
      </c>
      <c r="Q7" s="300" t="str">
        <f t="shared" si="4"/>
        <v>oil change</v>
      </c>
      <c r="R7" s="278">
        <v>10872</v>
      </c>
      <c r="S7" s="300">
        <f t="shared" si="5"/>
        <v>0</v>
      </c>
      <c r="T7" s="278">
        <v>172430</v>
      </c>
      <c r="U7" s="300">
        <f t="shared" si="6"/>
        <v>62</v>
      </c>
      <c r="V7" s="300">
        <f t="shared" si="16"/>
        <v>0</v>
      </c>
      <c r="W7" s="201"/>
      <c r="X7" s="301">
        <f t="shared" si="17"/>
        <v>10809</v>
      </c>
      <c r="Y7" s="300" t="str">
        <f t="shared" si="7"/>
        <v>oil change</v>
      </c>
      <c r="Z7" s="300">
        <f t="shared" si="8"/>
        <v>3.3999999999996362</v>
      </c>
      <c r="AA7" s="300">
        <f>U7+M7+E7</f>
        <v>425</v>
      </c>
      <c r="AB7" s="300">
        <f t="shared" si="19"/>
        <v>106.76470588236437</v>
      </c>
      <c r="AC7" s="300">
        <f t="shared" si="20"/>
        <v>125.00000000001337</v>
      </c>
      <c r="AD7" s="74">
        <f>ELEC!Q7</f>
        <v>2497.9999999995925</v>
      </c>
      <c r="AE7" s="74">
        <f t="shared" si="22"/>
        <v>734.70588235289995</v>
      </c>
      <c r="AF7" s="428">
        <f t="shared" si="23"/>
        <v>0.45919117647056246</v>
      </c>
      <c r="AG7" s="554" t="s">
        <v>407</v>
      </c>
      <c r="AH7" s="429" t="e">
        <f t="shared" si="21"/>
        <v>#VALUE!</v>
      </c>
      <c r="AI7" s="74">
        <f t="shared" si="25"/>
        <v>642.9451476792201</v>
      </c>
      <c r="AJ7" s="302">
        <f t="shared" si="9"/>
        <v>0.25738396624472576</v>
      </c>
      <c r="AK7" s="302">
        <f t="shared" si="10"/>
        <v>189.10151402332025</v>
      </c>
    </row>
    <row r="8" spans="1:37">
      <c r="A8" s="4">
        <f>ELEC!C8</f>
        <v>43805</v>
      </c>
      <c r="B8" s="278">
        <v>8432.57</v>
      </c>
      <c r="C8" s="300">
        <f t="shared" si="11"/>
        <v>4.1700000000000728</v>
      </c>
      <c r="D8" s="278">
        <v>111185.2</v>
      </c>
      <c r="E8" s="300">
        <f t="shared" si="12"/>
        <v>585.19999999999709</v>
      </c>
      <c r="F8" s="300">
        <f t="shared" si="0"/>
        <v>140.33573141486497</v>
      </c>
      <c r="G8" s="201"/>
      <c r="H8" s="301">
        <f t="shared" si="13"/>
        <v>8497</v>
      </c>
      <c r="I8" s="300" t="str">
        <f t="shared" si="1"/>
        <v>ok</v>
      </c>
      <c r="J8" s="278">
        <f t="shared" ref="J8:L24" si="26">J7</f>
        <v>10553</v>
      </c>
      <c r="K8" s="300">
        <f t="shared" si="2"/>
        <v>0</v>
      </c>
      <c r="L8" s="278">
        <f t="shared" si="26"/>
        <v>214152</v>
      </c>
      <c r="M8" s="300">
        <f t="shared" si="3"/>
        <v>0</v>
      </c>
      <c r="N8" s="300">
        <f t="shared" si="14"/>
        <v>0</v>
      </c>
      <c r="O8" s="201"/>
      <c r="P8" s="301">
        <f t="shared" si="15"/>
        <v>10535</v>
      </c>
      <c r="Q8" s="300" t="str">
        <f t="shared" si="4"/>
        <v>oil change</v>
      </c>
      <c r="R8" s="278">
        <v>10872</v>
      </c>
      <c r="S8" s="300">
        <f t="shared" si="5"/>
        <v>0</v>
      </c>
      <c r="T8" s="278">
        <v>172543</v>
      </c>
      <c r="U8" s="300">
        <f t="shared" si="6"/>
        <v>113</v>
      </c>
      <c r="V8" s="300">
        <f t="shared" si="16"/>
        <v>0</v>
      </c>
      <c r="W8" s="201"/>
      <c r="X8" s="301">
        <f t="shared" si="17"/>
        <v>10809</v>
      </c>
      <c r="Y8" s="300" t="str">
        <f t="shared" si="7"/>
        <v>oil change</v>
      </c>
      <c r="Z8" s="300">
        <f t="shared" si="8"/>
        <v>4.1700000000000728</v>
      </c>
      <c r="AA8" s="300">
        <f t="shared" si="18"/>
        <v>698.19999999999709</v>
      </c>
      <c r="AB8" s="300">
        <f t="shared" si="19"/>
        <v>140.33573141486497</v>
      </c>
      <c r="AC8" s="300">
        <f t="shared" si="20"/>
        <v>167.43405275779014</v>
      </c>
      <c r="AD8" s="74">
        <f>ELEC!Q8</f>
        <v>3056.0000000004948</v>
      </c>
      <c r="AE8" s="74">
        <f t="shared" si="22"/>
        <v>732.85371702648479</v>
      </c>
      <c r="AF8" s="428">
        <f t="shared" si="23"/>
        <v>0.45803357314155302</v>
      </c>
      <c r="AG8" s="429">
        <f t="shared" si="24"/>
        <v>146.57074340529698</v>
      </c>
      <c r="AH8" s="429">
        <f t="shared" si="21"/>
        <v>20.863309352493161</v>
      </c>
      <c r="AI8" s="74">
        <f t="shared" si="25"/>
        <v>786.56540084400922</v>
      </c>
      <c r="AJ8" s="302">
        <f t="shared" si="9"/>
        <v>0.25738396624472576</v>
      </c>
      <c r="AK8" s="302">
        <f t="shared" si="10"/>
        <v>188.62479636546655</v>
      </c>
    </row>
    <row r="9" spans="1:37">
      <c r="A9" s="4">
        <f>ELEC!C9</f>
        <v>43806</v>
      </c>
      <c r="B9" s="278">
        <v>8436</v>
      </c>
      <c r="C9" s="300">
        <f t="shared" si="11"/>
        <v>3.430000000000291</v>
      </c>
      <c r="D9" s="278">
        <v>111703</v>
      </c>
      <c r="E9" s="300">
        <f t="shared" si="12"/>
        <v>517.80000000000291</v>
      </c>
      <c r="F9" s="300">
        <f t="shared" si="0"/>
        <v>150.96209912535247</v>
      </c>
      <c r="G9" s="201"/>
      <c r="H9" s="301">
        <f t="shared" si="13"/>
        <v>8497</v>
      </c>
      <c r="I9" s="300" t="str">
        <f t="shared" si="1"/>
        <v>ok</v>
      </c>
      <c r="J9" s="278">
        <v>10553</v>
      </c>
      <c r="K9" s="300">
        <f t="shared" si="2"/>
        <v>0</v>
      </c>
      <c r="L9" s="278">
        <f t="shared" si="26"/>
        <v>214152</v>
      </c>
      <c r="M9" s="300">
        <f t="shared" si="3"/>
        <v>0</v>
      </c>
      <c r="N9" s="300">
        <f t="shared" si="14"/>
        <v>0</v>
      </c>
      <c r="O9" s="201"/>
      <c r="P9" s="301">
        <f t="shared" si="15"/>
        <v>10535</v>
      </c>
      <c r="Q9" s="300" t="str">
        <f t="shared" si="4"/>
        <v>oil change</v>
      </c>
      <c r="R9" s="278">
        <v>10873</v>
      </c>
      <c r="S9" s="300">
        <f t="shared" si="5"/>
        <v>1</v>
      </c>
      <c r="T9" s="278">
        <v>172605</v>
      </c>
      <c r="U9" s="300">
        <f t="shared" si="6"/>
        <v>62</v>
      </c>
      <c r="V9" s="300">
        <f t="shared" si="16"/>
        <v>62</v>
      </c>
      <c r="W9" s="201"/>
      <c r="X9" s="301">
        <f t="shared" si="17"/>
        <v>10809</v>
      </c>
      <c r="Y9" s="300" t="str">
        <f t="shared" si="7"/>
        <v>oil change</v>
      </c>
      <c r="Z9" s="300">
        <f t="shared" si="8"/>
        <v>4.430000000000291</v>
      </c>
      <c r="AA9" s="300">
        <f t="shared" si="18"/>
        <v>579.80000000000291</v>
      </c>
      <c r="AB9" s="300">
        <f t="shared" si="19"/>
        <v>212.96209912535247</v>
      </c>
      <c r="AC9" s="300">
        <f t="shared" si="20"/>
        <v>130.88036117380696</v>
      </c>
      <c r="AD9" s="74">
        <f>ELEC!Q9</f>
        <v>1873.9999999997963</v>
      </c>
      <c r="AE9" s="74">
        <f t="shared" si="22"/>
        <v>423.02483069970049</v>
      </c>
      <c r="AF9" s="428">
        <f t="shared" si="23"/>
        <v>0.26439051918731282</v>
      </c>
      <c r="AG9" s="429">
        <f t="shared" si="24"/>
        <v>84.604966139940103</v>
      </c>
      <c r="AH9" s="429">
        <f t="shared" si="21"/>
        <v>46.275395033866857</v>
      </c>
      <c r="AI9" s="74">
        <f t="shared" si="25"/>
        <v>482.33755274256362</v>
      </c>
      <c r="AJ9" s="302">
        <v>0.25738396624472576</v>
      </c>
      <c r="AK9" s="302">
        <f t="shared" ref="AK9:AK16" si="27">IF(Z9&gt;0,AI9/Z9,0)</f>
        <v>108.87980874549254</v>
      </c>
    </row>
    <row r="10" spans="1:37">
      <c r="A10" s="4">
        <f>ELEC!C10</f>
        <v>43807</v>
      </c>
      <c r="B10" s="278">
        <v>8439</v>
      </c>
      <c r="C10" s="300">
        <f t="shared" si="11"/>
        <v>3</v>
      </c>
      <c r="D10" s="278">
        <v>112292</v>
      </c>
      <c r="E10" s="300">
        <f t="shared" si="12"/>
        <v>589</v>
      </c>
      <c r="F10" s="300">
        <f t="shared" si="0"/>
        <v>196.33333333333334</v>
      </c>
      <c r="G10" s="201"/>
      <c r="H10" s="301">
        <f t="shared" si="13"/>
        <v>8497</v>
      </c>
      <c r="I10" s="300" t="str">
        <f t="shared" si="1"/>
        <v>ok</v>
      </c>
      <c r="J10" s="278">
        <v>10553</v>
      </c>
      <c r="K10" s="300">
        <f t="shared" si="2"/>
        <v>0</v>
      </c>
      <c r="L10" s="278">
        <f t="shared" si="26"/>
        <v>214152</v>
      </c>
      <c r="M10" s="300">
        <f t="shared" si="3"/>
        <v>0</v>
      </c>
      <c r="N10" s="300">
        <f t="shared" si="14"/>
        <v>0</v>
      </c>
      <c r="O10" s="201"/>
      <c r="P10" s="301">
        <v>10873</v>
      </c>
      <c r="Q10" s="300" t="str">
        <f t="shared" si="4"/>
        <v>ok</v>
      </c>
      <c r="R10" s="278">
        <f t="shared" ref="R10:T32" si="28">R9</f>
        <v>10873</v>
      </c>
      <c r="S10" s="300">
        <f t="shared" si="5"/>
        <v>0</v>
      </c>
      <c r="T10" s="278">
        <v>172667</v>
      </c>
      <c r="U10" s="300">
        <f t="shared" si="6"/>
        <v>62</v>
      </c>
      <c r="V10" s="300">
        <f t="shared" si="16"/>
        <v>0</v>
      </c>
      <c r="W10" s="201"/>
      <c r="X10" s="301">
        <f t="shared" si="17"/>
        <v>10809</v>
      </c>
      <c r="Y10" s="300" t="str">
        <f t="shared" si="7"/>
        <v>oil change</v>
      </c>
      <c r="Z10" s="300">
        <f t="shared" si="8"/>
        <v>3</v>
      </c>
      <c r="AA10" s="300">
        <f t="shared" si="18"/>
        <v>651</v>
      </c>
      <c r="AB10" s="300">
        <f t="shared" si="19"/>
        <v>196.33333333333334</v>
      </c>
      <c r="AC10" s="300">
        <f t="shared" si="20"/>
        <v>217</v>
      </c>
      <c r="AD10" s="74">
        <f>ELEC!Q10</f>
        <v>2000</v>
      </c>
      <c r="AE10" s="74">
        <f t="shared" si="22"/>
        <v>666.66666666666663</v>
      </c>
      <c r="AF10" s="428">
        <f t="shared" si="23"/>
        <v>0.41666666666666663</v>
      </c>
      <c r="AG10" s="429">
        <f t="shared" si="24"/>
        <v>133.33333333333331</v>
      </c>
      <c r="AH10" s="429">
        <f t="shared" si="21"/>
        <v>83.666666666666686</v>
      </c>
      <c r="AI10" s="74">
        <f t="shared" si="25"/>
        <v>514.76793248945148</v>
      </c>
      <c r="AJ10" s="302">
        <f t="shared" si="9"/>
        <v>0.25738396624472576</v>
      </c>
      <c r="AK10" s="302">
        <f t="shared" si="27"/>
        <v>171.58931082981715</v>
      </c>
    </row>
    <row r="11" spans="1:37">
      <c r="A11" s="4">
        <f>ELEC!C11</f>
        <v>43808</v>
      </c>
      <c r="B11" s="278">
        <v>8442</v>
      </c>
      <c r="C11" s="300">
        <f t="shared" si="11"/>
        <v>3</v>
      </c>
      <c r="D11" s="278">
        <v>112867.2</v>
      </c>
      <c r="E11" s="300">
        <f t="shared" si="12"/>
        <v>575.19999999999709</v>
      </c>
      <c r="F11" s="300">
        <f t="shared" si="0"/>
        <v>191.73333333333235</v>
      </c>
      <c r="G11" s="201"/>
      <c r="H11" s="301">
        <f t="shared" si="13"/>
        <v>8497</v>
      </c>
      <c r="I11" s="300" t="str">
        <f t="shared" si="1"/>
        <v>ok</v>
      </c>
      <c r="J11" s="278">
        <v>10553</v>
      </c>
      <c r="K11" s="300">
        <f t="shared" si="2"/>
        <v>0</v>
      </c>
      <c r="L11" s="278">
        <v>214152.3</v>
      </c>
      <c r="M11" s="300">
        <f t="shared" si="3"/>
        <v>0.29999999998835847</v>
      </c>
      <c r="N11" s="300">
        <f t="shared" si="14"/>
        <v>0</v>
      </c>
      <c r="O11" s="201"/>
      <c r="P11" s="301">
        <f t="shared" si="15"/>
        <v>10873</v>
      </c>
      <c r="Q11" s="300" t="str">
        <f t="shared" si="4"/>
        <v>ok</v>
      </c>
      <c r="R11" s="278">
        <v>10873</v>
      </c>
      <c r="S11" s="300">
        <f t="shared" si="5"/>
        <v>0</v>
      </c>
      <c r="T11" s="278">
        <v>172790</v>
      </c>
      <c r="U11" s="300">
        <f t="shared" si="6"/>
        <v>123</v>
      </c>
      <c r="V11" s="300">
        <f t="shared" si="16"/>
        <v>0</v>
      </c>
      <c r="W11" s="201"/>
      <c r="X11" s="301">
        <f t="shared" si="17"/>
        <v>10809</v>
      </c>
      <c r="Y11" s="300" t="str">
        <f t="shared" si="7"/>
        <v>oil change</v>
      </c>
      <c r="Z11" s="300">
        <f t="shared" si="8"/>
        <v>3</v>
      </c>
      <c r="AA11" s="300">
        <f t="shared" si="18"/>
        <v>698.49999999998545</v>
      </c>
      <c r="AB11" s="300">
        <f t="shared" si="19"/>
        <v>191.73333333333235</v>
      </c>
      <c r="AC11" s="300">
        <f t="shared" si="20"/>
        <v>232.83333333332848</v>
      </c>
      <c r="AD11" s="74">
        <f>ELEC!Q11</f>
        <v>2742.0000000001892</v>
      </c>
      <c r="AE11" s="74">
        <f t="shared" si="22"/>
        <v>914.0000000000631</v>
      </c>
      <c r="AF11" s="428">
        <f t="shared" si="23"/>
        <v>0.57125000000003945</v>
      </c>
      <c r="AG11" s="429">
        <f t="shared" si="24"/>
        <v>182.80000000001263</v>
      </c>
      <c r="AH11" s="429">
        <f t="shared" si="21"/>
        <v>50.033333333315852</v>
      </c>
      <c r="AI11" s="74">
        <f t="shared" si="25"/>
        <v>705.74683544308675</v>
      </c>
      <c r="AJ11" s="302">
        <f t="shared" si="9"/>
        <v>0.25738396624472576</v>
      </c>
      <c r="AK11" s="302">
        <f t="shared" si="27"/>
        <v>235.24894514769559</v>
      </c>
    </row>
    <row r="12" spans="1:37">
      <c r="A12" s="4">
        <f>ELEC!C12</f>
        <v>43809</v>
      </c>
      <c r="B12" s="278">
        <v>8445</v>
      </c>
      <c r="C12" s="300">
        <f t="shared" si="11"/>
        <v>3</v>
      </c>
      <c r="D12" s="278">
        <v>113351.5</v>
      </c>
      <c r="E12" s="300">
        <f t="shared" si="12"/>
        <v>484.30000000000291</v>
      </c>
      <c r="F12" s="300">
        <f t="shared" si="0"/>
        <v>161.4333333333343</v>
      </c>
      <c r="G12" s="201"/>
      <c r="H12" s="301">
        <f t="shared" si="13"/>
        <v>8497</v>
      </c>
      <c r="I12" s="300" t="str">
        <f t="shared" si="1"/>
        <v>ok</v>
      </c>
      <c r="J12" s="278">
        <v>10553</v>
      </c>
      <c r="K12" s="300">
        <f t="shared" si="2"/>
        <v>0</v>
      </c>
      <c r="L12" s="278">
        <v>214152</v>
      </c>
      <c r="M12" s="300">
        <f t="shared" si="3"/>
        <v>-0.29999999998835847</v>
      </c>
      <c r="N12" s="300">
        <f t="shared" si="14"/>
        <v>0</v>
      </c>
      <c r="O12" s="201"/>
      <c r="P12" s="301">
        <f t="shared" si="15"/>
        <v>10873</v>
      </c>
      <c r="Q12" s="300" t="str">
        <f t="shared" si="4"/>
        <v>ok</v>
      </c>
      <c r="R12" s="278">
        <v>10874</v>
      </c>
      <c r="S12" s="300">
        <f t="shared" si="5"/>
        <v>1</v>
      </c>
      <c r="T12" s="278">
        <v>172845</v>
      </c>
      <c r="U12" s="300">
        <f t="shared" si="6"/>
        <v>55</v>
      </c>
      <c r="V12" s="300">
        <f t="shared" si="16"/>
        <v>55</v>
      </c>
      <c r="W12" s="201"/>
      <c r="X12" s="301">
        <f t="shared" si="17"/>
        <v>10809</v>
      </c>
      <c r="Y12" s="300" t="str">
        <f t="shared" si="7"/>
        <v>oil change</v>
      </c>
      <c r="Z12" s="300">
        <f t="shared" si="8"/>
        <v>4</v>
      </c>
      <c r="AA12" s="300">
        <f t="shared" si="18"/>
        <v>539.00000000001455</v>
      </c>
      <c r="AB12" s="300">
        <f t="shared" si="19"/>
        <v>216.4333333333343</v>
      </c>
      <c r="AC12" s="300">
        <f t="shared" si="20"/>
        <v>134.75000000000364</v>
      </c>
      <c r="AD12" s="74">
        <f>ELEC!Q12</f>
        <v>2007.9999999998108</v>
      </c>
      <c r="AE12" s="74">
        <f t="shared" si="22"/>
        <v>501.99999999995271</v>
      </c>
      <c r="AF12" s="428">
        <f t="shared" si="23"/>
        <v>0.31374999999997044</v>
      </c>
      <c r="AG12" s="429">
        <f t="shared" si="24"/>
        <v>100.39999999999054</v>
      </c>
      <c r="AH12" s="429">
        <f t="shared" si="21"/>
        <v>34.350000000013097</v>
      </c>
      <c r="AI12" s="74">
        <f t="shared" si="25"/>
        <v>516.82700421936067</v>
      </c>
      <c r="AJ12" s="302">
        <f t="shared" si="9"/>
        <v>0.25738396624472576</v>
      </c>
      <c r="AK12" s="302">
        <f t="shared" si="27"/>
        <v>129.20675105484017</v>
      </c>
    </row>
    <row r="13" spans="1:37">
      <c r="A13" s="4">
        <f>ELEC!C13</f>
        <v>43810</v>
      </c>
      <c r="B13" s="278">
        <v>8448</v>
      </c>
      <c r="C13" s="300">
        <f t="shared" si="11"/>
        <v>3</v>
      </c>
      <c r="D13" s="278">
        <v>113740</v>
      </c>
      <c r="E13" s="300">
        <f t="shared" si="12"/>
        <v>388.5</v>
      </c>
      <c r="F13" s="300">
        <f t="shared" si="0"/>
        <v>129.5</v>
      </c>
      <c r="G13" s="201"/>
      <c r="H13" s="301">
        <f t="shared" si="13"/>
        <v>8497</v>
      </c>
      <c r="I13" s="300" t="str">
        <f t="shared" si="1"/>
        <v>ok</v>
      </c>
      <c r="J13" s="278">
        <v>10553</v>
      </c>
      <c r="K13" s="300">
        <f t="shared" si="2"/>
        <v>0</v>
      </c>
      <c r="L13" s="278">
        <v>214152</v>
      </c>
      <c r="M13" s="300">
        <f t="shared" si="3"/>
        <v>0</v>
      </c>
      <c r="N13" s="300">
        <f t="shared" si="14"/>
        <v>0</v>
      </c>
      <c r="O13" s="201"/>
      <c r="P13" s="301">
        <f t="shared" si="15"/>
        <v>10873</v>
      </c>
      <c r="Q13" s="300" t="str">
        <f t="shared" si="4"/>
        <v>ok</v>
      </c>
      <c r="R13" s="278">
        <v>10874</v>
      </c>
      <c r="S13" s="300">
        <f t="shared" si="5"/>
        <v>0</v>
      </c>
      <c r="T13" s="278">
        <v>172908</v>
      </c>
      <c r="U13" s="300">
        <f t="shared" si="6"/>
        <v>63</v>
      </c>
      <c r="V13" s="300">
        <f t="shared" si="16"/>
        <v>0</v>
      </c>
      <c r="W13" s="201"/>
      <c r="X13" s="301">
        <f>X12+180</f>
        <v>10989</v>
      </c>
      <c r="Y13" s="300" t="str">
        <f t="shared" si="7"/>
        <v>ok</v>
      </c>
      <c r="Z13" s="300">
        <f t="shared" si="8"/>
        <v>3</v>
      </c>
      <c r="AA13" s="300">
        <f t="shared" si="18"/>
        <v>451.5</v>
      </c>
      <c r="AB13" s="300">
        <f t="shared" si="19"/>
        <v>129.5</v>
      </c>
      <c r="AC13" s="300">
        <f t="shared" si="20"/>
        <v>150.5</v>
      </c>
      <c r="AD13" s="74">
        <f>ELEC!Q13</f>
        <v>2342.000000000553</v>
      </c>
      <c r="AE13" s="74">
        <f t="shared" si="22"/>
        <v>780.66666666685103</v>
      </c>
      <c r="AF13" s="428">
        <f t="shared" si="23"/>
        <v>0.48791666666678191</v>
      </c>
      <c r="AG13" s="429">
        <f t="shared" si="24"/>
        <v>156.13333333337022</v>
      </c>
      <c r="AH13" s="429">
        <f t="shared" si="21"/>
        <v>-5.6333333333702171</v>
      </c>
      <c r="AI13" s="74">
        <f t="shared" si="25"/>
        <v>602.79324894529009</v>
      </c>
      <c r="AJ13" s="302">
        <f t="shared" si="9"/>
        <v>0.25738396624472576</v>
      </c>
      <c r="AK13" s="302">
        <f t="shared" si="27"/>
        <v>200.93108298176335</v>
      </c>
    </row>
    <row r="14" spans="1:37">
      <c r="A14" s="4">
        <f>ELEC!C14</f>
        <v>43811</v>
      </c>
      <c r="B14" s="278">
        <v>8451</v>
      </c>
      <c r="C14" s="300">
        <f t="shared" si="11"/>
        <v>3</v>
      </c>
      <c r="D14" s="278">
        <v>114075</v>
      </c>
      <c r="E14" s="300">
        <f t="shared" si="12"/>
        <v>335</v>
      </c>
      <c r="F14" s="300">
        <f t="shared" si="0"/>
        <v>111.66666666666667</v>
      </c>
      <c r="G14" s="201"/>
      <c r="H14" s="301">
        <f t="shared" si="13"/>
        <v>8497</v>
      </c>
      <c r="I14" s="300" t="str">
        <f t="shared" si="1"/>
        <v>ok</v>
      </c>
      <c r="J14" s="278">
        <v>10553</v>
      </c>
      <c r="K14" s="300">
        <f t="shared" si="2"/>
        <v>0</v>
      </c>
      <c r="L14" s="278">
        <v>214152</v>
      </c>
      <c r="M14" s="300">
        <f t="shared" si="3"/>
        <v>0</v>
      </c>
      <c r="N14" s="300">
        <f t="shared" si="14"/>
        <v>0</v>
      </c>
      <c r="O14" s="201"/>
      <c r="P14" s="301">
        <f t="shared" si="15"/>
        <v>10873</v>
      </c>
      <c r="Q14" s="300" t="str">
        <f t="shared" si="4"/>
        <v>ok</v>
      </c>
      <c r="R14" s="278">
        <v>10874</v>
      </c>
      <c r="S14" s="300">
        <f t="shared" si="5"/>
        <v>0</v>
      </c>
      <c r="T14" s="278">
        <v>172996</v>
      </c>
      <c r="U14" s="300">
        <f t="shared" si="6"/>
        <v>88</v>
      </c>
      <c r="V14" s="300">
        <f t="shared" si="16"/>
        <v>0</v>
      </c>
      <c r="W14" s="201"/>
      <c r="X14" s="301">
        <f t="shared" si="17"/>
        <v>10989</v>
      </c>
      <c r="Y14" s="300" t="str">
        <f t="shared" si="7"/>
        <v>ok</v>
      </c>
      <c r="Z14" s="300">
        <f t="shared" si="8"/>
        <v>3</v>
      </c>
      <c r="AA14" s="300">
        <f t="shared" si="18"/>
        <v>423</v>
      </c>
      <c r="AB14" s="300">
        <f t="shared" si="19"/>
        <v>111.66666666666667</v>
      </c>
      <c r="AC14" s="300">
        <f t="shared" si="20"/>
        <v>141</v>
      </c>
      <c r="AD14" s="74">
        <f>ELEC!Q14</f>
        <v>1907.999999999447</v>
      </c>
      <c r="AE14" s="74">
        <f t="shared" si="22"/>
        <v>635.99999999981571</v>
      </c>
      <c r="AF14" s="428">
        <f t="shared" si="23"/>
        <v>0.39749999999988483</v>
      </c>
      <c r="AG14" s="429">
        <f t="shared" si="24"/>
        <v>127.19999999996315</v>
      </c>
      <c r="AH14" s="429">
        <f t="shared" si="21"/>
        <v>13.800000000036846</v>
      </c>
      <c r="AI14" s="74">
        <f t="shared" si="25"/>
        <v>491.08860759479444</v>
      </c>
      <c r="AJ14" s="302">
        <f t="shared" si="9"/>
        <v>0.25738396624472576</v>
      </c>
      <c r="AK14" s="302">
        <f t="shared" si="27"/>
        <v>163.69620253159815</v>
      </c>
    </row>
    <row r="15" spans="1:37">
      <c r="A15" s="4">
        <f>ELEC!C15</f>
        <v>43812</v>
      </c>
      <c r="B15" s="278">
        <v>8453</v>
      </c>
      <c r="C15" s="300">
        <f t="shared" si="11"/>
        <v>2</v>
      </c>
      <c r="D15" s="278">
        <v>114305.9</v>
      </c>
      <c r="E15" s="300">
        <f t="shared" si="12"/>
        <v>230.89999999999418</v>
      </c>
      <c r="F15" s="300">
        <f t="shared" si="0"/>
        <v>115.44999999999709</v>
      </c>
      <c r="G15" s="201"/>
      <c r="H15" s="301">
        <f t="shared" si="13"/>
        <v>8497</v>
      </c>
      <c r="I15" s="300" t="str">
        <f t="shared" si="1"/>
        <v>ok</v>
      </c>
      <c r="J15" s="278">
        <v>10553</v>
      </c>
      <c r="K15" s="300">
        <f t="shared" si="2"/>
        <v>0</v>
      </c>
      <c r="L15" s="278">
        <v>214152</v>
      </c>
      <c r="M15" s="300">
        <f t="shared" si="3"/>
        <v>0</v>
      </c>
      <c r="N15" s="300">
        <f t="shared" si="14"/>
        <v>0</v>
      </c>
      <c r="O15" s="201"/>
      <c r="P15" s="301">
        <f t="shared" si="15"/>
        <v>10873</v>
      </c>
      <c r="Q15" s="300" t="str">
        <f t="shared" si="4"/>
        <v>ok</v>
      </c>
      <c r="R15" s="278">
        <v>10876</v>
      </c>
      <c r="S15" s="300">
        <f t="shared" si="5"/>
        <v>2</v>
      </c>
      <c r="T15" s="278">
        <v>173343</v>
      </c>
      <c r="U15" s="300">
        <f t="shared" si="6"/>
        <v>347</v>
      </c>
      <c r="V15" s="300">
        <f t="shared" si="16"/>
        <v>173.5</v>
      </c>
      <c r="W15" s="201"/>
      <c r="X15" s="301">
        <f t="shared" si="17"/>
        <v>10989</v>
      </c>
      <c r="Y15" s="300" t="str">
        <f t="shared" si="7"/>
        <v>ok</v>
      </c>
      <c r="Z15" s="300">
        <f t="shared" si="8"/>
        <v>4</v>
      </c>
      <c r="AA15" s="300">
        <f t="shared" si="18"/>
        <v>577.89999999999418</v>
      </c>
      <c r="AB15" s="300">
        <f t="shared" si="19"/>
        <v>288.94999999999709</v>
      </c>
      <c r="AC15" s="300">
        <f t="shared" si="20"/>
        <v>144.47499999999854</v>
      </c>
      <c r="AD15" s="74">
        <f>ELEC!Q15</f>
        <v>3364.9999999997817</v>
      </c>
      <c r="AE15" s="74">
        <f t="shared" si="22"/>
        <v>841.24999999994543</v>
      </c>
      <c r="AF15" s="428">
        <f t="shared" si="23"/>
        <v>0.52578124999996589</v>
      </c>
      <c r="AG15" s="429">
        <f t="shared" si="24"/>
        <v>168.24999999998909</v>
      </c>
      <c r="AH15" s="429">
        <f t="shared" si="21"/>
        <v>-23.774999999990541</v>
      </c>
      <c r="AI15" s="74">
        <f t="shared" si="25"/>
        <v>866.09704641344604</v>
      </c>
      <c r="AJ15" s="302">
        <f t="shared" si="9"/>
        <v>0.25738396624472576</v>
      </c>
      <c r="AK15" s="302">
        <f t="shared" si="27"/>
        <v>216.52426160336151</v>
      </c>
    </row>
    <row r="16" spans="1:37">
      <c r="A16" s="4">
        <f>ELEC!C16</f>
        <v>43813</v>
      </c>
      <c r="B16" s="278">
        <v>8456</v>
      </c>
      <c r="C16" s="300">
        <f t="shared" si="11"/>
        <v>3</v>
      </c>
      <c r="D16" s="278">
        <v>114679</v>
      </c>
      <c r="E16" s="300">
        <f t="shared" si="12"/>
        <v>373.10000000000582</v>
      </c>
      <c r="F16" s="300">
        <f t="shared" si="0"/>
        <v>124.36666666666861</v>
      </c>
      <c r="G16" s="201"/>
      <c r="H16" s="301">
        <f t="shared" si="13"/>
        <v>8497</v>
      </c>
      <c r="I16" s="300" t="str">
        <f t="shared" si="1"/>
        <v>ok</v>
      </c>
      <c r="J16" s="278">
        <f t="shared" si="26"/>
        <v>10553</v>
      </c>
      <c r="K16" s="300">
        <f t="shared" si="2"/>
        <v>0</v>
      </c>
      <c r="L16" s="278">
        <f t="shared" si="26"/>
        <v>214152</v>
      </c>
      <c r="M16" s="300">
        <f t="shared" si="3"/>
        <v>0</v>
      </c>
      <c r="N16" s="300">
        <f t="shared" si="14"/>
        <v>0</v>
      </c>
      <c r="O16" s="201"/>
      <c r="P16" s="301">
        <f t="shared" si="15"/>
        <v>10873</v>
      </c>
      <c r="Q16" s="300" t="str">
        <f t="shared" si="4"/>
        <v>ok</v>
      </c>
      <c r="R16" s="566">
        <v>10877</v>
      </c>
      <c r="S16" s="567">
        <f t="shared" si="5"/>
        <v>1</v>
      </c>
      <c r="T16" s="566">
        <v>173581.8</v>
      </c>
      <c r="U16" s="567">
        <f t="shared" si="6"/>
        <v>238.79999999998836</v>
      </c>
      <c r="V16" s="300">
        <f t="shared" si="16"/>
        <v>238.79999999998836</v>
      </c>
      <c r="W16" s="201"/>
      <c r="X16" s="301">
        <f t="shared" si="17"/>
        <v>10989</v>
      </c>
      <c r="Y16" s="300" t="str">
        <f t="shared" si="7"/>
        <v>ok</v>
      </c>
      <c r="Z16" s="300">
        <f t="shared" si="8"/>
        <v>4</v>
      </c>
      <c r="AA16" s="300">
        <f t="shared" si="18"/>
        <v>611.89999999999418</v>
      </c>
      <c r="AB16" s="300">
        <f t="shared" si="19"/>
        <v>363.16666666665697</v>
      </c>
      <c r="AC16" s="300">
        <f t="shared" si="20"/>
        <v>152.97499999999854</v>
      </c>
      <c r="AD16" s="74">
        <f>ELEC!Q16</f>
        <v>2635.0000000002183</v>
      </c>
      <c r="AE16" s="74">
        <f t="shared" si="22"/>
        <v>658.75000000005457</v>
      </c>
      <c r="AF16" s="428">
        <f t="shared" si="23"/>
        <v>0.41171875000003411</v>
      </c>
      <c r="AG16" s="429">
        <f t="shared" si="24"/>
        <v>131.75000000001091</v>
      </c>
      <c r="AH16" s="429">
        <f t="shared" si="21"/>
        <v>21.224999999987631</v>
      </c>
      <c r="AI16" s="74">
        <f t="shared" si="25"/>
        <v>678.20675105490852</v>
      </c>
      <c r="AJ16" s="302">
        <f t="shared" si="9"/>
        <v>0.25738396624472576</v>
      </c>
      <c r="AK16" s="302">
        <f t="shared" si="27"/>
        <v>169.55168776372713</v>
      </c>
    </row>
    <row r="17" spans="1:37">
      <c r="A17" s="4">
        <f>ELEC!C17</f>
        <v>43814</v>
      </c>
      <c r="B17" s="278">
        <v>8459</v>
      </c>
      <c r="C17" s="300">
        <f t="shared" si="11"/>
        <v>3</v>
      </c>
      <c r="D17" s="278">
        <v>115006</v>
      </c>
      <c r="E17" s="300">
        <f t="shared" si="12"/>
        <v>327</v>
      </c>
      <c r="F17" s="300">
        <f t="shared" si="0"/>
        <v>109</v>
      </c>
      <c r="G17" s="201"/>
      <c r="H17" s="301">
        <f t="shared" si="13"/>
        <v>8497</v>
      </c>
      <c r="I17" s="300" t="str">
        <f t="shared" si="1"/>
        <v>ok</v>
      </c>
      <c r="J17" s="278">
        <v>10553</v>
      </c>
      <c r="K17" s="300">
        <f t="shared" si="2"/>
        <v>0</v>
      </c>
      <c r="L17" s="278">
        <v>214152</v>
      </c>
      <c r="M17" s="300">
        <f t="shared" si="3"/>
        <v>0</v>
      </c>
      <c r="N17" s="300">
        <f t="shared" si="14"/>
        <v>0</v>
      </c>
      <c r="O17" s="201"/>
      <c r="P17" s="301">
        <f t="shared" si="15"/>
        <v>10873</v>
      </c>
      <c r="Q17" s="300" t="str">
        <f t="shared" si="4"/>
        <v>ok</v>
      </c>
      <c r="R17" s="569">
        <v>10878</v>
      </c>
      <c r="S17" s="570">
        <f t="shared" si="5"/>
        <v>1</v>
      </c>
      <c r="T17" s="569">
        <v>173641</v>
      </c>
      <c r="U17" s="570">
        <f t="shared" si="6"/>
        <v>59.200000000011642</v>
      </c>
      <c r="V17" s="300">
        <f t="shared" si="16"/>
        <v>59.200000000011642</v>
      </c>
      <c r="W17" s="201"/>
      <c r="X17" s="301">
        <f t="shared" si="17"/>
        <v>10989</v>
      </c>
      <c r="Y17" s="300" t="str">
        <f t="shared" si="7"/>
        <v>ok</v>
      </c>
      <c r="Z17" s="300">
        <f t="shared" si="8"/>
        <v>4</v>
      </c>
      <c r="AA17" s="300">
        <f t="shared" si="18"/>
        <v>386.20000000001164</v>
      </c>
      <c r="AB17" s="300">
        <f t="shared" si="19"/>
        <v>168.20000000001164</v>
      </c>
      <c r="AC17" s="300">
        <f t="shared" si="20"/>
        <v>96.55000000000291</v>
      </c>
      <c r="AD17" s="74">
        <f>ELEC!Q17</f>
        <v>3150.9999999998399</v>
      </c>
      <c r="AE17" s="74">
        <f t="shared" si="22"/>
        <v>787.74999999995998</v>
      </c>
      <c r="AF17" s="428">
        <f t="shared" si="23"/>
        <v>0.49234374999997499</v>
      </c>
      <c r="AG17" s="429">
        <f t="shared" si="24"/>
        <v>157.549999999992</v>
      </c>
      <c r="AH17" s="429">
        <f t="shared" si="21"/>
        <v>-60.999999999989086</v>
      </c>
      <c r="AI17" s="74">
        <f t="shared" si="25"/>
        <v>811.01687763708969</v>
      </c>
      <c r="AJ17" s="302">
        <f t="shared" si="9"/>
        <v>0.25738396624472576</v>
      </c>
      <c r="AK17" s="302">
        <f t="shared" ref="AK17:AK33" si="29">IF(Z17&gt;0,AI17/Z17,0)</f>
        <v>202.75421940927242</v>
      </c>
    </row>
    <row r="18" spans="1:37">
      <c r="A18" s="4">
        <f>ELEC!C18</f>
        <v>43815</v>
      </c>
      <c r="B18" s="278">
        <v>8463</v>
      </c>
      <c r="C18" s="300">
        <f t="shared" si="11"/>
        <v>4</v>
      </c>
      <c r="D18" s="278">
        <v>115324</v>
      </c>
      <c r="E18" s="300">
        <f t="shared" si="12"/>
        <v>318</v>
      </c>
      <c r="F18" s="300">
        <f t="shared" si="0"/>
        <v>79.5</v>
      </c>
      <c r="G18" s="201"/>
      <c r="H18" s="301">
        <f t="shared" si="13"/>
        <v>8497</v>
      </c>
      <c r="I18" s="300" t="str">
        <f t="shared" si="1"/>
        <v>ok</v>
      </c>
      <c r="J18" s="278">
        <v>10553</v>
      </c>
      <c r="K18" s="300">
        <f t="shared" si="2"/>
        <v>0</v>
      </c>
      <c r="L18" s="278">
        <f t="shared" si="26"/>
        <v>214152</v>
      </c>
      <c r="M18" s="300">
        <f t="shared" si="3"/>
        <v>0</v>
      </c>
      <c r="N18" s="300">
        <f t="shared" si="14"/>
        <v>0</v>
      </c>
      <c r="O18" s="201"/>
      <c r="P18" s="301">
        <f t="shared" si="15"/>
        <v>10873</v>
      </c>
      <c r="Q18" s="300" t="str">
        <f>IF(J18-P14&lt;=0,"ok","oil change")</f>
        <v>ok</v>
      </c>
      <c r="R18" s="278">
        <v>10878</v>
      </c>
      <c r="S18" s="300">
        <f t="shared" si="5"/>
        <v>0</v>
      </c>
      <c r="T18" s="278">
        <f t="shared" si="28"/>
        <v>173641</v>
      </c>
      <c r="U18" s="300">
        <f t="shared" si="6"/>
        <v>0</v>
      </c>
      <c r="V18" s="300">
        <f t="shared" si="16"/>
        <v>0</v>
      </c>
      <c r="W18" s="358"/>
      <c r="X18" s="301">
        <f t="shared" si="17"/>
        <v>10989</v>
      </c>
      <c r="Y18" s="300" t="str">
        <f t="shared" si="7"/>
        <v>ok</v>
      </c>
      <c r="Z18" s="300">
        <f t="shared" si="8"/>
        <v>4</v>
      </c>
      <c r="AA18" s="300">
        <f t="shared" si="18"/>
        <v>318</v>
      </c>
      <c r="AB18" s="300">
        <f t="shared" si="19"/>
        <v>79.5</v>
      </c>
      <c r="AC18" s="300">
        <f t="shared" si="20"/>
        <v>79.5</v>
      </c>
      <c r="AD18" s="74">
        <f>ELEC!Q18</f>
        <v>1849.0000000001601</v>
      </c>
      <c r="AE18" s="74">
        <f t="shared" si="22"/>
        <v>462.25000000004002</v>
      </c>
      <c r="AF18" s="428">
        <f t="shared" si="23"/>
        <v>0.28890625000002501</v>
      </c>
      <c r="AG18" s="429">
        <f t="shared" si="24"/>
        <v>92.450000000008004</v>
      </c>
      <c r="AH18" s="429">
        <f t="shared" si="21"/>
        <v>-12.950000000008004</v>
      </c>
      <c r="AI18" s="74">
        <f t="shared" si="25"/>
        <v>475.90295358653913</v>
      </c>
      <c r="AJ18" s="302">
        <f t="shared" si="9"/>
        <v>0.25738396624472576</v>
      </c>
      <c r="AK18" s="302">
        <f t="shared" si="29"/>
        <v>118.97573839663478</v>
      </c>
    </row>
    <row r="19" spans="1:37">
      <c r="A19" s="4">
        <f>ELEC!C19</f>
        <v>43816</v>
      </c>
      <c r="B19" s="278">
        <v>8466</v>
      </c>
      <c r="C19" s="300">
        <f t="shared" si="11"/>
        <v>3</v>
      </c>
      <c r="D19" s="278">
        <v>115759</v>
      </c>
      <c r="E19" s="300">
        <f t="shared" si="12"/>
        <v>435</v>
      </c>
      <c r="F19" s="300">
        <f t="shared" si="0"/>
        <v>145</v>
      </c>
      <c r="G19" s="201"/>
      <c r="H19" s="301">
        <f t="shared" si="13"/>
        <v>8497</v>
      </c>
      <c r="I19" s="300" t="str">
        <f t="shared" si="1"/>
        <v>ok</v>
      </c>
      <c r="J19" s="278">
        <v>10553</v>
      </c>
      <c r="K19" s="300">
        <f t="shared" si="2"/>
        <v>0</v>
      </c>
      <c r="L19" s="278">
        <v>214152</v>
      </c>
      <c r="M19" s="300">
        <f t="shared" si="3"/>
        <v>0</v>
      </c>
      <c r="N19" s="300">
        <f t="shared" si="14"/>
        <v>0</v>
      </c>
      <c r="O19" s="201"/>
      <c r="P19" s="301">
        <f t="shared" si="15"/>
        <v>10873</v>
      </c>
      <c r="Q19" s="300" t="str">
        <f t="shared" ref="Q19:Q32" si="30">IF(J19-P19&lt;=0,"ok","oil change")</f>
        <v>ok</v>
      </c>
      <c r="R19" s="278">
        <v>10878</v>
      </c>
      <c r="S19" s="300">
        <f t="shared" si="5"/>
        <v>0</v>
      </c>
      <c r="T19" s="278">
        <v>173816</v>
      </c>
      <c r="U19" s="300">
        <f t="shared" ref="U19:U32" si="31">SUM(T19-T18)</f>
        <v>175</v>
      </c>
      <c r="V19" s="300">
        <f t="shared" si="16"/>
        <v>0</v>
      </c>
      <c r="W19" s="201"/>
      <c r="X19" s="301">
        <f t="shared" si="17"/>
        <v>10989</v>
      </c>
      <c r="Y19" s="300" t="str">
        <f t="shared" si="7"/>
        <v>ok</v>
      </c>
      <c r="Z19" s="300">
        <f t="shared" si="8"/>
        <v>3</v>
      </c>
      <c r="AA19" s="300">
        <f t="shared" si="18"/>
        <v>610</v>
      </c>
      <c r="AB19" s="300">
        <f t="shared" si="19"/>
        <v>145</v>
      </c>
      <c r="AC19" s="300">
        <f t="shared" si="20"/>
        <v>203.33333333333334</v>
      </c>
      <c r="AD19" s="74">
        <f>ELEC!Q19</f>
        <v>3212.9999999997381</v>
      </c>
      <c r="AE19" s="74">
        <f t="shared" si="22"/>
        <v>1070.9999999999127</v>
      </c>
      <c r="AF19" s="428">
        <f t="shared" si="23"/>
        <v>0.66937499999994543</v>
      </c>
      <c r="AG19" s="429">
        <f t="shared" si="24"/>
        <v>214.19999999998254</v>
      </c>
      <c r="AH19" s="429">
        <f t="shared" si="21"/>
        <v>-10.866666666649195</v>
      </c>
      <c r="AI19" s="74">
        <f t="shared" si="25"/>
        <v>826.97468354423643</v>
      </c>
      <c r="AJ19" s="302">
        <f t="shared" si="9"/>
        <v>0.25738396624472576</v>
      </c>
      <c r="AK19" s="302">
        <f t="shared" si="29"/>
        <v>275.65822784807881</v>
      </c>
    </row>
    <row r="20" spans="1:37">
      <c r="A20" s="4">
        <f>ELEC!C20</f>
        <v>43817</v>
      </c>
      <c r="B20" s="278">
        <v>8469</v>
      </c>
      <c r="C20" s="300">
        <f>B20-B19</f>
        <v>3</v>
      </c>
      <c r="D20" s="278">
        <v>115970</v>
      </c>
      <c r="E20" s="300">
        <f t="shared" si="12"/>
        <v>211</v>
      </c>
      <c r="F20" s="300">
        <f t="shared" si="0"/>
        <v>70.333333333333329</v>
      </c>
      <c r="G20" s="201"/>
      <c r="H20" s="301">
        <f t="shared" si="13"/>
        <v>8497</v>
      </c>
      <c r="I20" s="300" t="str">
        <f t="shared" si="1"/>
        <v>ok</v>
      </c>
      <c r="J20" s="278">
        <v>10553</v>
      </c>
      <c r="K20" s="300">
        <f t="shared" si="2"/>
        <v>0</v>
      </c>
      <c r="L20" s="278">
        <v>214152</v>
      </c>
      <c r="M20" s="300">
        <f t="shared" si="3"/>
        <v>0</v>
      </c>
      <c r="N20" s="300">
        <f t="shared" si="14"/>
        <v>0</v>
      </c>
      <c r="O20" s="201"/>
      <c r="P20" s="301">
        <f t="shared" si="15"/>
        <v>10873</v>
      </c>
      <c r="Q20" s="300" t="str">
        <f t="shared" si="30"/>
        <v>ok</v>
      </c>
      <c r="R20" s="278">
        <v>10878</v>
      </c>
      <c r="S20" s="300">
        <f t="shared" si="5"/>
        <v>0</v>
      </c>
      <c r="T20" s="278">
        <v>173816</v>
      </c>
      <c r="U20" s="300">
        <f t="shared" si="31"/>
        <v>0</v>
      </c>
      <c r="V20" s="300">
        <f t="shared" si="16"/>
        <v>0</v>
      </c>
      <c r="W20" s="201"/>
      <c r="X20" s="301">
        <f t="shared" si="17"/>
        <v>10989</v>
      </c>
      <c r="Y20" s="300" t="str">
        <f t="shared" si="7"/>
        <v>ok</v>
      </c>
      <c r="Z20" s="300">
        <f t="shared" si="8"/>
        <v>3</v>
      </c>
      <c r="AA20" s="300">
        <f t="shared" si="18"/>
        <v>211</v>
      </c>
      <c r="AB20" s="300">
        <f t="shared" si="19"/>
        <v>70.333333333333329</v>
      </c>
      <c r="AC20" s="300">
        <f t="shared" si="20"/>
        <v>70.333333333333329</v>
      </c>
      <c r="AD20" s="74">
        <f>ELEC!Q20</f>
        <v>2255.0000000010186</v>
      </c>
      <c r="AE20" s="74">
        <f t="shared" si="22"/>
        <v>751.66666666700621</v>
      </c>
      <c r="AF20" s="428">
        <f t="shared" si="23"/>
        <v>0.46979166666687888</v>
      </c>
      <c r="AG20" s="429">
        <f t="shared" si="24"/>
        <v>150.33333333340124</v>
      </c>
      <c r="AH20" s="429">
        <f t="shared" si="21"/>
        <v>-80.000000000067914</v>
      </c>
      <c r="AI20" s="74">
        <f>AD20*AJ20</f>
        <v>580.40084388211881</v>
      </c>
      <c r="AJ20" s="302">
        <f t="shared" si="9"/>
        <v>0.25738396624472576</v>
      </c>
      <c r="AK20" s="302">
        <f t="shared" si="29"/>
        <v>193.46694796070628</v>
      </c>
    </row>
    <row r="21" spans="1:37">
      <c r="A21" s="4">
        <f>ELEC!C21</f>
        <v>43818</v>
      </c>
      <c r="B21" s="278">
        <v>8472</v>
      </c>
      <c r="C21" s="300">
        <f t="shared" si="11"/>
        <v>3</v>
      </c>
      <c r="D21" s="278">
        <v>116568</v>
      </c>
      <c r="E21" s="300">
        <f t="shared" si="12"/>
        <v>598</v>
      </c>
      <c r="F21" s="300">
        <f t="shared" si="0"/>
        <v>199.33333333333334</v>
      </c>
      <c r="G21" s="201"/>
      <c r="H21" s="301">
        <f t="shared" si="13"/>
        <v>8497</v>
      </c>
      <c r="I21" s="300" t="str">
        <f t="shared" si="1"/>
        <v>ok</v>
      </c>
      <c r="J21" s="278">
        <v>10553</v>
      </c>
      <c r="K21" s="300">
        <f t="shared" si="2"/>
        <v>0</v>
      </c>
      <c r="L21" s="278">
        <v>214152</v>
      </c>
      <c r="M21" s="300">
        <f t="shared" si="3"/>
        <v>0</v>
      </c>
      <c r="N21" s="300">
        <f t="shared" si="14"/>
        <v>0</v>
      </c>
      <c r="O21" s="201"/>
      <c r="P21" s="301">
        <f t="shared" si="15"/>
        <v>10873</v>
      </c>
      <c r="Q21" s="300" t="str">
        <f t="shared" si="30"/>
        <v>ok</v>
      </c>
      <c r="R21" s="278">
        <v>10879</v>
      </c>
      <c r="S21" s="300">
        <f t="shared" si="5"/>
        <v>1</v>
      </c>
      <c r="T21" s="278">
        <v>173882</v>
      </c>
      <c r="U21" s="300">
        <f t="shared" si="31"/>
        <v>66</v>
      </c>
      <c r="V21" s="300">
        <f t="shared" si="16"/>
        <v>66</v>
      </c>
      <c r="W21" s="201"/>
      <c r="X21" s="301">
        <f t="shared" si="17"/>
        <v>10989</v>
      </c>
      <c r="Y21" s="300" t="str">
        <f>Y20</f>
        <v>ok</v>
      </c>
      <c r="Z21" s="300">
        <f t="shared" si="8"/>
        <v>4</v>
      </c>
      <c r="AA21" s="300">
        <f t="shared" si="18"/>
        <v>664</v>
      </c>
      <c r="AB21" s="300">
        <f t="shared" si="19"/>
        <v>265.33333333333337</v>
      </c>
      <c r="AC21" s="300">
        <f t="shared" si="20"/>
        <v>166</v>
      </c>
      <c r="AD21" s="74">
        <f>ELEC!Q21</f>
        <v>2092.9999999989377</v>
      </c>
      <c r="AE21" s="74">
        <f t="shared" si="22"/>
        <v>523.24999999973443</v>
      </c>
      <c r="AF21" s="428">
        <f t="shared" si="23"/>
        <v>0.32703124999983402</v>
      </c>
      <c r="AG21" s="429">
        <f t="shared" si="24"/>
        <v>104.64999999994689</v>
      </c>
      <c r="AH21" s="429">
        <f t="shared" si="21"/>
        <v>61.350000000053114</v>
      </c>
      <c r="AI21" s="74">
        <f t="shared" si="25"/>
        <v>538.70464134993756</v>
      </c>
      <c r="AJ21" s="302">
        <f t="shared" si="9"/>
        <v>0.25738396624472576</v>
      </c>
      <c r="AK21" s="302">
        <f t="shared" si="29"/>
        <v>134.67616033748439</v>
      </c>
    </row>
    <row r="22" spans="1:37">
      <c r="A22" s="4">
        <f>ELEC!C22</f>
        <v>43819</v>
      </c>
      <c r="B22" s="278">
        <v>8475</v>
      </c>
      <c r="C22" s="300">
        <f t="shared" si="11"/>
        <v>3</v>
      </c>
      <c r="D22" s="278">
        <v>116865</v>
      </c>
      <c r="E22" s="300">
        <f t="shared" si="12"/>
        <v>297</v>
      </c>
      <c r="F22" s="300">
        <f t="shared" si="0"/>
        <v>99</v>
      </c>
      <c r="G22" s="201"/>
      <c r="H22" s="301">
        <f t="shared" si="13"/>
        <v>8497</v>
      </c>
      <c r="I22" s="300" t="str">
        <f t="shared" si="1"/>
        <v>ok</v>
      </c>
      <c r="J22" s="278">
        <v>10553</v>
      </c>
      <c r="K22" s="300">
        <f t="shared" si="2"/>
        <v>0</v>
      </c>
      <c r="L22" s="278">
        <f t="shared" si="26"/>
        <v>214152</v>
      </c>
      <c r="M22" s="300">
        <f t="shared" si="3"/>
        <v>0</v>
      </c>
      <c r="N22" s="300">
        <f t="shared" si="14"/>
        <v>0</v>
      </c>
      <c r="O22" s="201"/>
      <c r="P22" s="301">
        <f t="shared" si="15"/>
        <v>10873</v>
      </c>
      <c r="Q22" s="300" t="str">
        <f t="shared" si="30"/>
        <v>ok</v>
      </c>
      <c r="R22" s="278">
        <v>10879</v>
      </c>
      <c r="S22" s="300">
        <f t="shared" si="5"/>
        <v>0</v>
      </c>
      <c r="T22" s="278">
        <f t="shared" si="28"/>
        <v>173882</v>
      </c>
      <c r="U22" s="300">
        <f t="shared" si="31"/>
        <v>0</v>
      </c>
      <c r="V22" s="300">
        <f t="shared" si="16"/>
        <v>0</v>
      </c>
      <c r="W22" s="201"/>
      <c r="X22" s="301">
        <f t="shared" si="17"/>
        <v>10989</v>
      </c>
      <c r="Y22" s="300" t="str">
        <f t="shared" ref="Y22:Y32" si="32">IF(R22-X22&lt;=0,"ok","oil change")</f>
        <v>ok</v>
      </c>
      <c r="Z22" s="300">
        <f t="shared" si="8"/>
        <v>3</v>
      </c>
      <c r="AA22" s="300">
        <f t="shared" si="18"/>
        <v>297</v>
      </c>
      <c r="AB22" s="300">
        <f t="shared" si="19"/>
        <v>99</v>
      </c>
      <c r="AC22" s="300">
        <f t="shared" si="20"/>
        <v>99</v>
      </c>
      <c r="AD22" s="74">
        <f>ELEC!Q22</f>
        <v>2674.0000000008877</v>
      </c>
      <c r="AE22" s="74">
        <f t="shared" si="22"/>
        <v>891.33333333362918</v>
      </c>
      <c r="AF22" s="428">
        <f t="shared" si="23"/>
        <v>0.55708333333351823</v>
      </c>
      <c r="AG22" s="429">
        <f t="shared" si="24"/>
        <v>178.26666666672583</v>
      </c>
      <c r="AH22" s="429">
        <f t="shared" si="21"/>
        <v>-79.266666666725826</v>
      </c>
      <c r="AI22" s="74">
        <f t="shared" si="25"/>
        <v>688.24472573862511</v>
      </c>
      <c r="AJ22" s="302">
        <f t="shared" si="9"/>
        <v>0.25738396624472576</v>
      </c>
      <c r="AK22" s="302">
        <f t="shared" si="29"/>
        <v>229.4149085795417</v>
      </c>
    </row>
    <row r="23" spans="1:37">
      <c r="A23" s="4">
        <f>ELEC!C23</f>
        <v>43820</v>
      </c>
      <c r="B23" s="278">
        <v>8478.32</v>
      </c>
      <c r="C23" s="300">
        <f t="shared" si="11"/>
        <v>3.319999999999709</v>
      </c>
      <c r="D23" s="278">
        <v>117225.4</v>
      </c>
      <c r="E23" s="300">
        <f t="shared" si="12"/>
        <v>360.39999999999418</v>
      </c>
      <c r="F23" s="300">
        <f t="shared" si="0"/>
        <v>108.55421686747765</v>
      </c>
      <c r="G23" s="201"/>
      <c r="H23" s="301">
        <f t="shared" si="13"/>
        <v>8497</v>
      </c>
      <c r="I23" s="300" t="str">
        <f t="shared" si="1"/>
        <v>ok</v>
      </c>
      <c r="J23" s="278">
        <v>10553.2</v>
      </c>
      <c r="K23" s="300">
        <f t="shared" si="2"/>
        <v>0.2000000000007276</v>
      </c>
      <c r="L23" s="278">
        <v>214154.9</v>
      </c>
      <c r="M23" s="300">
        <f t="shared" si="3"/>
        <v>2.8999999999941792</v>
      </c>
      <c r="N23" s="300">
        <f t="shared" si="14"/>
        <v>14.499999999918145</v>
      </c>
      <c r="O23" s="201"/>
      <c r="P23" s="301">
        <f t="shared" si="15"/>
        <v>10873</v>
      </c>
      <c r="Q23" s="300" t="str">
        <f t="shared" si="30"/>
        <v>ok</v>
      </c>
      <c r="R23" s="278">
        <v>10879.31</v>
      </c>
      <c r="S23" s="300">
        <f t="shared" si="5"/>
        <v>0.30999999999949068</v>
      </c>
      <c r="T23" s="278">
        <v>174009.4</v>
      </c>
      <c r="U23" s="300">
        <f t="shared" si="31"/>
        <v>127.39999999999418</v>
      </c>
      <c r="V23" s="300">
        <f t="shared" si="16"/>
        <v>410.96774193614027</v>
      </c>
      <c r="W23" s="201"/>
      <c r="X23" s="301">
        <f t="shared" si="17"/>
        <v>10989</v>
      </c>
      <c r="Y23" s="300" t="str">
        <f t="shared" si="32"/>
        <v>ok</v>
      </c>
      <c r="Z23" s="300">
        <f t="shared" si="8"/>
        <v>3.8299999999999272</v>
      </c>
      <c r="AA23" s="300">
        <f t="shared" si="18"/>
        <v>490.69999999998254</v>
      </c>
      <c r="AB23" s="300">
        <f t="shared" si="19"/>
        <v>534.02195880353611</v>
      </c>
      <c r="AC23" s="300">
        <f t="shared" si="20"/>
        <v>128.12010443864017</v>
      </c>
      <c r="AD23" s="74">
        <f>ELEC!Q23</f>
        <v>2465.0000000001455</v>
      </c>
      <c r="AE23" s="74">
        <f t="shared" si="22"/>
        <v>643.6031331593191</v>
      </c>
      <c r="AF23" s="428">
        <f t="shared" si="23"/>
        <v>0.40225195822457444</v>
      </c>
      <c r="AG23" s="429">
        <f t="shared" si="24"/>
        <v>128.72062663186381</v>
      </c>
      <c r="AH23" s="429">
        <f t="shared" si="21"/>
        <v>-0.60052219322363953</v>
      </c>
      <c r="AI23" s="74">
        <f t="shared" si="25"/>
        <v>634.45147679328647</v>
      </c>
      <c r="AJ23" s="302">
        <f t="shared" si="9"/>
        <v>0.25738396624472576</v>
      </c>
      <c r="AK23" s="302">
        <f t="shared" si="29"/>
        <v>165.65312710007794</v>
      </c>
    </row>
    <row r="24" spans="1:37">
      <c r="A24" s="4">
        <f>ELEC!C24</f>
        <v>43821</v>
      </c>
      <c r="B24" s="278">
        <v>8481</v>
      </c>
      <c r="C24" s="300">
        <f t="shared" si="11"/>
        <v>2.680000000000291</v>
      </c>
      <c r="D24" s="569">
        <v>117831.5</v>
      </c>
      <c r="E24" s="300">
        <f t="shared" si="12"/>
        <v>606.10000000000582</v>
      </c>
      <c r="F24" s="300">
        <f t="shared" si="0"/>
        <v>226.15671641788805</v>
      </c>
      <c r="G24" s="201"/>
      <c r="H24" s="301">
        <f t="shared" si="13"/>
        <v>8497</v>
      </c>
      <c r="I24" s="300" t="str">
        <f t="shared" si="1"/>
        <v>ok</v>
      </c>
      <c r="J24" s="278">
        <f t="shared" si="26"/>
        <v>10553.2</v>
      </c>
      <c r="K24" s="300">
        <f t="shared" si="2"/>
        <v>0</v>
      </c>
      <c r="L24" s="278">
        <f t="shared" si="26"/>
        <v>214154.9</v>
      </c>
      <c r="M24" s="300">
        <f t="shared" si="3"/>
        <v>0</v>
      </c>
      <c r="N24" s="300">
        <f t="shared" si="14"/>
        <v>0</v>
      </c>
      <c r="O24" s="201"/>
      <c r="P24" s="301">
        <f t="shared" si="15"/>
        <v>10873</v>
      </c>
      <c r="Q24" s="300" t="str">
        <f t="shared" si="30"/>
        <v>ok</v>
      </c>
      <c r="R24" s="278">
        <f t="shared" si="28"/>
        <v>10879.31</v>
      </c>
      <c r="S24" s="300">
        <f t="shared" si="5"/>
        <v>0</v>
      </c>
      <c r="T24" s="278">
        <f t="shared" si="28"/>
        <v>174009.4</v>
      </c>
      <c r="U24" s="300">
        <f t="shared" si="31"/>
        <v>0</v>
      </c>
      <c r="V24" s="300">
        <f t="shared" si="16"/>
        <v>0</v>
      </c>
      <c r="W24" s="201"/>
      <c r="X24" s="301">
        <f t="shared" si="17"/>
        <v>10989</v>
      </c>
      <c r="Y24" s="300" t="str">
        <f t="shared" si="32"/>
        <v>ok</v>
      </c>
      <c r="Z24" s="300">
        <f t="shared" si="8"/>
        <v>2.680000000000291</v>
      </c>
      <c r="AA24" s="300">
        <f t="shared" si="18"/>
        <v>606.10000000000582</v>
      </c>
      <c r="AB24" s="300">
        <f t="shared" si="19"/>
        <v>226.15671641788805</v>
      </c>
      <c r="AC24" s="300">
        <f t="shared" si="20"/>
        <v>226.15671641788805</v>
      </c>
      <c r="AD24" s="74">
        <f>ELEC!Q24</f>
        <v>2013.9999999992142</v>
      </c>
      <c r="AE24" s="74">
        <f t="shared" si="22"/>
        <v>751.49253731305805</v>
      </c>
      <c r="AF24" s="428">
        <f t="shared" si="23"/>
        <v>0.46968283582066128</v>
      </c>
      <c r="AG24" s="429">
        <f t="shared" si="24"/>
        <v>150.29850746261161</v>
      </c>
      <c r="AH24" s="429">
        <f t="shared" si="21"/>
        <v>75.858208955276439</v>
      </c>
      <c r="AI24" s="74">
        <f t="shared" si="25"/>
        <v>518.37130801667547</v>
      </c>
      <c r="AJ24" s="302">
        <f t="shared" si="9"/>
        <v>0.25738396624472576</v>
      </c>
      <c r="AK24" s="302">
        <f t="shared" si="29"/>
        <v>193.42212985694746</v>
      </c>
    </row>
    <row r="25" spans="1:37">
      <c r="A25" s="4">
        <f>ELEC!C25</f>
        <v>43822</v>
      </c>
      <c r="B25" s="278">
        <v>8483</v>
      </c>
      <c r="C25" s="300">
        <f t="shared" si="11"/>
        <v>2</v>
      </c>
      <c r="D25" s="278">
        <v>118281.3</v>
      </c>
      <c r="E25" s="300">
        <f t="shared" si="12"/>
        <v>449.80000000000291</v>
      </c>
      <c r="F25" s="300">
        <f t="shared" si="0"/>
        <v>224.90000000000146</v>
      </c>
      <c r="G25" s="201"/>
      <c r="H25" s="301">
        <f t="shared" si="13"/>
        <v>8497</v>
      </c>
      <c r="I25" s="300" t="str">
        <f t="shared" si="1"/>
        <v>ok</v>
      </c>
      <c r="J25" s="278">
        <v>10555</v>
      </c>
      <c r="K25" s="300">
        <f t="shared" si="2"/>
        <v>1.7999999999992724</v>
      </c>
      <c r="L25" s="278">
        <v>214396</v>
      </c>
      <c r="M25" s="300">
        <f t="shared" si="3"/>
        <v>241.10000000000582</v>
      </c>
      <c r="N25" s="300">
        <f t="shared" si="14"/>
        <v>133.94444444450181</v>
      </c>
      <c r="O25" s="201"/>
      <c r="P25" s="301">
        <f t="shared" si="15"/>
        <v>10873</v>
      </c>
      <c r="Q25" s="300" t="str">
        <f t="shared" si="30"/>
        <v>ok</v>
      </c>
      <c r="R25" s="278">
        <v>10880</v>
      </c>
      <c r="S25" s="300">
        <f t="shared" si="5"/>
        <v>0.69000000000050932</v>
      </c>
      <c r="T25" s="278">
        <v>174188</v>
      </c>
      <c r="U25" s="300">
        <f t="shared" si="31"/>
        <v>178.60000000000582</v>
      </c>
      <c r="V25" s="300">
        <f t="shared" si="16"/>
        <v>258.8405797099623</v>
      </c>
      <c r="W25" s="201"/>
      <c r="X25" s="301">
        <f t="shared" si="17"/>
        <v>10989</v>
      </c>
      <c r="Y25" s="300" t="str">
        <f t="shared" si="32"/>
        <v>ok</v>
      </c>
      <c r="Z25" s="300">
        <f t="shared" si="8"/>
        <v>4.4899999999997817</v>
      </c>
      <c r="AA25" s="300">
        <f t="shared" si="18"/>
        <v>869.50000000001455</v>
      </c>
      <c r="AB25" s="300">
        <f t="shared" si="19"/>
        <v>617.68502415446551</v>
      </c>
      <c r="AC25" s="300">
        <f t="shared" si="20"/>
        <v>193.6525612472287</v>
      </c>
      <c r="AD25" s="74">
        <f>ELEC!Q25</f>
        <v>3301.9999999996799</v>
      </c>
      <c r="AE25" s="74">
        <f t="shared" si="22"/>
        <v>735.4120267260223</v>
      </c>
      <c r="AF25" s="428">
        <f t="shared" si="23"/>
        <v>0.45963251670376393</v>
      </c>
      <c r="AG25" s="429">
        <f t="shared" si="24"/>
        <v>147.08240534520445</v>
      </c>
      <c r="AH25" s="429">
        <f t="shared" si="21"/>
        <v>46.570155902024254</v>
      </c>
      <c r="AI25" s="74">
        <f t="shared" si="25"/>
        <v>849.8818565400021</v>
      </c>
      <c r="AJ25" s="302">
        <f t="shared" si="9"/>
        <v>0.25738396624472576</v>
      </c>
      <c r="AK25" s="302">
        <f t="shared" si="29"/>
        <v>189.28326426281592</v>
      </c>
    </row>
    <row r="26" spans="1:37">
      <c r="A26" s="4">
        <f>ELEC!C26</f>
        <v>43823</v>
      </c>
      <c r="B26" s="278">
        <v>8483</v>
      </c>
      <c r="C26" s="300">
        <f t="shared" si="11"/>
        <v>0</v>
      </c>
      <c r="D26" s="278">
        <v>118303.8</v>
      </c>
      <c r="E26" s="300">
        <f t="shared" si="12"/>
        <v>22.5</v>
      </c>
      <c r="F26" s="300">
        <f t="shared" si="0"/>
        <v>0</v>
      </c>
      <c r="G26" s="201"/>
      <c r="H26" s="301">
        <f t="shared" si="13"/>
        <v>8497</v>
      </c>
      <c r="I26" s="300" t="str">
        <f t="shared" si="1"/>
        <v>ok</v>
      </c>
      <c r="J26" s="278">
        <v>10558.21</v>
      </c>
      <c r="K26" s="300">
        <f t="shared" si="2"/>
        <v>3.2099999999991269</v>
      </c>
      <c r="L26" s="278">
        <v>214758.3</v>
      </c>
      <c r="M26" s="300">
        <f t="shared" si="3"/>
        <v>362.29999999998836</v>
      </c>
      <c r="N26" s="300">
        <f t="shared" si="14"/>
        <v>112.86604361373423</v>
      </c>
      <c r="O26" s="201"/>
      <c r="P26" s="301">
        <f t="shared" si="15"/>
        <v>10873</v>
      </c>
      <c r="Q26" s="300" t="str">
        <f t="shared" si="30"/>
        <v>ok</v>
      </c>
      <c r="R26" s="278">
        <f t="shared" si="28"/>
        <v>10880</v>
      </c>
      <c r="S26" s="300">
        <f t="shared" si="5"/>
        <v>0</v>
      </c>
      <c r="T26" s="278">
        <f t="shared" si="28"/>
        <v>174188</v>
      </c>
      <c r="U26" s="300">
        <f t="shared" si="31"/>
        <v>0</v>
      </c>
      <c r="V26" s="300">
        <f t="shared" si="16"/>
        <v>0</v>
      </c>
      <c r="W26" s="201"/>
      <c r="X26" s="301">
        <f t="shared" si="17"/>
        <v>10989</v>
      </c>
      <c r="Y26" s="300" t="str">
        <f t="shared" si="32"/>
        <v>ok</v>
      </c>
      <c r="Z26" s="300">
        <f t="shared" si="8"/>
        <v>3.2099999999991269</v>
      </c>
      <c r="AA26" s="300">
        <f t="shared" si="18"/>
        <v>384.79999999998836</v>
      </c>
      <c r="AB26" s="300">
        <f t="shared" si="19"/>
        <v>112.86604361373423</v>
      </c>
      <c r="AC26" s="300">
        <f t="shared" si="20"/>
        <v>119.87538940812867</v>
      </c>
      <c r="AD26" s="74">
        <f>ELEC!Q26</f>
        <v>1984.0000000003783</v>
      </c>
      <c r="AE26" s="74">
        <f t="shared" si="22"/>
        <v>618.06853582583119</v>
      </c>
      <c r="AF26" s="428">
        <f t="shared" si="23"/>
        <v>0.38629283489114452</v>
      </c>
      <c r="AG26" s="429">
        <f t="shared" si="24"/>
        <v>123.61370716516625</v>
      </c>
      <c r="AH26" s="429">
        <f t="shared" si="21"/>
        <v>-3.7383177570375778</v>
      </c>
      <c r="AI26" s="74">
        <f t="shared" si="25"/>
        <v>510.64978902963327</v>
      </c>
      <c r="AJ26" s="302">
        <f t="shared" si="9"/>
        <v>0.25738396624472576</v>
      </c>
      <c r="AK26" s="302">
        <f t="shared" si="29"/>
        <v>159.08093116192279</v>
      </c>
    </row>
    <row r="27" spans="1:37">
      <c r="A27" s="4">
        <f>ELEC!C27</f>
        <v>43824</v>
      </c>
      <c r="B27" s="278">
        <v>8484.32</v>
      </c>
      <c r="C27" s="300">
        <f t="shared" si="11"/>
        <v>1.319999999999709</v>
      </c>
      <c r="D27" s="278">
        <v>118364.7</v>
      </c>
      <c r="E27" s="300">
        <f t="shared" si="12"/>
        <v>60.899999999994179</v>
      </c>
      <c r="F27" s="300">
        <f t="shared" si="0"/>
        <v>46.136363636369396</v>
      </c>
      <c r="G27" s="201"/>
      <c r="H27" s="301">
        <f t="shared" si="13"/>
        <v>8497</v>
      </c>
      <c r="I27" s="300" t="str">
        <f>IF(B27-H27&lt;=0,"ok","oil change")</f>
        <v>ok</v>
      </c>
      <c r="J27" s="278">
        <v>10561</v>
      </c>
      <c r="K27" s="300">
        <f t="shared" si="2"/>
        <v>2.7900000000008731</v>
      </c>
      <c r="L27" s="278">
        <v>215074</v>
      </c>
      <c r="M27" s="300">
        <f t="shared" si="3"/>
        <v>315.70000000001164</v>
      </c>
      <c r="N27" s="300">
        <f t="shared" si="14"/>
        <v>113.15412186376804</v>
      </c>
      <c r="O27" s="201"/>
      <c r="P27" s="301">
        <f t="shared" si="15"/>
        <v>10873</v>
      </c>
      <c r="Q27" s="300" t="str">
        <f t="shared" si="30"/>
        <v>ok</v>
      </c>
      <c r="R27" s="278">
        <v>10880</v>
      </c>
      <c r="S27" s="300">
        <f t="shared" si="5"/>
        <v>0</v>
      </c>
      <c r="T27" s="278">
        <f t="shared" si="28"/>
        <v>174188</v>
      </c>
      <c r="U27" s="300">
        <f t="shared" si="31"/>
        <v>0</v>
      </c>
      <c r="V27" s="300">
        <f t="shared" si="16"/>
        <v>0</v>
      </c>
      <c r="W27" s="201"/>
      <c r="X27" s="301">
        <f t="shared" si="17"/>
        <v>10989</v>
      </c>
      <c r="Y27" s="300" t="str">
        <f t="shared" si="32"/>
        <v>ok</v>
      </c>
      <c r="Z27" s="300">
        <f t="shared" si="8"/>
        <v>4.1100000000005821</v>
      </c>
      <c r="AA27" s="300">
        <f t="shared" si="18"/>
        <v>376.60000000000582</v>
      </c>
      <c r="AB27" s="300">
        <f t="shared" si="19"/>
        <v>159.29048550013744</v>
      </c>
      <c r="AC27" s="300">
        <f t="shared" si="20"/>
        <v>91.630170316290148</v>
      </c>
      <c r="AD27" s="74">
        <f>ELEC!Q27</f>
        <v>3000</v>
      </c>
      <c r="AE27" s="74">
        <f t="shared" si="22"/>
        <v>729.92700729916669</v>
      </c>
      <c r="AF27" s="428">
        <f t="shared" si="23"/>
        <v>0.45620437956197918</v>
      </c>
      <c r="AG27" s="429">
        <f t="shared" si="24"/>
        <v>145.98540145983333</v>
      </c>
      <c r="AH27" s="429">
        <f t="shared" si="21"/>
        <v>-54.355231143543179</v>
      </c>
      <c r="AI27" s="74">
        <f t="shared" si="25"/>
        <v>772.15189873417728</v>
      </c>
      <c r="AJ27" s="302">
        <f t="shared" si="9"/>
        <v>0.25738396624472576</v>
      </c>
      <c r="AK27" s="302">
        <f t="shared" si="29"/>
        <v>187.87150820780241</v>
      </c>
    </row>
    <row r="28" spans="1:37">
      <c r="A28" s="4">
        <f>ELEC!C28</f>
        <v>43825</v>
      </c>
      <c r="B28" s="278">
        <v>8484</v>
      </c>
      <c r="C28" s="300">
        <f t="shared" si="11"/>
        <v>-0.31999999999970896</v>
      </c>
      <c r="D28" s="278">
        <v>118411</v>
      </c>
      <c r="E28" s="300">
        <f t="shared" si="12"/>
        <v>46.30000000000291</v>
      </c>
      <c r="F28" s="300">
        <f t="shared" si="0"/>
        <v>0</v>
      </c>
      <c r="G28" s="298"/>
      <c r="H28" s="301">
        <f t="shared" si="13"/>
        <v>8497</v>
      </c>
      <c r="I28" s="300" t="str">
        <f t="shared" si="1"/>
        <v>ok</v>
      </c>
      <c r="J28" s="278">
        <v>10565</v>
      </c>
      <c r="K28" s="300">
        <f t="shared" si="2"/>
        <v>4</v>
      </c>
      <c r="L28" s="278">
        <v>215628</v>
      </c>
      <c r="M28" s="300">
        <f t="shared" si="3"/>
        <v>554</v>
      </c>
      <c r="N28" s="300">
        <f t="shared" si="14"/>
        <v>138.5</v>
      </c>
      <c r="O28" s="201"/>
      <c r="P28" s="301">
        <f t="shared" si="15"/>
        <v>10873</v>
      </c>
      <c r="Q28" s="300" t="str">
        <f t="shared" si="30"/>
        <v>ok</v>
      </c>
      <c r="R28" s="278">
        <v>10881</v>
      </c>
      <c r="S28" s="300">
        <f t="shared" si="5"/>
        <v>1</v>
      </c>
      <c r="T28" s="278">
        <v>174478</v>
      </c>
      <c r="U28" s="300">
        <f t="shared" si="31"/>
        <v>290</v>
      </c>
      <c r="V28" s="300">
        <f t="shared" si="16"/>
        <v>290</v>
      </c>
      <c r="W28" s="201"/>
      <c r="X28" s="301">
        <f t="shared" si="17"/>
        <v>10989</v>
      </c>
      <c r="Y28" s="300" t="str">
        <f t="shared" si="32"/>
        <v>ok</v>
      </c>
      <c r="Z28" s="300">
        <f t="shared" si="8"/>
        <v>4.680000000000291</v>
      </c>
      <c r="AA28" s="300">
        <f t="shared" si="18"/>
        <v>890.30000000000291</v>
      </c>
      <c r="AB28" s="300">
        <f t="shared" si="19"/>
        <v>428.5</v>
      </c>
      <c r="AC28" s="300">
        <f t="shared" si="20"/>
        <v>190.23504273503153</v>
      </c>
      <c r="AD28" s="74">
        <f>ELEC!Q28</f>
        <v>3176.9999999996799</v>
      </c>
      <c r="AE28" s="74">
        <f t="shared" si="22"/>
        <v>678.84615384604319</v>
      </c>
      <c r="AF28" s="428">
        <f t="shared" si="23"/>
        <v>0.42427884615377698</v>
      </c>
      <c r="AG28" s="429">
        <f t="shared" si="24"/>
        <v>135.76923076920863</v>
      </c>
      <c r="AH28" s="429">
        <f t="shared" si="21"/>
        <v>54.465811965822894</v>
      </c>
      <c r="AI28" s="74">
        <f t="shared" si="25"/>
        <v>817.70886075941132</v>
      </c>
      <c r="AJ28" s="302">
        <f t="shared" si="9"/>
        <v>0.25738396624472576</v>
      </c>
      <c r="AK28" s="302">
        <f t="shared" si="29"/>
        <v>174.7241155468719</v>
      </c>
    </row>
    <row r="29" spans="1:37">
      <c r="A29" s="4">
        <f>ELEC!C29</f>
        <v>43826</v>
      </c>
      <c r="B29" s="278">
        <v>8485</v>
      </c>
      <c r="C29" s="300">
        <f t="shared" si="11"/>
        <v>1</v>
      </c>
      <c r="D29" s="278">
        <v>118482</v>
      </c>
      <c r="E29" s="300">
        <f>SUM(D29-D28)</f>
        <v>71</v>
      </c>
      <c r="F29" s="300">
        <f t="shared" si="0"/>
        <v>71</v>
      </c>
      <c r="G29" s="201"/>
      <c r="H29" s="301">
        <f t="shared" si="13"/>
        <v>8497</v>
      </c>
      <c r="I29" s="300" t="str">
        <f t="shared" si="1"/>
        <v>ok</v>
      </c>
      <c r="J29" s="278">
        <v>10571</v>
      </c>
      <c r="K29" s="300">
        <f t="shared" si="2"/>
        <v>6</v>
      </c>
      <c r="L29" s="278">
        <v>216723</v>
      </c>
      <c r="M29" s="300">
        <f t="shared" si="3"/>
        <v>1095</v>
      </c>
      <c r="N29" s="300">
        <f t="shared" si="14"/>
        <v>182.5</v>
      </c>
      <c r="O29" s="201"/>
      <c r="P29" s="301">
        <f t="shared" si="15"/>
        <v>10873</v>
      </c>
      <c r="Q29" s="300" t="str">
        <f t="shared" si="30"/>
        <v>ok</v>
      </c>
      <c r="R29" s="278">
        <v>10882.35</v>
      </c>
      <c r="S29" s="300">
        <f t="shared" si="5"/>
        <v>1.3500000000003638</v>
      </c>
      <c r="T29" s="278">
        <v>174781</v>
      </c>
      <c r="U29" s="300">
        <f t="shared" si="31"/>
        <v>303</v>
      </c>
      <c r="V29" s="300">
        <f t="shared" si="16"/>
        <v>224.44444444438395</v>
      </c>
      <c r="W29" s="201"/>
      <c r="X29" s="301">
        <f t="shared" si="17"/>
        <v>10989</v>
      </c>
      <c r="Y29" s="300" t="str">
        <f t="shared" si="32"/>
        <v>ok</v>
      </c>
      <c r="Z29" s="300">
        <f t="shared" si="8"/>
        <v>8.3500000000003638</v>
      </c>
      <c r="AA29" s="300">
        <f t="shared" si="18"/>
        <v>1469</v>
      </c>
      <c r="AB29" s="300">
        <f t="shared" si="19"/>
        <v>477.94444444438398</v>
      </c>
      <c r="AC29" s="300">
        <f t="shared" si="20"/>
        <v>175.92814371256719</v>
      </c>
      <c r="AD29" s="74">
        <f>ELEC!Q29</f>
        <v>3823.0000000003201</v>
      </c>
      <c r="AE29" s="74">
        <f t="shared" si="22"/>
        <v>457.84431137726392</v>
      </c>
      <c r="AF29" s="428">
        <f t="shared" si="23"/>
        <v>0.28615269461078996</v>
      </c>
      <c r="AG29" s="429">
        <f t="shared" si="24"/>
        <v>91.568862275452787</v>
      </c>
      <c r="AH29" s="429">
        <f t="shared" si="21"/>
        <v>84.359281437114404</v>
      </c>
      <c r="AI29" s="74">
        <f t="shared" si="25"/>
        <v>983.97890295366892</v>
      </c>
      <c r="AJ29" s="302">
        <f t="shared" si="9"/>
        <v>0.25738396624472576</v>
      </c>
      <c r="AK29" s="302">
        <f t="shared" si="29"/>
        <v>117.8417847848654</v>
      </c>
    </row>
    <row r="30" spans="1:37">
      <c r="A30" s="4">
        <f>ELEC!C30</f>
        <v>43827</v>
      </c>
      <c r="B30" s="278">
        <f t="shared" ref="B30:D32" si="33">B29</f>
        <v>8485</v>
      </c>
      <c r="C30" s="300">
        <f t="shared" si="11"/>
        <v>0</v>
      </c>
      <c r="D30" s="278">
        <f t="shared" si="33"/>
        <v>118482</v>
      </c>
      <c r="E30" s="300">
        <f t="shared" si="12"/>
        <v>0</v>
      </c>
      <c r="F30" s="300">
        <f t="shared" si="0"/>
        <v>0</v>
      </c>
      <c r="G30" s="201"/>
      <c r="H30" s="301">
        <f t="shared" si="13"/>
        <v>8497</v>
      </c>
      <c r="I30" s="300" t="str">
        <f t="shared" si="1"/>
        <v>ok</v>
      </c>
      <c r="J30" s="278">
        <v>10575</v>
      </c>
      <c r="K30" s="300">
        <f t="shared" si="2"/>
        <v>4</v>
      </c>
      <c r="L30" s="278">
        <v>217060.8</v>
      </c>
      <c r="M30" s="300">
        <f t="shared" si="3"/>
        <v>337.79999999998836</v>
      </c>
      <c r="N30" s="300">
        <f t="shared" si="14"/>
        <v>84.44999999999709</v>
      </c>
      <c r="O30" s="201"/>
      <c r="P30" s="301">
        <f t="shared" si="15"/>
        <v>10873</v>
      </c>
      <c r="Q30" s="300" t="str">
        <f t="shared" si="30"/>
        <v>ok</v>
      </c>
      <c r="R30" s="278">
        <f t="shared" si="28"/>
        <v>10882.35</v>
      </c>
      <c r="S30" s="300">
        <f t="shared" si="5"/>
        <v>0</v>
      </c>
      <c r="T30" s="278">
        <f t="shared" si="28"/>
        <v>174781</v>
      </c>
      <c r="U30" s="300">
        <f t="shared" si="31"/>
        <v>0</v>
      </c>
      <c r="V30" s="300">
        <f t="shared" si="16"/>
        <v>0</v>
      </c>
      <c r="W30" s="298"/>
      <c r="X30" s="301">
        <f t="shared" si="17"/>
        <v>10989</v>
      </c>
      <c r="Y30" s="300" t="str">
        <f t="shared" si="32"/>
        <v>ok</v>
      </c>
      <c r="Z30" s="300">
        <f t="shared" si="8"/>
        <v>4</v>
      </c>
      <c r="AA30" s="300">
        <f t="shared" si="18"/>
        <v>337.79999999998836</v>
      </c>
      <c r="AB30" s="300">
        <f t="shared" si="19"/>
        <v>84.44999999999709</v>
      </c>
      <c r="AC30" s="300">
        <f t="shared" si="20"/>
        <v>84.44999999999709</v>
      </c>
      <c r="AD30" s="74">
        <f>ELEC!Q30</f>
        <v>3000</v>
      </c>
      <c r="AE30" s="74">
        <f t="shared" si="22"/>
        <v>750</v>
      </c>
      <c r="AF30" s="428">
        <f t="shared" si="23"/>
        <v>0.46875</v>
      </c>
      <c r="AG30" s="429">
        <f t="shared" si="24"/>
        <v>150</v>
      </c>
      <c r="AH30" s="429">
        <f t="shared" si="21"/>
        <v>-65.55000000000291</v>
      </c>
      <c r="AI30" s="74">
        <f t="shared" si="25"/>
        <v>772.15189873417728</v>
      </c>
      <c r="AJ30" s="302">
        <f t="shared" si="9"/>
        <v>0.25738396624472576</v>
      </c>
      <c r="AK30" s="302">
        <f t="shared" si="29"/>
        <v>193.03797468354432</v>
      </c>
    </row>
    <row r="31" spans="1:37">
      <c r="A31" s="4">
        <f>ELEC!C31</f>
        <v>43828</v>
      </c>
      <c r="B31" s="278">
        <v>8485</v>
      </c>
      <c r="C31" s="300">
        <f t="shared" si="11"/>
        <v>0</v>
      </c>
      <c r="D31" s="278">
        <v>118538</v>
      </c>
      <c r="E31" s="300">
        <f t="shared" si="12"/>
        <v>56</v>
      </c>
      <c r="F31" s="300">
        <f t="shared" si="0"/>
        <v>0</v>
      </c>
      <c r="G31" s="201"/>
      <c r="H31" s="301">
        <f t="shared" si="13"/>
        <v>8497</v>
      </c>
      <c r="I31" s="300" t="str">
        <f t="shared" si="1"/>
        <v>ok</v>
      </c>
      <c r="J31" s="278">
        <v>10579</v>
      </c>
      <c r="K31" s="300">
        <f t="shared" si="2"/>
        <v>4</v>
      </c>
      <c r="L31" s="278">
        <v>217642</v>
      </c>
      <c r="M31" s="300">
        <f t="shared" si="3"/>
        <v>581.20000000001164</v>
      </c>
      <c r="N31" s="300">
        <f t="shared" si="14"/>
        <v>145.30000000000291</v>
      </c>
      <c r="O31" s="201"/>
      <c r="P31" s="301">
        <f t="shared" si="15"/>
        <v>10873</v>
      </c>
      <c r="Q31" s="300" t="str">
        <f t="shared" si="30"/>
        <v>ok</v>
      </c>
      <c r="R31" s="278">
        <v>10883</v>
      </c>
      <c r="S31" s="300">
        <f t="shared" si="5"/>
        <v>0.6499999999996362</v>
      </c>
      <c r="T31" s="278">
        <v>174951.6</v>
      </c>
      <c r="U31" s="300">
        <f t="shared" si="31"/>
        <v>170.60000000000582</v>
      </c>
      <c r="V31" s="300">
        <f t="shared" si="16"/>
        <v>262.46153846169432</v>
      </c>
      <c r="W31" s="201"/>
      <c r="X31" s="301">
        <f t="shared" si="17"/>
        <v>10989</v>
      </c>
      <c r="Y31" s="300" t="str">
        <f t="shared" si="32"/>
        <v>ok</v>
      </c>
      <c r="Z31" s="300">
        <f t="shared" si="8"/>
        <v>4.6499999999996362</v>
      </c>
      <c r="AA31" s="300">
        <f t="shared" si="18"/>
        <v>807.80000000001746</v>
      </c>
      <c r="AB31" s="300">
        <f t="shared" si="19"/>
        <v>407.76153846169723</v>
      </c>
      <c r="AC31" s="300">
        <f t="shared" si="20"/>
        <v>173.72043010754422</v>
      </c>
      <c r="AD31" s="74">
        <f>ELEC!Q31</f>
        <v>3677.9999999998836</v>
      </c>
      <c r="AE31" s="74">
        <f t="shared" si="22"/>
        <v>790.96774193552073</v>
      </c>
      <c r="AF31" s="428">
        <f t="shared" si="23"/>
        <v>0.49435483870970048</v>
      </c>
      <c r="AG31" s="429">
        <f t="shared" si="24"/>
        <v>158.19354838710416</v>
      </c>
      <c r="AH31" s="429">
        <f t="shared" si="21"/>
        <v>15.526881720440059</v>
      </c>
      <c r="AI31" s="74">
        <f t="shared" si="25"/>
        <v>946.65822784807142</v>
      </c>
      <c r="AJ31" s="302">
        <f t="shared" si="9"/>
        <v>0.25738396624472576</v>
      </c>
      <c r="AK31" s="302">
        <f t="shared" si="29"/>
        <v>203.58241459099904</v>
      </c>
    </row>
    <row r="32" spans="1:37">
      <c r="A32" s="4">
        <f>ELEC!C32</f>
        <v>43829</v>
      </c>
      <c r="B32" s="278">
        <f t="shared" si="33"/>
        <v>8485</v>
      </c>
      <c r="C32" s="300">
        <f t="shared" si="11"/>
        <v>0</v>
      </c>
      <c r="D32" s="278">
        <f t="shared" si="33"/>
        <v>118538</v>
      </c>
      <c r="E32" s="300">
        <f t="shared" si="12"/>
        <v>0</v>
      </c>
      <c r="F32" s="300">
        <f t="shared" si="0"/>
        <v>0</v>
      </c>
      <c r="G32" s="201"/>
      <c r="H32" s="301">
        <f t="shared" si="13"/>
        <v>8497</v>
      </c>
      <c r="I32" s="300" t="str">
        <f t="shared" si="1"/>
        <v>ok</v>
      </c>
      <c r="J32" s="278">
        <v>10583</v>
      </c>
      <c r="K32" s="300">
        <f>J32-J31</f>
        <v>4</v>
      </c>
      <c r="L32" s="278">
        <v>218125.9</v>
      </c>
      <c r="M32" s="300">
        <f t="shared" si="3"/>
        <v>483.89999999999418</v>
      </c>
      <c r="N32" s="300">
        <f t="shared" si="14"/>
        <v>120.97499999999854</v>
      </c>
      <c r="O32" s="201"/>
      <c r="P32" s="301">
        <f t="shared" si="15"/>
        <v>10873</v>
      </c>
      <c r="Q32" s="300" t="str">
        <f t="shared" si="30"/>
        <v>ok</v>
      </c>
      <c r="R32" s="278">
        <f t="shared" si="28"/>
        <v>10883</v>
      </c>
      <c r="S32" s="300">
        <f t="shared" si="5"/>
        <v>0</v>
      </c>
      <c r="T32" s="278">
        <f t="shared" si="28"/>
        <v>174951.6</v>
      </c>
      <c r="U32" s="300">
        <f t="shared" si="31"/>
        <v>0</v>
      </c>
      <c r="V32" s="300">
        <f t="shared" si="16"/>
        <v>0</v>
      </c>
      <c r="W32" s="201"/>
      <c r="X32" s="301">
        <f t="shared" si="17"/>
        <v>10989</v>
      </c>
      <c r="Y32" s="300" t="str">
        <f t="shared" si="32"/>
        <v>ok</v>
      </c>
      <c r="Z32" s="300">
        <f t="shared" si="8"/>
        <v>4</v>
      </c>
      <c r="AA32" s="300">
        <f t="shared" si="18"/>
        <v>483.89999999999418</v>
      </c>
      <c r="AB32" s="300">
        <f t="shared" si="19"/>
        <v>120.97499999999854</v>
      </c>
      <c r="AC32" s="300">
        <f t="shared" si="20"/>
        <v>120.97499999999854</v>
      </c>
      <c r="AD32" s="74">
        <f>ELEC!Q32</f>
        <v>3027.0000000000437</v>
      </c>
      <c r="AE32" s="74">
        <f t="shared" si="22"/>
        <v>756.75000000001091</v>
      </c>
      <c r="AF32" s="428">
        <f t="shared" si="23"/>
        <v>0.47296875000000682</v>
      </c>
      <c r="AG32" s="429">
        <f t="shared" si="24"/>
        <v>151.35000000000218</v>
      </c>
      <c r="AH32" s="429">
        <f t="shared" si="21"/>
        <v>-30.375000000003638</v>
      </c>
      <c r="AI32" s="74">
        <f t="shared" si="25"/>
        <v>779.10126582279611</v>
      </c>
      <c r="AJ32" s="302">
        <f t="shared" si="9"/>
        <v>0.25738396624472576</v>
      </c>
      <c r="AK32" s="302">
        <f t="shared" si="29"/>
        <v>194.77531645569903</v>
      </c>
    </row>
    <row r="33" spans="1:37">
      <c r="A33" s="4">
        <f>ELEC!C33</f>
        <v>43830</v>
      </c>
      <c r="B33" s="278">
        <v>8486</v>
      </c>
      <c r="C33" s="300">
        <f>B33-B32</f>
        <v>1</v>
      </c>
      <c r="D33" s="278">
        <v>118621.7</v>
      </c>
      <c r="E33" s="300">
        <f>SUM(D33-D32)</f>
        <v>83.69999999999709</v>
      </c>
      <c r="F33" s="300">
        <f>IF(C33&gt;0,E33/C33,0)</f>
        <v>83.69999999999709</v>
      </c>
      <c r="G33" s="358"/>
      <c r="H33" s="301">
        <f t="shared" si="13"/>
        <v>8497</v>
      </c>
      <c r="I33" s="300" t="str">
        <f>IF(B33-H33&lt;=0,"ok","oil change")</f>
        <v>ok</v>
      </c>
      <c r="J33" s="278">
        <v>10588</v>
      </c>
      <c r="K33" s="300">
        <f>J33-J32</f>
        <v>5</v>
      </c>
      <c r="L33" s="278">
        <v>218633</v>
      </c>
      <c r="M33" s="300">
        <f t="shared" si="3"/>
        <v>507.10000000000582</v>
      </c>
      <c r="N33" s="300">
        <f>IF(K33&gt;0,M33/K33,0)</f>
        <v>101.42000000000117</v>
      </c>
      <c r="O33" s="358"/>
      <c r="P33" s="301">
        <f t="shared" si="15"/>
        <v>10873</v>
      </c>
      <c r="Q33" s="300" t="str">
        <f>IF(J33-P33&lt;=0,"ok","oil change")</f>
        <v>ok</v>
      </c>
      <c r="R33" s="278">
        <v>10884</v>
      </c>
      <c r="S33" s="300">
        <f>R33-R32</f>
        <v>1</v>
      </c>
      <c r="T33" s="278">
        <v>175184.2</v>
      </c>
      <c r="U33" s="300">
        <f>SUM(T33-T32)</f>
        <v>232.60000000000582</v>
      </c>
      <c r="V33" s="300">
        <f>IF(S33&gt;0,U33/S33,0)</f>
        <v>232.60000000000582</v>
      </c>
      <c r="W33" s="358"/>
      <c r="X33" s="301">
        <f t="shared" si="17"/>
        <v>10989</v>
      </c>
      <c r="Y33" s="300" t="str">
        <f>IF(R33-X33&lt;=0,"ok","oil change")</f>
        <v>ok</v>
      </c>
      <c r="Z33" s="300">
        <f>C33+K33+S33</f>
        <v>7</v>
      </c>
      <c r="AA33" s="300">
        <f>U33+M33+E33</f>
        <v>823.40000000000873</v>
      </c>
      <c r="AB33" s="300">
        <f>V33+N33+F33</f>
        <v>417.72000000000406</v>
      </c>
      <c r="AC33" s="300">
        <f>IF(Z33&gt;0,AA33/Z33,0)</f>
        <v>117.62857142857267</v>
      </c>
      <c r="AD33" s="74">
        <f>ELEC!Q33</f>
        <v>3495.0000000008004</v>
      </c>
      <c r="AE33" s="74">
        <f>SUM(AD33/Z33)</f>
        <v>499.28571428582865</v>
      </c>
      <c r="AF33" s="428">
        <f>SUM(AE33/1600)</f>
        <v>0.31205357142864293</v>
      </c>
      <c r="AG33" s="429">
        <f>SUM(320*AF33)</f>
        <v>99.857142857165741</v>
      </c>
      <c r="AH33" s="429">
        <f>SUM(AC33-AG33)</f>
        <v>17.771428571406929</v>
      </c>
      <c r="AI33" s="74">
        <f t="shared" si="25"/>
        <v>899.55696202552258</v>
      </c>
      <c r="AJ33" s="302">
        <f t="shared" si="9"/>
        <v>0.25738396624472576</v>
      </c>
      <c r="AK33" s="302">
        <f t="shared" si="29"/>
        <v>128.50813743221752</v>
      </c>
    </row>
    <row r="34" spans="1:37">
      <c r="H34" s="39"/>
      <c r="I34" s="275"/>
      <c r="M34" s="39"/>
      <c r="N34" s="39"/>
      <c r="O34" s="39"/>
      <c r="P34" s="83">
        <f>+O34/3</f>
        <v>0</v>
      </c>
      <c r="S34" s="39"/>
      <c r="T34" s="39"/>
      <c r="U34" s="40">
        <f>SUM(C35:S35)</f>
        <v>120.30999999999949</v>
      </c>
      <c r="V34" s="40"/>
      <c r="X34">
        <v>341</v>
      </c>
      <c r="Z34" s="447">
        <f>SUM(Z3:Z33)</f>
        <v>120.30999999999949</v>
      </c>
    </row>
    <row r="35" spans="1:37">
      <c r="C35" s="40">
        <f>SUM(C3:C33)</f>
        <v>64</v>
      </c>
      <c r="K35" s="40">
        <f>SUM(K3:K33)</f>
        <v>34.799999999999272</v>
      </c>
      <c r="S35" s="40">
        <f>SUM(S3:S33)</f>
        <v>21.510000000000218</v>
      </c>
      <c r="U35" s="40"/>
      <c r="V35" s="40"/>
      <c r="X35" s="40"/>
    </row>
  </sheetData>
  <conditionalFormatting sqref="C3:C33 K3:K33 S3:S33 Z3:Z33">
    <cfRule type="cellIs" dxfId="4" priority="10" stopIfTrue="1" operator="equal">
      <formula>0</formula>
    </cfRule>
  </conditionalFormatting>
  <conditionalFormatting sqref="AA3:AB33">
    <cfRule type="cellIs" dxfId="3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M75"/>
  <sheetViews>
    <sheetView topLeftCell="AS1" zoomScaleNormal="100" workbookViewId="0">
      <pane ySplit="3" topLeftCell="A22" activePane="bottomLeft" state="frozen"/>
      <selection pane="bottomLeft" activeCell="AO36" sqref="AO3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51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1" style="351" customWidth="1"/>
    <col min="11" max="11" width="13.5703125" style="1" customWidth="1"/>
    <col min="12" max="12" width="13.28515625" style="1" customWidth="1"/>
    <col min="13" max="13" width="10.7109375" style="541" customWidth="1"/>
    <col min="14" max="14" width="6.28515625" style="543" customWidth="1"/>
    <col min="15" max="15" width="7.5703125" style="541" customWidth="1"/>
    <col min="16" max="16" width="5.5703125" style="543" customWidth="1"/>
    <col min="17" max="17" width="7.85546875" style="541" customWidth="1"/>
    <col min="18" max="18" width="3.85546875" style="541" customWidth="1"/>
    <col min="19" max="19" width="6.28515625" style="541" customWidth="1"/>
    <col min="20" max="20" width="9" style="431" customWidth="1"/>
    <col min="21" max="21" width="7.140625" style="435" customWidth="1"/>
    <col min="22" max="22" width="9.7109375" style="341" customWidth="1"/>
    <col min="23" max="23" width="6.85546875" style="341" customWidth="1"/>
    <col min="24" max="25" width="8.42578125" style="341" customWidth="1"/>
    <col min="26" max="26" width="9.7109375" style="341" customWidth="1"/>
    <col min="27" max="27" width="8.5703125" style="341" customWidth="1"/>
    <col min="28" max="28" width="10.42578125" style="341" customWidth="1"/>
    <col min="29" max="29" width="6.42578125" style="341" customWidth="1"/>
    <col min="30" max="30" width="4.140625" style="341" customWidth="1"/>
    <col min="31" max="31" width="6.7109375" style="341" customWidth="1"/>
    <col min="32" max="32" width="6.42578125" style="341" customWidth="1"/>
    <col min="33" max="33" width="11.28515625" style="341" customWidth="1"/>
    <col min="34" max="36" width="9.7109375" style="341" customWidth="1"/>
    <col min="37" max="37" width="7.42578125" style="341" customWidth="1"/>
    <col min="38" max="39" width="8.7109375" style="341" customWidth="1"/>
    <col min="40" max="40" width="5.7109375" style="1" customWidth="1"/>
    <col min="41" max="41" width="5.140625" customWidth="1"/>
    <col min="42" max="42" width="8.28515625" customWidth="1"/>
    <col min="43" max="43" width="8.7109375" bestFit="1" customWidth="1"/>
    <col min="44" max="44" width="11.7109375" bestFit="1" customWidth="1"/>
    <col min="45" max="45" width="7.28515625" customWidth="1"/>
    <col min="46" max="46" width="10.28515625" bestFit="1" customWidth="1"/>
    <col min="47" max="47" width="9.42578125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0.7109375" customWidth="1"/>
    <col min="55" max="55" width="11.140625" customWidth="1"/>
    <col min="56" max="56" width="10" customWidth="1"/>
    <col min="57" max="57" width="10.28515625" customWidth="1"/>
    <col min="58" max="58" width="8.7109375" customWidth="1"/>
    <col min="59" max="59" width="7.7109375" customWidth="1"/>
  </cols>
  <sheetData>
    <row r="1" spans="1:65" s="382" customFormat="1" ht="15.75" thickBot="1">
      <c r="B1" s="383"/>
      <c r="C1" s="383"/>
      <c r="D1" s="442">
        <f>SUM(G21:G35)</f>
        <v>8758981</v>
      </c>
      <c r="E1" s="384"/>
      <c r="F1" s="384"/>
      <c r="G1" s="383"/>
      <c r="H1" s="383"/>
      <c r="I1" s="383"/>
      <c r="J1" s="384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5"/>
      <c r="W1" s="385"/>
      <c r="X1" s="385"/>
      <c r="Y1" s="385"/>
      <c r="Z1" s="385"/>
      <c r="AA1" s="385"/>
      <c r="AB1" s="385"/>
      <c r="AC1" s="385"/>
      <c r="AD1" s="385"/>
      <c r="AE1" s="385"/>
      <c r="AF1" s="385"/>
      <c r="AG1" s="385"/>
      <c r="AH1" s="385"/>
      <c r="AI1" s="385"/>
      <c r="AJ1" s="385"/>
      <c r="AK1" s="385"/>
      <c r="AL1" s="385"/>
      <c r="AM1" s="385"/>
      <c r="AN1" s="383"/>
      <c r="AR1" s="386" t="s">
        <v>92</v>
      </c>
      <c r="AS1" s="387"/>
      <c r="AT1" s="387" t="s">
        <v>60</v>
      </c>
      <c r="AU1" s="387"/>
      <c r="AV1" s="388" t="s">
        <v>61</v>
      </c>
    </row>
    <row r="2" spans="1:65" s="382" customFormat="1" ht="15.75" customHeight="1" thickBot="1">
      <c r="B2" s="383"/>
      <c r="C2" s="383"/>
      <c r="D2" s="383"/>
      <c r="E2" s="384"/>
      <c r="F2" s="384"/>
      <c r="G2" s="383"/>
      <c r="H2" s="383"/>
      <c r="I2" s="383"/>
      <c r="J2" s="384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5"/>
      <c r="W2" s="385"/>
      <c r="X2" s="385"/>
      <c r="Y2" s="385"/>
      <c r="Z2" s="385"/>
      <c r="AA2" s="385"/>
      <c r="AB2" s="385"/>
      <c r="AC2" s="385"/>
      <c r="AD2" s="385"/>
      <c r="AE2" s="385"/>
      <c r="AF2" s="385"/>
      <c r="AG2" s="385"/>
      <c r="AH2" s="385"/>
      <c r="AI2" s="385"/>
      <c r="AJ2" s="385"/>
      <c r="AK2" s="385"/>
      <c r="AL2" s="385"/>
      <c r="AM2" s="385"/>
      <c r="AN2" s="383"/>
      <c r="AR2" s="599" t="s">
        <v>95</v>
      </c>
      <c r="AS2" s="600"/>
      <c r="AT2" s="600"/>
      <c r="AU2" s="600"/>
      <c r="AV2" s="601"/>
      <c r="AW2" s="599" t="s">
        <v>96</v>
      </c>
      <c r="AX2" s="600"/>
      <c r="AY2" s="601"/>
      <c r="AZ2" s="599" t="s">
        <v>98</v>
      </c>
      <c r="BA2" s="600"/>
      <c r="BB2" s="601"/>
      <c r="BC2" s="389"/>
      <c r="BE2" s="390"/>
    </row>
    <row r="3" spans="1:65" s="382" customFormat="1" ht="48" customHeight="1" thickBot="1">
      <c r="A3" s="391" t="s">
        <v>51</v>
      </c>
      <c r="B3" s="392" t="s">
        <v>52</v>
      </c>
      <c r="C3" s="392" t="s">
        <v>53</v>
      </c>
      <c r="D3" s="392" t="s">
        <v>54</v>
      </c>
      <c r="E3" s="393"/>
      <c r="F3" s="394" t="s">
        <v>80</v>
      </c>
      <c r="G3" s="392" t="s">
        <v>55</v>
      </c>
      <c r="H3" s="392" t="s">
        <v>56</v>
      </c>
      <c r="I3" s="392" t="s">
        <v>100</v>
      </c>
      <c r="J3" s="393"/>
      <c r="K3" s="392" t="s">
        <v>396</v>
      </c>
      <c r="L3" s="395" t="s">
        <v>330</v>
      </c>
      <c r="M3" s="571" t="s">
        <v>403</v>
      </c>
      <c r="N3" s="572"/>
      <c r="O3" s="573" t="s">
        <v>404</v>
      </c>
      <c r="P3" s="573"/>
      <c r="Q3" s="573" t="s">
        <v>400</v>
      </c>
      <c r="R3" s="573" t="s">
        <v>402</v>
      </c>
      <c r="S3" s="573" t="s">
        <v>401</v>
      </c>
      <c r="T3" s="392" t="s">
        <v>383</v>
      </c>
      <c r="U3" s="392" t="s">
        <v>385</v>
      </c>
      <c r="V3" s="396" t="s">
        <v>334</v>
      </c>
      <c r="W3" s="397" t="s">
        <v>335</v>
      </c>
      <c r="X3" s="396" t="s">
        <v>338</v>
      </c>
      <c r="Y3" s="397" t="s">
        <v>339</v>
      </c>
      <c r="Z3" s="398" t="s">
        <v>340</v>
      </c>
      <c r="AA3" s="399" t="s">
        <v>399</v>
      </c>
      <c r="AB3" s="478" t="s">
        <v>398</v>
      </c>
      <c r="AC3" s="476" t="s">
        <v>397</v>
      </c>
      <c r="AD3" s="476"/>
      <c r="AE3" s="400" t="s">
        <v>408</v>
      </c>
      <c r="AF3" s="400" t="s">
        <v>409</v>
      </c>
      <c r="AG3" s="400" t="s">
        <v>410</v>
      </c>
      <c r="AH3" s="400" t="s">
        <v>411</v>
      </c>
      <c r="AI3" s="399" t="s">
        <v>412</v>
      </c>
      <c r="AJ3" s="399" t="s">
        <v>341</v>
      </c>
      <c r="AK3" s="400" t="s">
        <v>343</v>
      </c>
      <c r="AL3" s="400" t="s">
        <v>342</v>
      </c>
      <c r="AM3" s="401" t="s">
        <v>125</v>
      </c>
      <c r="AN3" s="596" t="s">
        <v>126</v>
      </c>
      <c r="AO3" s="597"/>
      <c r="AP3" s="598"/>
      <c r="AR3" s="402" t="s">
        <v>51</v>
      </c>
      <c r="AS3" s="403"/>
      <c r="AT3" s="402" t="s">
        <v>94</v>
      </c>
      <c r="AU3" s="403"/>
      <c r="AV3" s="404" t="s">
        <v>57</v>
      </c>
      <c r="AW3" s="405"/>
      <c r="AX3" s="403" t="s">
        <v>59</v>
      </c>
      <c r="AY3" s="406" t="s">
        <v>93</v>
      </c>
      <c r="AZ3" s="404" t="s">
        <v>57</v>
      </c>
      <c r="BA3" s="407" t="s">
        <v>59</v>
      </c>
      <c r="BB3" s="408" t="s">
        <v>57</v>
      </c>
      <c r="BC3" s="408" t="s">
        <v>58</v>
      </c>
      <c r="BD3" s="409" t="s">
        <v>59</v>
      </c>
      <c r="BE3" s="410" t="s">
        <v>99</v>
      </c>
      <c r="BF3" s="409" t="s">
        <v>97</v>
      </c>
      <c r="BG3" s="411"/>
      <c r="BI3" s="412"/>
      <c r="BJ3" s="412"/>
      <c r="BK3" s="412"/>
      <c r="BL3" s="412"/>
      <c r="BM3" s="412"/>
    </row>
    <row r="4" spans="1:65" ht="16.5" thickBot="1">
      <c r="A4" s="88"/>
      <c r="B4" s="5"/>
      <c r="C4" s="5"/>
      <c r="D4" s="274"/>
      <c r="E4" s="352">
        <v>1.66</v>
      </c>
      <c r="F4" s="352"/>
      <c r="G4" s="5"/>
      <c r="H4" s="5"/>
      <c r="I4" s="5"/>
      <c r="J4" s="353"/>
      <c r="K4" s="5"/>
      <c r="L4" s="84"/>
      <c r="M4" s="574"/>
      <c r="N4" s="574"/>
      <c r="O4" s="574"/>
      <c r="P4" s="574"/>
      <c r="Q4" s="574"/>
      <c r="R4" s="574"/>
      <c r="S4" s="574"/>
      <c r="T4" s="84"/>
      <c r="U4" s="84"/>
      <c r="V4" s="342"/>
      <c r="W4" s="343"/>
      <c r="X4" s="342"/>
      <c r="Y4" s="343"/>
      <c r="Z4" s="344"/>
      <c r="AA4" s="477"/>
      <c r="AB4" s="479"/>
      <c r="AC4" s="477"/>
      <c r="AD4" s="477"/>
      <c r="AE4" s="477"/>
      <c r="AF4" s="477"/>
      <c r="AG4" s="477"/>
      <c r="AH4" s="477"/>
      <c r="AI4" s="477"/>
      <c r="AJ4" s="345"/>
      <c r="AK4" s="346"/>
      <c r="AL4" s="346"/>
      <c r="AM4" s="347"/>
      <c r="AN4" s="89" t="s">
        <v>129</v>
      </c>
      <c r="AO4" s="89" t="s">
        <v>130</v>
      </c>
      <c r="AP4" s="89" t="s">
        <v>157</v>
      </c>
      <c r="AR4" s="236"/>
      <c r="AS4" s="237"/>
      <c r="AT4" s="236">
        <v>180</v>
      </c>
      <c r="AU4" s="237"/>
      <c r="AV4" s="238">
        <v>220</v>
      </c>
      <c r="AW4" s="239"/>
      <c r="AX4" s="237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43769</v>
      </c>
      <c r="B5" s="436">
        <v>107530</v>
      </c>
      <c r="C5" s="436">
        <f>[1]WATER!C35</f>
        <v>80</v>
      </c>
      <c r="D5" s="436">
        <f>[1]WATER!D35</f>
        <v>2.9629629629629628</v>
      </c>
      <c r="E5" s="436">
        <f>[1]WATER!E35</f>
        <v>382.79999999999995</v>
      </c>
      <c r="F5" s="436">
        <f>[1]WATER!F35</f>
        <v>3</v>
      </c>
      <c r="G5" s="436">
        <f>[1]WATER!G35</f>
        <v>581929</v>
      </c>
      <c r="H5" s="436">
        <f>[1]WATER!H35</f>
        <v>0</v>
      </c>
      <c r="I5" s="436">
        <f>[1]WATER!I35</f>
        <v>80</v>
      </c>
      <c r="J5" s="436">
        <f>[1]WATER!J35</f>
        <v>4.7849999999999993</v>
      </c>
      <c r="K5" s="436">
        <v>0</v>
      </c>
      <c r="L5" s="436">
        <f>[1]WATER!L35</f>
        <v>4</v>
      </c>
      <c r="M5" s="436">
        <f>[1]WATER!M35</f>
        <v>457.44</v>
      </c>
      <c r="N5" s="436">
        <f>[1]WATER!N35</f>
        <v>0</v>
      </c>
      <c r="O5" s="436">
        <f>[1]WATER!O35</f>
        <v>529.52</v>
      </c>
      <c r="P5" s="436">
        <f>[1]WATER!P35</f>
        <v>0</v>
      </c>
      <c r="Q5" s="436">
        <f>[1]WATER!Q35</f>
        <v>0</v>
      </c>
      <c r="R5" s="436">
        <f>[1]WATER!R35</f>
        <v>0</v>
      </c>
      <c r="S5" s="436">
        <f>[1]WATER!S35</f>
        <v>0</v>
      </c>
      <c r="T5" s="436">
        <f>[1]WATER!T35</f>
        <v>4181</v>
      </c>
      <c r="U5" s="436">
        <f>[1]WATER!U35</f>
        <v>2</v>
      </c>
      <c r="V5" s="436">
        <f>[1]WATER!V35</f>
        <v>292</v>
      </c>
      <c r="W5" s="436">
        <f>[1]WATER!W35</f>
        <v>0</v>
      </c>
      <c r="X5" s="436">
        <f>[1]WATER!X35</f>
        <v>136928</v>
      </c>
      <c r="Y5" s="436">
        <f>[1]WATER!Y35</f>
        <v>0</v>
      </c>
      <c r="Z5" s="436">
        <f>[1]WATER!Z35</f>
        <v>89365</v>
      </c>
      <c r="AA5" s="436">
        <f>[1]WATER!AA35</f>
        <v>0</v>
      </c>
      <c r="AB5" s="436">
        <f>[1]WATER!AB35</f>
        <v>255</v>
      </c>
      <c r="AC5" s="436">
        <f>[1]WATER!AC35</f>
        <v>670</v>
      </c>
      <c r="AD5" s="436">
        <f>[1]WATER!AD35</f>
        <v>0</v>
      </c>
      <c r="AE5" s="436">
        <f>[1]WATER!AE35</f>
        <v>19.77</v>
      </c>
      <c r="AF5" s="436">
        <f>[1]WATER!AF35</f>
        <v>0</v>
      </c>
      <c r="AG5" s="436">
        <f>[1]WATER!AG35</f>
        <v>659.41</v>
      </c>
      <c r="AH5" s="436">
        <f>[1]WATER!AH35</f>
        <v>1.4099999999999682</v>
      </c>
      <c r="AI5" s="436">
        <f>[1]WATER!AI35</f>
        <v>1.4099999999999682</v>
      </c>
      <c r="AJ5" s="436">
        <f>[1]WATER!AJ35</f>
        <v>0</v>
      </c>
      <c r="AK5" s="436">
        <f>[1]WATER!AK35</f>
        <v>-4</v>
      </c>
      <c r="AL5" s="436">
        <f>[1]WATER!AL35</f>
        <v>0</v>
      </c>
      <c r="AM5" s="436">
        <f>[1]WATER!AM35</f>
        <v>18.5</v>
      </c>
      <c r="AN5" s="436">
        <f>[1]WATER!AN35</f>
        <v>0</v>
      </c>
      <c r="AO5" s="436">
        <f>[1]WATER!AO35</f>
        <v>0</v>
      </c>
      <c r="AP5" s="436">
        <f>[1]WATER!AP35</f>
        <v>205</v>
      </c>
      <c r="AQ5" s="436">
        <f>[1]WATER!AQ35</f>
        <v>0</v>
      </c>
      <c r="AR5" s="436">
        <f>[1]WATER!AR35</f>
        <v>43799</v>
      </c>
      <c r="AS5" s="436">
        <f>[1]WATER!AS35</f>
        <v>0.9</v>
      </c>
      <c r="AT5" s="436">
        <f>[1]WATER!AT35</f>
        <v>130</v>
      </c>
      <c r="AU5" s="436">
        <f>[1]WATER!AU35</f>
        <v>1.1000000000000001</v>
      </c>
      <c r="AV5" s="436">
        <f>[1]WATER!AV35</f>
        <v>64</v>
      </c>
      <c r="AW5" s="436">
        <f>[1]WATER!AW35</f>
        <v>2.9</v>
      </c>
      <c r="AX5" s="436">
        <f>[1]WATER!AX35</f>
        <v>47</v>
      </c>
      <c r="AY5" s="436">
        <f>[1]WATER!AY35</f>
        <v>117</v>
      </c>
      <c r="AZ5" s="436">
        <f>[1]WATER!AZ35</f>
        <v>70.400000000000006</v>
      </c>
      <c r="BA5" s="436">
        <f>[1]WATER!BA35</f>
        <v>136.29999999999998</v>
      </c>
      <c r="BB5" s="436">
        <f>[1]WATER!BB35</f>
        <v>80.099999999999994</v>
      </c>
      <c r="BC5" s="436">
        <f>[1]WATER!BC35</f>
        <v>-17.599999999999994</v>
      </c>
      <c r="BD5" s="436">
        <f>[1]WATER!BD35</f>
        <v>-69.600000000000023</v>
      </c>
      <c r="BE5" s="436">
        <f>[1]WATER!BE35</f>
        <v>-7.1000000000000227</v>
      </c>
      <c r="BF5" s="436">
        <f>[1]WATER!BF35</f>
        <v>87.100000000000023</v>
      </c>
      <c r="BG5" s="436">
        <f>[1]WATER!BG35</f>
        <v>-7.1000000000000227</v>
      </c>
    </row>
    <row r="6" spans="1:65" ht="15.75" thickBot="1">
      <c r="A6" s="6">
        <f>ELEC!C3</f>
        <v>43800</v>
      </c>
      <c r="B6" s="5">
        <v>107530</v>
      </c>
      <c r="C6" s="5">
        <f>B6-B5</f>
        <v>0</v>
      </c>
      <c r="D6" s="445">
        <f>C6/27</f>
        <v>0</v>
      </c>
      <c r="E6" s="352">
        <f>SUM((C6*$E$4)+(7500/'EDl log'!$A$38))</f>
        <v>241.93548387096774</v>
      </c>
      <c r="F6" s="444"/>
      <c r="G6" s="5">
        <v>582084</v>
      </c>
      <c r="H6" s="5">
        <f>G6-G5</f>
        <v>155</v>
      </c>
      <c r="I6" s="5">
        <f t="shared" ref="I6:I35" si="0">C6+H6</f>
        <v>155</v>
      </c>
      <c r="J6" s="353">
        <f t="shared" ref="J6:J35" si="1">IF(I6&gt;0,E6/I6,0)</f>
        <v>1.5608740894901145</v>
      </c>
      <c r="K6" s="5">
        <f>'Swimming Pool quality check '!H6</f>
        <v>5644</v>
      </c>
      <c r="L6" s="84">
        <v>0</v>
      </c>
      <c r="M6" s="436">
        <f>M5</f>
        <v>457.44</v>
      </c>
      <c r="N6" s="574">
        <f t="shared" ref="N6:N13" si="2">SUM(M6-M5)</f>
        <v>0</v>
      </c>
      <c r="O6" s="436">
        <f>O5</f>
        <v>529.52</v>
      </c>
      <c r="P6" s="574">
        <f t="shared" ref="P6:P13" si="3">SUM(O6-O5)</f>
        <v>0</v>
      </c>
      <c r="Q6" s="575">
        <f>P6+N6</f>
        <v>0</v>
      </c>
      <c r="R6" s="574"/>
      <c r="S6" s="574"/>
      <c r="T6" s="5">
        <v>4188</v>
      </c>
      <c r="U6" s="5">
        <f t="shared" ref="U6:U35" si="4">SUM(T6-T5)</f>
        <v>7</v>
      </c>
      <c r="V6" s="5">
        <v>292</v>
      </c>
      <c r="W6" s="343">
        <f>+V6-V5</f>
        <v>0</v>
      </c>
      <c r="X6" s="5">
        <v>137041</v>
      </c>
      <c r="Y6" s="343">
        <f>SUM(X6-X5)</f>
        <v>113</v>
      </c>
      <c r="Z6" s="5">
        <v>89400</v>
      </c>
      <c r="AA6" s="84">
        <f>Z6-Z5</f>
        <v>35</v>
      </c>
      <c r="AB6" s="5">
        <f>AB5</f>
        <v>255</v>
      </c>
      <c r="AC6" s="5">
        <f>AC5</f>
        <v>670</v>
      </c>
      <c r="AD6" s="84">
        <v>0</v>
      </c>
      <c r="AE6" s="5">
        <v>26.87</v>
      </c>
      <c r="AF6" s="84">
        <f>AE6-AE5</f>
        <v>7.1000000000000014</v>
      </c>
      <c r="AG6" s="5">
        <v>661.65</v>
      </c>
      <c r="AH6" s="84">
        <f>AG6-AG5</f>
        <v>2.2400000000000091</v>
      </c>
      <c r="AI6" s="84">
        <f>AF6+AH6</f>
        <v>9.3400000000000105</v>
      </c>
      <c r="AJ6" s="345">
        <f>+Z6-Z5</f>
        <v>35</v>
      </c>
      <c r="AK6" s="346">
        <f t="shared" ref="AK6:AK38" si="5">SUM(Y6-L6)</f>
        <v>113</v>
      </c>
      <c r="AL6" s="346">
        <f>SUM(AJ6-W6)</f>
        <v>35</v>
      </c>
      <c r="AM6" s="346">
        <f>'General information '!D6</f>
        <v>17.5</v>
      </c>
      <c r="AN6" s="85">
        <f>'General information '!H6</f>
        <v>0</v>
      </c>
      <c r="AO6" s="85"/>
      <c r="AP6" s="85">
        <f>'General information '!J6</f>
        <v>290</v>
      </c>
      <c r="AQ6" s="82"/>
      <c r="AR6" s="288">
        <f>A6</f>
        <v>43800</v>
      </c>
      <c r="AS6" s="451">
        <f t="shared" ref="AS6:AT21" si="6">AS5</f>
        <v>0.9</v>
      </c>
      <c r="AT6" s="206">
        <v>89</v>
      </c>
      <c r="AU6" s="452">
        <f>AU5</f>
        <v>1.1000000000000001</v>
      </c>
      <c r="AV6" s="206">
        <v>66</v>
      </c>
      <c r="AW6" s="5">
        <v>2.9</v>
      </c>
      <c r="AX6" s="206">
        <v>69</v>
      </c>
      <c r="AY6" s="455">
        <f t="shared" ref="AY6:AY35" si="7">AS6*AT6</f>
        <v>80.100000000000009</v>
      </c>
      <c r="AZ6" s="455">
        <f>AU6*AV6</f>
        <v>72.600000000000009</v>
      </c>
      <c r="BA6" s="455">
        <f>AW6*AX6</f>
        <v>200.1</v>
      </c>
      <c r="BB6" s="21">
        <f>AY6-AY5</f>
        <v>-36.899999999999991</v>
      </c>
      <c r="BC6" s="21">
        <f>AZ6-AZ5</f>
        <v>2.2000000000000028</v>
      </c>
      <c r="BD6" s="21">
        <f>BA6-BA5</f>
        <v>63.800000000000011</v>
      </c>
      <c r="BE6" s="24">
        <f>SUM(BB6:BD6)</f>
        <v>29.100000000000023</v>
      </c>
      <c r="BF6" s="97">
        <f t="shared" ref="BF6:BF35" si="8">SUM(I6-BE6)</f>
        <v>125.89999999999998</v>
      </c>
      <c r="BG6" s="83">
        <f t="shared" ref="BG6:BG35" si="9">SUM(I6-BF6)</f>
        <v>29.100000000000023</v>
      </c>
      <c r="BI6" s="17"/>
      <c r="BJ6" s="17"/>
      <c r="BK6" s="17"/>
      <c r="BL6" s="17"/>
      <c r="BM6" s="17"/>
    </row>
    <row r="7" spans="1:65" ht="15.75" thickBot="1">
      <c r="A7" s="6">
        <f>ELEC!C4</f>
        <v>43801</v>
      </c>
      <c r="B7" s="5">
        <v>107530</v>
      </c>
      <c r="C7" s="5">
        <f t="shared" ref="C7:C35" si="10">B7-B6</f>
        <v>0</v>
      </c>
      <c r="D7" s="445">
        <f t="shared" ref="D7:D36" si="11">C7/27</f>
        <v>0</v>
      </c>
      <c r="E7" s="352">
        <f>SUM((C7*$E$4)+(7500/'EDl log'!$A$38))</f>
        <v>241.93548387096774</v>
      </c>
      <c r="F7" s="444"/>
      <c r="G7" s="5">
        <v>582084</v>
      </c>
      <c r="H7" s="5">
        <f t="shared" ref="H7:H35" si="12">G7-G6</f>
        <v>0</v>
      </c>
      <c r="I7" s="5">
        <f t="shared" si="0"/>
        <v>0</v>
      </c>
      <c r="J7" s="353">
        <f t="shared" si="1"/>
        <v>0</v>
      </c>
      <c r="K7" s="5">
        <f>'Swimming Pool quality check '!H7</f>
        <v>5648</v>
      </c>
      <c r="L7" s="84">
        <f>K7-K6</f>
        <v>4</v>
      </c>
      <c r="M7" s="436">
        <f t="shared" ref="M7:O36" si="13">M6</f>
        <v>457.44</v>
      </c>
      <c r="N7" s="574">
        <f t="shared" si="2"/>
        <v>0</v>
      </c>
      <c r="O7" s="436">
        <f t="shared" si="13"/>
        <v>529.52</v>
      </c>
      <c r="P7" s="574">
        <f t="shared" si="3"/>
        <v>0</v>
      </c>
      <c r="Q7" s="575">
        <f>P7+N7</f>
        <v>0</v>
      </c>
      <c r="R7" s="574"/>
      <c r="S7" s="574"/>
      <c r="T7" s="5">
        <v>4190</v>
      </c>
      <c r="U7" s="5">
        <f t="shared" si="4"/>
        <v>2</v>
      </c>
      <c r="V7" s="5">
        <v>293</v>
      </c>
      <c r="W7" s="343">
        <f t="shared" ref="W7:W36" si="14">+V7-V6</f>
        <v>1</v>
      </c>
      <c r="X7" s="5">
        <v>137068</v>
      </c>
      <c r="Y7" s="343">
        <f t="shared" ref="Y7:Y35" si="15">SUM(X7-X6)</f>
        <v>27</v>
      </c>
      <c r="Z7" s="5">
        <v>89421</v>
      </c>
      <c r="AA7" s="84">
        <f t="shared" ref="AA7:AA35" si="16">Z7-Z6</f>
        <v>21</v>
      </c>
      <c r="AB7" s="5">
        <f t="shared" ref="T7:AG36" si="17">AB6</f>
        <v>255</v>
      </c>
      <c r="AC7" s="5">
        <f t="shared" si="17"/>
        <v>670</v>
      </c>
      <c r="AD7" s="84">
        <f>AC7-AC6</f>
        <v>0</v>
      </c>
      <c r="AE7" s="5">
        <v>27.48</v>
      </c>
      <c r="AF7" s="84">
        <f t="shared" ref="AF7:AF35" si="18">AE7-AE6</f>
        <v>0.60999999999999943</v>
      </c>
      <c r="AG7" s="5">
        <v>668.1</v>
      </c>
      <c r="AH7" s="84">
        <f t="shared" ref="AH7:AH36" si="19">AG7-AG6</f>
        <v>6.4500000000000455</v>
      </c>
      <c r="AI7" s="84">
        <f t="shared" ref="AI7:AI36" si="20">AF7+AH7</f>
        <v>7.0600000000000449</v>
      </c>
      <c r="AJ7" s="345">
        <f t="shared" ref="AJ7:AJ35" si="21">+Z7-Z6</f>
        <v>21</v>
      </c>
      <c r="AK7" s="346">
        <f t="shared" si="5"/>
        <v>23</v>
      </c>
      <c r="AL7" s="346">
        <f t="shared" ref="AL7:AL35" si="22">SUM(AJ7-W7)</f>
        <v>20</v>
      </c>
      <c r="AM7" s="346">
        <f>'General information '!D7</f>
        <v>18.5</v>
      </c>
      <c r="AN7" s="85">
        <f>'General information '!H7</f>
        <v>0</v>
      </c>
      <c r="AO7" s="85"/>
      <c r="AP7" s="85">
        <f>'General information '!J7</f>
        <v>145</v>
      </c>
      <c r="AQ7" s="82"/>
      <c r="AR7" s="288">
        <f t="shared" ref="AR7:AR35" si="23">A7</f>
        <v>43801</v>
      </c>
      <c r="AS7" s="451">
        <f t="shared" si="6"/>
        <v>0.9</v>
      </c>
      <c r="AT7" s="206">
        <v>52</v>
      </c>
      <c r="AU7" s="452">
        <f>AU6</f>
        <v>1.1000000000000001</v>
      </c>
      <c r="AV7" s="206">
        <v>59</v>
      </c>
      <c r="AW7" s="5">
        <v>2.9</v>
      </c>
      <c r="AX7" s="206">
        <v>67</v>
      </c>
      <c r="AY7" s="455">
        <f t="shared" si="7"/>
        <v>46.800000000000004</v>
      </c>
      <c r="AZ7" s="455">
        <f t="shared" ref="AZ7:AZ35" si="24">AU7*AV7</f>
        <v>64.900000000000006</v>
      </c>
      <c r="BA7" s="455">
        <f t="shared" ref="BA7:BA36" si="25">AW7*AX7</f>
        <v>194.29999999999998</v>
      </c>
      <c r="BB7" s="21">
        <f t="shared" ref="BB7:BD35" si="26">AY7-AY6</f>
        <v>-33.300000000000004</v>
      </c>
      <c r="BC7" s="21">
        <f t="shared" ref="BC7:BD21" si="27">AZ7-AZ6</f>
        <v>-7.7000000000000028</v>
      </c>
      <c r="BD7" s="21">
        <f t="shared" si="27"/>
        <v>-5.8000000000000114</v>
      </c>
      <c r="BE7" s="24">
        <f t="shared" ref="BE7:BE35" si="28">SUM(BB7:BD7)</f>
        <v>-46.800000000000018</v>
      </c>
      <c r="BF7" s="97">
        <f t="shared" si="8"/>
        <v>46.800000000000018</v>
      </c>
      <c r="BG7" s="83">
        <f t="shared" si="9"/>
        <v>-46.800000000000018</v>
      </c>
      <c r="BI7" s="87"/>
      <c r="BJ7" s="17"/>
      <c r="BK7" s="17"/>
      <c r="BL7" s="17"/>
      <c r="BM7" s="17"/>
    </row>
    <row r="8" spans="1:65" ht="15.75" thickBot="1">
      <c r="A8" s="6">
        <f>ELEC!C5</f>
        <v>43802</v>
      </c>
      <c r="B8" s="5">
        <v>107617</v>
      </c>
      <c r="C8" s="5">
        <f>B8-B7</f>
        <v>87</v>
      </c>
      <c r="D8" s="445">
        <f t="shared" si="11"/>
        <v>3.2222222222222223</v>
      </c>
      <c r="E8" s="352">
        <f>SUM((C8*$E$4)+(7500/'EDl log'!$A$38))</f>
        <v>386.35548387096776</v>
      </c>
      <c r="F8" s="444"/>
      <c r="G8" s="5">
        <v>582263</v>
      </c>
      <c r="H8" s="5">
        <f t="shared" si="12"/>
        <v>179</v>
      </c>
      <c r="I8" s="5">
        <f t="shared" si="0"/>
        <v>266</v>
      </c>
      <c r="J8" s="353">
        <f t="shared" si="1"/>
        <v>1.4524642250788262</v>
      </c>
      <c r="K8" s="5">
        <f>'Swimming Pool quality check '!H8</f>
        <v>5651</v>
      </c>
      <c r="L8" s="84">
        <f>K8-K7</f>
        <v>3</v>
      </c>
      <c r="M8" s="436">
        <f t="shared" si="13"/>
        <v>457.44</v>
      </c>
      <c r="N8" s="574">
        <f t="shared" si="2"/>
        <v>0</v>
      </c>
      <c r="O8" s="436">
        <f>O7</f>
        <v>529.52</v>
      </c>
      <c r="P8" s="574">
        <f t="shared" si="3"/>
        <v>0</v>
      </c>
      <c r="Q8" s="575">
        <f>P8+N8</f>
        <v>0</v>
      </c>
      <c r="R8" s="574"/>
      <c r="S8" s="574"/>
      <c r="T8" s="5">
        <v>4194</v>
      </c>
      <c r="U8" s="5">
        <f t="shared" si="4"/>
        <v>4</v>
      </c>
      <c r="V8" s="5">
        <v>293</v>
      </c>
      <c r="W8" s="343">
        <f t="shared" si="14"/>
        <v>0</v>
      </c>
      <c r="X8" s="5">
        <v>137172</v>
      </c>
      <c r="Y8" s="343">
        <f t="shared" si="15"/>
        <v>104</v>
      </c>
      <c r="Z8" s="5">
        <v>89499</v>
      </c>
      <c r="AA8" s="84">
        <f t="shared" si="16"/>
        <v>78</v>
      </c>
      <c r="AB8" s="5">
        <f t="shared" si="17"/>
        <v>255</v>
      </c>
      <c r="AC8" s="5">
        <f t="shared" si="17"/>
        <v>670</v>
      </c>
      <c r="AD8" s="84">
        <f t="shared" ref="AD8:AD35" si="29">AC8-AC7</f>
        <v>0</v>
      </c>
      <c r="AE8" s="5">
        <v>29.37</v>
      </c>
      <c r="AF8" s="84">
        <f t="shared" si="18"/>
        <v>1.8900000000000006</v>
      </c>
      <c r="AG8" s="5">
        <v>692.14</v>
      </c>
      <c r="AH8" s="84">
        <f t="shared" si="19"/>
        <v>24.039999999999964</v>
      </c>
      <c r="AI8" s="84">
        <f t="shared" si="20"/>
        <v>25.929999999999964</v>
      </c>
      <c r="AJ8" s="345">
        <f t="shared" si="21"/>
        <v>78</v>
      </c>
      <c r="AK8" s="346">
        <f t="shared" si="5"/>
        <v>101</v>
      </c>
      <c r="AL8" s="346">
        <f t="shared" si="22"/>
        <v>78</v>
      </c>
      <c r="AM8" s="346">
        <f>'General information '!D8</f>
        <v>19</v>
      </c>
      <c r="AN8" s="85">
        <f>'General information '!H8</f>
        <v>0</v>
      </c>
      <c r="AO8" s="85"/>
      <c r="AP8" s="85">
        <f>'General information '!J8</f>
        <v>97</v>
      </c>
      <c r="AQ8" s="82"/>
      <c r="AR8" s="288">
        <f t="shared" si="23"/>
        <v>43802</v>
      </c>
      <c r="AS8" s="451">
        <f t="shared" si="6"/>
        <v>0.9</v>
      </c>
      <c r="AT8" s="206">
        <v>40</v>
      </c>
      <c r="AU8" s="452">
        <v>1.1000000000000001</v>
      </c>
      <c r="AV8" s="206">
        <v>78</v>
      </c>
      <c r="AW8" s="5">
        <v>2.9</v>
      </c>
      <c r="AX8" s="206">
        <v>84</v>
      </c>
      <c r="AY8" s="455">
        <f t="shared" si="7"/>
        <v>36</v>
      </c>
      <c r="AZ8" s="455">
        <f t="shared" si="24"/>
        <v>85.800000000000011</v>
      </c>
      <c r="BA8" s="455">
        <f t="shared" si="25"/>
        <v>243.6</v>
      </c>
      <c r="BB8" s="21">
        <f t="shared" si="26"/>
        <v>-10.800000000000004</v>
      </c>
      <c r="BC8" s="21">
        <f t="shared" si="27"/>
        <v>20.900000000000006</v>
      </c>
      <c r="BD8" s="21">
        <f t="shared" si="27"/>
        <v>49.300000000000011</v>
      </c>
      <c r="BE8" s="24">
        <f t="shared" si="28"/>
        <v>59.400000000000013</v>
      </c>
      <c r="BF8" s="97">
        <f t="shared" si="8"/>
        <v>206.6</v>
      </c>
      <c r="BG8" s="83">
        <f t="shared" si="9"/>
        <v>59.400000000000006</v>
      </c>
      <c r="BI8" s="87"/>
      <c r="BJ8" s="17"/>
      <c r="BK8" s="17"/>
    </row>
    <row r="9" spans="1:65" ht="15.75" thickBot="1">
      <c r="A9" s="6">
        <f>ELEC!C6</f>
        <v>43803</v>
      </c>
      <c r="B9" s="5">
        <v>107617</v>
      </c>
      <c r="C9" s="5">
        <f t="shared" si="10"/>
        <v>0</v>
      </c>
      <c r="D9" s="445">
        <f t="shared" si="11"/>
        <v>0</v>
      </c>
      <c r="E9" s="352">
        <f>SUM((C9*$E$4)+(7500/'EDl log'!$A$38))</f>
        <v>241.93548387096774</v>
      </c>
      <c r="F9" s="444"/>
      <c r="G9" s="5">
        <v>582263</v>
      </c>
      <c r="H9" s="5">
        <f t="shared" si="12"/>
        <v>0</v>
      </c>
      <c r="I9" s="5">
        <f t="shared" si="0"/>
        <v>0</v>
      </c>
      <c r="J9" s="353">
        <f t="shared" si="1"/>
        <v>0</v>
      </c>
      <c r="K9" s="5">
        <f>'Swimming Pool quality check '!H9</f>
        <v>5653</v>
      </c>
      <c r="L9" s="84">
        <f t="shared" ref="L9:L35" si="30">K9-K8</f>
        <v>2</v>
      </c>
      <c r="M9" s="436">
        <f t="shared" si="13"/>
        <v>457.44</v>
      </c>
      <c r="N9" s="574">
        <f t="shared" si="2"/>
        <v>0</v>
      </c>
      <c r="O9" s="436">
        <f t="shared" si="13"/>
        <v>529.52</v>
      </c>
      <c r="P9" s="574">
        <f t="shared" si="3"/>
        <v>0</v>
      </c>
      <c r="Q9" s="575">
        <f>P9+N9</f>
        <v>0</v>
      </c>
      <c r="R9" s="574"/>
      <c r="S9" s="574"/>
      <c r="T9" s="5">
        <v>4198</v>
      </c>
      <c r="U9" s="5">
        <f t="shared" si="4"/>
        <v>4</v>
      </c>
      <c r="V9" s="5">
        <v>293</v>
      </c>
      <c r="W9" s="343">
        <f t="shared" si="14"/>
        <v>0</v>
      </c>
      <c r="X9" s="5">
        <v>137173</v>
      </c>
      <c r="Y9" s="343">
        <f t="shared" si="15"/>
        <v>1</v>
      </c>
      <c r="Z9" s="5">
        <v>89499</v>
      </c>
      <c r="AA9" s="84">
        <f t="shared" si="16"/>
        <v>0</v>
      </c>
      <c r="AB9" s="5">
        <f t="shared" si="17"/>
        <v>255</v>
      </c>
      <c r="AC9" s="5">
        <f t="shared" si="17"/>
        <v>670</v>
      </c>
      <c r="AD9" s="84">
        <f t="shared" si="29"/>
        <v>0</v>
      </c>
      <c r="AE9" s="5">
        <v>29.37</v>
      </c>
      <c r="AF9" s="84">
        <f t="shared" si="18"/>
        <v>0</v>
      </c>
      <c r="AG9" s="5">
        <v>694.61</v>
      </c>
      <c r="AH9" s="84">
        <f t="shared" si="19"/>
        <v>2.4700000000000273</v>
      </c>
      <c r="AI9" s="84">
        <f t="shared" si="20"/>
        <v>2.4700000000000273</v>
      </c>
      <c r="AJ9" s="345">
        <f t="shared" si="21"/>
        <v>0</v>
      </c>
      <c r="AK9" s="346">
        <f t="shared" si="5"/>
        <v>-1</v>
      </c>
      <c r="AL9" s="346">
        <f t="shared" si="22"/>
        <v>0</v>
      </c>
      <c r="AM9" s="346">
        <f>'General information '!D9</f>
        <v>15.5</v>
      </c>
      <c r="AN9" s="85">
        <f>'General information '!H9</f>
        <v>0</v>
      </c>
      <c r="AO9" s="85"/>
      <c r="AP9" s="85">
        <f>'General information '!J9</f>
        <v>143</v>
      </c>
      <c r="AQ9" s="82"/>
      <c r="AR9" s="288">
        <f t="shared" si="23"/>
        <v>43803</v>
      </c>
      <c r="AS9" s="451">
        <f t="shared" si="6"/>
        <v>0.9</v>
      </c>
      <c r="AT9" s="206">
        <v>26</v>
      </c>
      <c r="AU9" s="452">
        <f t="shared" ref="AU9:AU36" si="31">AU8</f>
        <v>1.1000000000000001</v>
      </c>
      <c r="AV9" s="206">
        <v>61</v>
      </c>
      <c r="AW9" s="5">
        <v>2.9</v>
      </c>
      <c r="AX9" s="206">
        <v>74</v>
      </c>
      <c r="AY9" s="455">
        <f t="shared" si="7"/>
        <v>23.400000000000002</v>
      </c>
      <c r="AZ9" s="455">
        <f t="shared" si="24"/>
        <v>67.100000000000009</v>
      </c>
      <c r="BA9" s="455">
        <f t="shared" si="25"/>
        <v>214.6</v>
      </c>
      <c r="BB9" s="21">
        <f t="shared" si="26"/>
        <v>-12.599999999999998</v>
      </c>
      <c r="BC9" s="21">
        <f t="shared" si="27"/>
        <v>-18.700000000000003</v>
      </c>
      <c r="BD9" s="21">
        <f t="shared" si="27"/>
        <v>-29</v>
      </c>
      <c r="BE9" s="24">
        <f t="shared" si="28"/>
        <v>-60.3</v>
      </c>
      <c r="BF9" s="368">
        <f t="shared" si="8"/>
        <v>60.3</v>
      </c>
      <c r="BG9" s="83">
        <f t="shared" si="9"/>
        <v>-60.3</v>
      </c>
    </row>
    <row r="10" spans="1:65" ht="15.75" thickBot="1">
      <c r="A10" s="6">
        <f>ELEC!C7</f>
        <v>43804</v>
      </c>
      <c r="B10" s="5">
        <v>107617</v>
      </c>
      <c r="C10" s="5">
        <f t="shared" si="10"/>
        <v>0</v>
      </c>
      <c r="D10" s="445">
        <f t="shared" si="11"/>
        <v>0</v>
      </c>
      <c r="E10" s="352">
        <f>SUM((C10*$E$4)+(7500/'EDl log'!$A$38))</f>
        <v>241.93548387096774</v>
      </c>
      <c r="F10" s="444"/>
      <c r="G10" s="5">
        <v>582452</v>
      </c>
      <c r="H10" s="5">
        <f t="shared" si="12"/>
        <v>189</v>
      </c>
      <c r="I10" s="5">
        <f t="shared" si="0"/>
        <v>189</v>
      </c>
      <c r="J10" s="353">
        <f t="shared" si="1"/>
        <v>1.2800819252432156</v>
      </c>
      <c r="K10" s="5">
        <f>'Swimming Pool quality check '!H10</f>
        <v>5657</v>
      </c>
      <c r="L10" s="84">
        <f>K10-K9</f>
        <v>4</v>
      </c>
      <c r="M10" s="436">
        <f t="shared" si="13"/>
        <v>457.44</v>
      </c>
      <c r="N10" s="574">
        <f t="shared" si="2"/>
        <v>0</v>
      </c>
      <c r="O10" s="436">
        <f t="shared" si="13"/>
        <v>529.52</v>
      </c>
      <c r="P10" s="574">
        <f t="shared" si="3"/>
        <v>0</v>
      </c>
      <c r="Q10" s="575">
        <f>P10+N10</f>
        <v>0</v>
      </c>
      <c r="R10" s="574"/>
      <c r="S10" s="574"/>
      <c r="T10" s="5">
        <v>4201</v>
      </c>
      <c r="U10" s="5">
        <f t="shared" si="4"/>
        <v>3</v>
      </c>
      <c r="V10" s="5">
        <v>293</v>
      </c>
      <c r="W10" s="343">
        <f t="shared" si="14"/>
        <v>0</v>
      </c>
      <c r="X10" s="5">
        <v>137184</v>
      </c>
      <c r="Y10" s="343">
        <f t="shared" si="15"/>
        <v>11</v>
      </c>
      <c r="Z10" s="5">
        <v>89537</v>
      </c>
      <c r="AA10" s="84">
        <f t="shared" si="16"/>
        <v>38</v>
      </c>
      <c r="AB10" s="5">
        <f t="shared" si="17"/>
        <v>255</v>
      </c>
      <c r="AC10" s="5">
        <f t="shared" si="17"/>
        <v>670</v>
      </c>
      <c r="AD10" s="84">
        <f t="shared" si="29"/>
        <v>0</v>
      </c>
      <c r="AE10" s="5">
        <v>29.37</v>
      </c>
      <c r="AF10" s="84">
        <f t="shared" si="18"/>
        <v>0</v>
      </c>
      <c r="AG10" s="5">
        <v>696.18</v>
      </c>
      <c r="AH10" s="84">
        <f t="shared" si="19"/>
        <v>1.5699999999999363</v>
      </c>
      <c r="AI10" s="84">
        <f t="shared" si="20"/>
        <v>1.5699999999999363</v>
      </c>
      <c r="AJ10" s="345">
        <f t="shared" si="21"/>
        <v>38</v>
      </c>
      <c r="AK10" s="346">
        <f t="shared" si="5"/>
        <v>7</v>
      </c>
      <c r="AL10" s="346">
        <f t="shared" si="22"/>
        <v>38</v>
      </c>
      <c r="AM10" s="346">
        <f>'General information '!D10</f>
        <v>14.5</v>
      </c>
      <c r="AN10" s="85">
        <f>'General information '!H10</f>
        <v>0</v>
      </c>
      <c r="AO10" s="85"/>
      <c r="AP10" s="85">
        <f>'General information '!J10</f>
        <v>219</v>
      </c>
      <c r="AQ10" s="82"/>
      <c r="AR10" s="288">
        <f t="shared" si="23"/>
        <v>43804</v>
      </c>
      <c r="AS10" s="451">
        <f t="shared" si="6"/>
        <v>0.9</v>
      </c>
      <c r="AT10" s="206">
        <v>99</v>
      </c>
      <c r="AU10" s="452">
        <f t="shared" si="31"/>
        <v>1.1000000000000001</v>
      </c>
      <c r="AV10" s="206">
        <v>77</v>
      </c>
      <c r="AW10" s="5">
        <v>2.9</v>
      </c>
      <c r="AX10" s="206">
        <v>65</v>
      </c>
      <c r="AY10" s="455">
        <f t="shared" si="7"/>
        <v>89.100000000000009</v>
      </c>
      <c r="AZ10" s="455">
        <f t="shared" si="24"/>
        <v>84.7</v>
      </c>
      <c r="BA10" s="455">
        <f t="shared" si="25"/>
        <v>188.5</v>
      </c>
      <c r="BB10" s="21">
        <f t="shared" si="26"/>
        <v>65.7</v>
      </c>
      <c r="BC10" s="21">
        <f t="shared" si="27"/>
        <v>17.599999999999994</v>
      </c>
      <c r="BD10" s="21">
        <f t="shared" si="27"/>
        <v>-26.099999999999994</v>
      </c>
      <c r="BE10" s="24">
        <f t="shared" si="28"/>
        <v>57.2</v>
      </c>
      <c r="BF10" s="97">
        <f t="shared" si="8"/>
        <v>131.80000000000001</v>
      </c>
      <c r="BG10" s="83">
        <f t="shared" si="9"/>
        <v>57.199999999999989</v>
      </c>
    </row>
    <row r="11" spans="1:65" ht="15.75" thickBot="1">
      <c r="A11" s="6">
        <f>ELEC!C8</f>
        <v>43805</v>
      </c>
      <c r="B11" s="5">
        <f t="shared" ref="B11:B35" si="32">B10</f>
        <v>107617</v>
      </c>
      <c r="C11" s="5">
        <f t="shared" si="10"/>
        <v>0</v>
      </c>
      <c r="D11" s="445">
        <f t="shared" si="11"/>
        <v>0</v>
      </c>
      <c r="E11" s="352">
        <f>SUM((C11*$E$4)+(7500/'EDl log'!$A$38))</f>
        <v>241.93548387096774</v>
      </c>
      <c r="F11" s="444"/>
      <c r="G11" s="5">
        <f t="shared" ref="G11:G29" si="33">G10</f>
        <v>582452</v>
      </c>
      <c r="H11" s="5">
        <f t="shared" si="12"/>
        <v>0</v>
      </c>
      <c r="I11" s="5">
        <f t="shared" si="0"/>
        <v>0</v>
      </c>
      <c r="J11" s="353">
        <f t="shared" si="1"/>
        <v>0</v>
      </c>
      <c r="K11" s="5">
        <f>'Swimming Pool quality check '!H11</f>
        <v>5666</v>
      </c>
      <c r="L11" s="84">
        <f t="shared" si="30"/>
        <v>9</v>
      </c>
      <c r="M11" s="436">
        <f t="shared" si="13"/>
        <v>457.44</v>
      </c>
      <c r="N11" s="574">
        <f t="shared" si="2"/>
        <v>0</v>
      </c>
      <c r="O11" s="436">
        <f t="shared" si="13"/>
        <v>529.52</v>
      </c>
      <c r="P11" s="574">
        <f t="shared" si="3"/>
        <v>0</v>
      </c>
      <c r="Q11" s="574">
        <f>SUM(P11+N11)</f>
        <v>0</v>
      </c>
      <c r="R11" s="574"/>
      <c r="S11" s="574"/>
      <c r="T11" s="5">
        <v>4205</v>
      </c>
      <c r="U11" s="5">
        <f t="shared" si="4"/>
        <v>4</v>
      </c>
      <c r="V11" s="5">
        <v>294</v>
      </c>
      <c r="W11" s="343">
        <f t="shared" si="14"/>
        <v>1</v>
      </c>
      <c r="X11" s="5">
        <v>137212</v>
      </c>
      <c r="Y11" s="343">
        <f t="shared" si="15"/>
        <v>28</v>
      </c>
      <c r="Z11" s="5">
        <v>89552</v>
      </c>
      <c r="AA11" s="84">
        <f t="shared" si="16"/>
        <v>15</v>
      </c>
      <c r="AB11" s="5">
        <v>253</v>
      </c>
      <c r="AC11" s="5">
        <f t="shared" si="17"/>
        <v>670</v>
      </c>
      <c r="AD11" s="84">
        <f t="shared" si="29"/>
        <v>0</v>
      </c>
      <c r="AE11" s="5">
        <v>31.02</v>
      </c>
      <c r="AF11" s="84">
        <f t="shared" si="18"/>
        <v>1.6499999999999986</v>
      </c>
      <c r="AG11" s="5">
        <v>704.72</v>
      </c>
      <c r="AH11" s="84">
        <f t="shared" si="19"/>
        <v>8.5400000000000773</v>
      </c>
      <c r="AI11" s="84">
        <f t="shared" si="20"/>
        <v>10.190000000000076</v>
      </c>
      <c r="AJ11" s="345">
        <f t="shared" si="21"/>
        <v>15</v>
      </c>
      <c r="AK11" s="346">
        <f t="shared" si="5"/>
        <v>19</v>
      </c>
      <c r="AL11" s="346">
        <f t="shared" si="22"/>
        <v>14</v>
      </c>
      <c r="AM11" s="346">
        <f>'General information '!D11</f>
        <v>14.5</v>
      </c>
      <c r="AN11" s="85">
        <f>'General information '!H11</f>
        <v>0</v>
      </c>
      <c r="AO11" s="85"/>
      <c r="AP11" s="85">
        <f>'General information '!J11</f>
        <v>300</v>
      </c>
      <c r="AQ11" s="82"/>
      <c r="AR11" s="288">
        <f t="shared" si="23"/>
        <v>43805</v>
      </c>
      <c r="AS11" s="451">
        <f t="shared" si="6"/>
        <v>0.9</v>
      </c>
      <c r="AT11" s="206">
        <v>49</v>
      </c>
      <c r="AU11" s="452">
        <f t="shared" si="31"/>
        <v>1.1000000000000001</v>
      </c>
      <c r="AV11" s="206">
        <v>54</v>
      </c>
      <c r="AW11" s="5">
        <v>2.9</v>
      </c>
      <c r="AX11" s="206">
        <v>64</v>
      </c>
      <c r="AY11" s="455">
        <f t="shared" si="7"/>
        <v>44.1</v>
      </c>
      <c r="AZ11" s="455">
        <f t="shared" si="24"/>
        <v>59.400000000000006</v>
      </c>
      <c r="BA11" s="455">
        <f t="shared" si="25"/>
        <v>185.6</v>
      </c>
      <c r="BB11" s="21">
        <f t="shared" si="26"/>
        <v>-45.000000000000007</v>
      </c>
      <c r="BC11" s="21">
        <f t="shared" si="27"/>
        <v>-25.299999999999997</v>
      </c>
      <c r="BD11" s="21">
        <f t="shared" si="27"/>
        <v>-2.9000000000000057</v>
      </c>
      <c r="BE11" s="24">
        <f t="shared" si="28"/>
        <v>-73.200000000000017</v>
      </c>
      <c r="BF11" s="97">
        <f t="shared" si="8"/>
        <v>73.200000000000017</v>
      </c>
      <c r="BG11" s="83">
        <f t="shared" si="9"/>
        <v>-73.200000000000017</v>
      </c>
    </row>
    <row r="12" spans="1:65" ht="15.75" thickBot="1">
      <c r="A12" s="6">
        <f>ELEC!C9</f>
        <v>43806</v>
      </c>
      <c r="B12" s="5">
        <v>107617</v>
      </c>
      <c r="C12" s="5">
        <f>B12-B11</f>
        <v>0</v>
      </c>
      <c r="D12" s="445">
        <f t="shared" si="11"/>
        <v>0</v>
      </c>
      <c r="E12" s="352">
        <f>SUM((C12*$E$4)+(7500/'EDl log'!$A$38))</f>
        <v>241.93548387096774</v>
      </c>
      <c r="F12" s="444"/>
      <c r="G12" s="5">
        <v>582610</v>
      </c>
      <c r="H12" s="5">
        <f t="shared" si="12"/>
        <v>158</v>
      </c>
      <c r="I12" s="5">
        <f t="shared" si="0"/>
        <v>158</v>
      </c>
      <c r="J12" s="353">
        <f t="shared" si="1"/>
        <v>1.5312372396896692</v>
      </c>
      <c r="K12" s="5">
        <f>'Swimming Pool quality check '!H12</f>
        <v>5669</v>
      </c>
      <c r="L12" s="84">
        <f t="shared" si="30"/>
        <v>3</v>
      </c>
      <c r="M12" s="436">
        <f t="shared" si="13"/>
        <v>457.44</v>
      </c>
      <c r="N12" s="574">
        <f t="shared" si="2"/>
        <v>0</v>
      </c>
      <c r="O12" s="436">
        <f t="shared" si="13"/>
        <v>529.52</v>
      </c>
      <c r="P12" s="574">
        <f t="shared" si="3"/>
        <v>0</v>
      </c>
      <c r="Q12" s="574">
        <f>SUM(P12+N12)</f>
        <v>0</v>
      </c>
      <c r="R12" s="574"/>
      <c r="S12" s="574"/>
      <c r="T12" s="5">
        <v>4209</v>
      </c>
      <c r="U12" s="5">
        <f t="shared" si="4"/>
        <v>4</v>
      </c>
      <c r="V12" s="5">
        <f t="shared" si="17"/>
        <v>294</v>
      </c>
      <c r="W12" s="343">
        <f t="shared" si="14"/>
        <v>0</v>
      </c>
      <c r="X12" s="5">
        <v>137245</v>
      </c>
      <c r="Y12" s="343">
        <f t="shared" si="15"/>
        <v>33</v>
      </c>
      <c r="Z12" s="5">
        <v>89609</v>
      </c>
      <c r="AA12" s="84">
        <f t="shared" si="16"/>
        <v>57</v>
      </c>
      <c r="AB12" s="5">
        <f t="shared" si="17"/>
        <v>253</v>
      </c>
      <c r="AC12" s="5">
        <f t="shared" si="17"/>
        <v>670</v>
      </c>
      <c r="AD12" s="84">
        <f t="shared" si="29"/>
        <v>0</v>
      </c>
      <c r="AE12" s="5">
        <v>33.46</v>
      </c>
      <c r="AF12" s="84">
        <f t="shared" si="18"/>
        <v>2.4400000000000013</v>
      </c>
      <c r="AG12" s="5">
        <v>725.6</v>
      </c>
      <c r="AH12" s="84">
        <f t="shared" si="19"/>
        <v>20.879999999999995</v>
      </c>
      <c r="AI12" s="84">
        <f t="shared" si="20"/>
        <v>23.319999999999997</v>
      </c>
      <c r="AJ12" s="345">
        <f t="shared" si="21"/>
        <v>57</v>
      </c>
      <c r="AK12" s="346">
        <f t="shared" si="5"/>
        <v>30</v>
      </c>
      <c r="AL12" s="346">
        <f t="shared" si="22"/>
        <v>57</v>
      </c>
      <c r="AM12" s="346">
        <f>'General information '!D12</f>
        <v>16.5</v>
      </c>
      <c r="AN12" s="85">
        <f>'General information '!H12</f>
        <v>0</v>
      </c>
      <c r="AO12" s="85"/>
      <c r="AP12" s="85">
        <f>'General information '!J12</f>
        <v>0</v>
      </c>
      <c r="AQ12" s="82"/>
      <c r="AR12" s="288">
        <f t="shared" si="23"/>
        <v>43806</v>
      </c>
      <c r="AS12" s="451">
        <f t="shared" si="6"/>
        <v>0.9</v>
      </c>
      <c r="AT12" s="206">
        <v>75</v>
      </c>
      <c r="AU12" s="452">
        <f t="shared" si="31"/>
        <v>1.1000000000000001</v>
      </c>
      <c r="AV12" s="206">
        <v>59</v>
      </c>
      <c r="AW12" s="5">
        <v>2.9</v>
      </c>
      <c r="AX12" s="206">
        <v>56</v>
      </c>
      <c r="AY12" s="455">
        <f t="shared" si="7"/>
        <v>67.5</v>
      </c>
      <c r="AZ12" s="455">
        <f t="shared" si="24"/>
        <v>64.900000000000006</v>
      </c>
      <c r="BA12" s="455">
        <f t="shared" si="25"/>
        <v>162.4</v>
      </c>
      <c r="BB12" s="21">
        <f t="shared" si="26"/>
        <v>23.4</v>
      </c>
      <c r="BC12" s="21">
        <f t="shared" si="27"/>
        <v>5.5</v>
      </c>
      <c r="BD12" s="21">
        <f t="shared" si="27"/>
        <v>-23.199999999999989</v>
      </c>
      <c r="BE12" s="24">
        <f t="shared" si="28"/>
        <v>5.7000000000000099</v>
      </c>
      <c r="BF12" s="97">
        <f t="shared" si="8"/>
        <v>152.29999999999998</v>
      </c>
      <c r="BG12" s="83">
        <f t="shared" si="9"/>
        <v>5.7000000000000171</v>
      </c>
    </row>
    <row r="13" spans="1:65" ht="15.75" thickBot="1">
      <c r="A13" s="6">
        <f>ELEC!C10</f>
        <v>43807</v>
      </c>
      <c r="B13" s="5">
        <v>107697</v>
      </c>
      <c r="C13" s="5">
        <f t="shared" si="10"/>
        <v>80</v>
      </c>
      <c r="D13" s="445">
        <f t="shared" si="11"/>
        <v>2.9629629629629628</v>
      </c>
      <c r="E13" s="352">
        <f>SUM((C13*$E$4)+(7500/'EDl log'!$A$38))</f>
        <v>374.73548387096776</v>
      </c>
      <c r="F13" s="444"/>
      <c r="G13" s="5">
        <f t="shared" si="33"/>
        <v>582610</v>
      </c>
      <c r="H13" s="5">
        <f t="shared" si="12"/>
        <v>0</v>
      </c>
      <c r="I13" s="5">
        <f t="shared" si="0"/>
        <v>80</v>
      </c>
      <c r="J13" s="353">
        <f t="shared" si="1"/>
        <v>4.6841935483870971</v>
      </c>
      <c r="K13" s="5">
        <f>'Swimming Pool quality check '!H13</f>
        <v>5672</v>
      </c>
      <c r="L13" s="84">
        <f t="shared" si="30"/>
        <v>3</v>
      </c>
      <c r="M13" s="436">
        <f t="shared" si="13"/>
        <v>457.44</v>
      </c>
      <c r="N13" s="574">
        <f t="shared" si="2"/>
        <v>0</v>
      </c>
      <c r="O13" s="436">
        <f t="shared" si="13"/>
        <v>529.52</v>
      </c>
      <c r="P13" s="574">
        <f t="shared" si="3"/>
        <v>0</v>
      </c>
      <c r="Q13" s="574">
        <f>SUM(P13+N13)</f>
        <v>0</v>
      </c>
      <c r="R13" s="574"/>
      <c r="S13" s="574"/>
      <c r="T13" s="5">
        <v>4218</v>
      </c>
      <c r="U13" s="5">
        <f t="shared" si="4"/>
        <v>9</v>
      </c>
      <c r="V13" s="5">
        <v>295</v>
      </c>
      <c r="W13" s="343">
        <f t="shared" si="14"/>
        <v>1</v>
      </c>
      <c r="X13" s="5">
        <v>137325</v>
      </c>
      <c r="Y13" s="343">
        <f t="shared" si="15"/>
        <v>80</v>
      </c>
      <c r="Z13" s="5">
        <v>89653</v>
      </c>
      <c r="AA13" s="84">
        <f t="shared" si="16"/>
        <v>44</v>
      </c>
      <c r="AB13" s="5">
        <f t="shared" si="17"/>
        <v>253</v>
      </c>
      <c r="AC13" s="5">
        <f t="shared" si="17"/>
        <v>670</v>
      </c>
      <c r="AD13" s="84">
        <f t="shared" si="29"/>
        <v>0</v>
      </c>
      <c r="AE13" s="5">
        <f t="shared" si="17"/>
        <v>33.46</v>
      </c>
      <c r="AF13" s="84">
        <f t="shared" si="18"/>
        <v>0</v>
      </c>
      <c r="AG13" s="5">
        <v>727.54</v>
      </c>
      <c r="AH13" s="84">
        <f t="shared" si="19"/>
        <v>1.9399999999999409</v>
      </c>
      <c r="AI13" s="84">
        <f t="shared" si="20"/>
        <v>1.9399999999999409</v>
      </c>
      <c r="AJ13" s="345">
        <f t="shared" si="21"/>
        <v>44</v>
      </c>
      <c r="AK13" s="346">
        <f t="shared" si="5"/>
        <v>77</v>
      </c>
      <c r="AL13" s="346">
        <f t="shared" si="22"/>
        <v>43</v>
      </c>
      <c r="AM13" s="346">
        <f>'General information '!D13</f>
        <v>16</v>
      </c>
      <c r="AN13" s="85">
        <f>'General information '!J13</f>
        <v>299</v>
      </c>
      <c r="AO13" s="85"/>
      <c r="AP13" s="85">
        <f>'General information '!J13</f>
        <v>299</v>
      </c>
      <c r="AQ13" s="96"/>
      <c r="AR13" s="288">
        <f t="shared" si="23"/>
        <v>43807</v>
      </c>
      <c r="AS13" s="451">
        <f t="shared" si="6"/>
        <v>0.9</v>
      </c>
      <c r="AT13" s="206">
        <v>18</v>
      </c>
      <c r="AU13" s="452">
        <f t="shared" si="31"/>
        <v>1.1000000000000001</v>
      </c>
      <c r="AV13" s="206">
        <v>67</v>
      </c>
      <c r="AW13" s="5">
        <v>2.9</v>
      </c>
      <c r="AX13" s="206">
        <v>68</v>
      </c>
      <c r="AY13" s="455">
        <f t="shared" si="7"/>
        <v>16.2</v>
      </c>
      <c r="AZ13" s="455">
        <f t="shared" si="24"/>
        <v>73.7</v>
      </c>
      <c r="BA13" s="455">
        <f t="shared" si="25"/>
        <v>197.2</v>
      </c>
      <c r="BB13" s="21">
        <f t="shared" si="26"/>
        <v>-51.3</v>
      </c>
      <c r="BC13" s="21">
        <f t="shared" si="27"/>
        <v>8.7999999999999972</v>
      </c>
      <c r="BD13" s="21">
        <f t="shared" si="27"/>
        <v>34.799999999999983</v>
      </c>
      <c r="BE13" s="24">
        <f t="shared" si="28"/>
        <v>-7.7000000000000171</v>
      </c>
      <c r="BF13" s="97">
        <f t="shared" si="8"/>
        <v>87.700000000000017</v>
      </c>
      <c r="BG13" s="83">
        <f t="shared" si="9"/>
        <v>-7.7000000000000171</v>
      </c>
    </row>
    <row r="14" spans="1:65" ht="15.75" thickBot="1">
      <c r="A14" s="6">
        <f>ELEC!C11</f>
        <v>43808</v>
      </c>
      <c r="B14" s="5">
        <v>107778</v>
      </c>
      <c r="C14" s="5">
        <f t="shared" si="10"/>
        <v>81</v>
      </c>
      <c r="D14" s="445">
        <f t="shared" si="11"/>
        <v>3</v>
      </c>
      <c r="E14" s="352">
        <f>SUM((C14*$E$4)+(7500/'EDl log'!$A$38))</f>
        <v>376.39548387096772</v>
      </c>
      <c r="F14" s="444"/>
      <c r="G14" s="5">
        <v>582653</v>
      </c>
      <c r="H14" s="5">
        <f t="shared" si="12"/>
        <v>43</v>
      </c>
      <c r="I14" s="5">
        <f t="shared" si="0"/>
        <v>124</v>
      </c>
      <c r="J14" s="353">
        <f t="shared" si="1"/>
        <v>3.0354474505723203</v>
      </c>
      <c r="K14" s="5">
        <f>'Swimming Pool quality check '!H14</f>
        <v>5675</v>
      </c>
      <c r="L14" s="84">
        <f t="shared" si="30"/>
        <v>3</v>
      </c>
      <c r="M14" s="436">
        <f t="shared" si="13"/>
        <v>457.44</v>
      </c>
      <c r="N14" s="574">
        <f t="shared" ref="N14:N36" si="34">SUM(M14-M13)</f>
        <v>0</v>
      </c>
      <c r="O14" s="436">
        <f t="shared" si="13"/>
        <v>529.52</v>
      </c>
      <c r="P14" s="574">
        <f t="shared" ref="P14:P36" si="35">SUM(O14-O13)</f>
        <v>0</v>
      </c>
      <c r="Q14" s="574">
        <f t="shared" ref="Q14:Q36" si="36">SUM(P14+N14)</f>
        <v>0</v>
      </c>
      <c r="R14" s="574"/>
      <c r="S14" s="574"/>
      <c r="T14" s="5">
        <v>4222</v>
      </c>
      <c r="U14" s="5">
        <f t="shared" si="4"/>
        <v>4</v>
      </c>
      <c r="V14" s="5">
        <v>295</v>
      </c>
      <c r="W14" s="343">
        <f t="shared" si="14"/>
        <v>0</v>
      </c>
      <c r="X14" s="5">
        <v>137403</v>
      </c>
      <c r="Y14" s="343">
        <f t="shared" si="15"/>
        <v>78</v>
      </c>
      <c r="Z14" s="5">
        <v>89712</v>
      </c>
      <c r="AA14" s="84">
        <f t="shared" si="16"/>
        <v>59</v>
      </c>
      <c r="AB14" s="5">
        <f t="shared" si="17"/>
        <v>253</v>
      </c>
      <c r="AC14" s="5">
        <f t="shared" si="17"/>
        <v>670</v>
      </c>
      <c r="AD14" s="84">
        <f t="shared" si="29"/>
        <v>0</v>
      </c>
      <c r="AE14" s="5">
        <f t="shared" si="17"/>
        <v>33.46</v>
      </c>
      <c r="AF14" s="84">
        <f t="shared" si="18"/>
        <v>0</v>
      </c>
      <c r="AG14" s="5">
        <f t="shared" si="17"/>
        <v>727.54</v>
      </c>
      <c r="AH14" s="84">
        <f t="shared" si="19"/>
        <v>0</v>
      </c>
      <c r="AI14" s="84">
        <f t="shared" si="20"/>
        <v>0</v>
      </c>
      <c r="AJ14" s="345">
        <f t="shared" si="21"/>
        <v>59</v>
      </c>
      <c r="AK14" s="346">
        <f t="shared" si="5"/>
        <v>75</v>
      </c>
      <c r="AL14" s="346">
        <f t="shared" si="22"/>
        <v>59</v>
      </c>
      <c r="AM14" s="346">
        <f>'General information '!D14</f>
        <v>16</v>
      </c>
      <c r="AN14" s="85">
        <f>'General information '!H14</f>
        <v>0</v>
      </c>
      <c r="AO14" s="85"/>
      <c r="AP14" s="85">
        <f>'General information '!J14</f>
        <v>165</v>
      </c>
      <c r="AQ14" s="82"/>
      <c r="AR14" s="288">
        <f t="shared" si="23"/>
        <v>43808</v>
      </c>
      <c r="AS14" s="451">
        <f t="shared" si="6"/>
        <v>0.9</v>
      </c>
      <c r="AT14" s="206">
        <v>65</v>
      </c>
      <c r="AU14" s="452">
        <f t="shared" si="31"/>
        <v>1.1000000000000001</v>
      </c>
      <c r="AV14" s="206">
        <v>95</v>
      </c>
      <c r="AW14" s="5">
        <v>2.9</v>
      </c>
      <c r="AX14" s="206">
        <v>79</v>
      </c>
      <c r="AY14" s="455">
        <f t="shared" si="7"/>
        <v>58.5</v>
      </c>
      <c r="AZ14" s="455">
        <f t="shared" si="24"/>
        <v>104.50000000000001</v>
      </c>
      <c r="BA14" s="455">
        <f t="shared" si="25"/>
        <v>229.1</v>
      </c>
      <c r="BB14" s="21">
        <f t="shared" si="26"/>
        <v>42.3</v>
      </c>
      <c r="BC14" s="21">
        <f t="shared" si="27"/>
        <v>30.800000000000011</v>
      </c>
      <c r="BD14" s="21">
        <f t="shared" si="27"/>
        <v>31.900000000000006</v>
      </c>
      <c r="BE14" s="24">
        <f t="shared" si="28"/>
        <v>105.00000000000001</v>
      </c>
      <c r="BF14" s="97">
        <f t="shared" si="8"/>
        <v>18.999999999999986</v>
      </c>
      <c r="BG14" s="83">
        <f t="shared" si="9"/>
        <v>105.00000000000001</v>
      </c>
    </row>
    <row r="15" spans="1:65" ht="16.5" customHeight="1" thickBot="1">
      <c r="A15" s="6">
        <f>ELEC!C12</f>
        <v>43809</v>
      </c>
      <c r="B15" s="5">
        <v>107778</v>
      </c>
      <c r="C15" s="5">
        <f t="shared" si="10"/>
        <v>0</v>
      </c>
      <c r="D15" s="445">
        <f t="shared" si="11"/>
        <v>0</v>
      </c>
      <c r="E15" s="352">
        <f>SUM((C15*$E$4)+(7500/'EDl log'!$A$38))</f>
        <v>241.93548387096774</v>
      </c>
      <c r="F15" s="444"/>
      <c r="G15" s="5">
        <v>582653</v>
      </c>
      <c r="H15" s="5">
        <f t="shared" si="12"/>
        <v>0</v>
      </c>
      <c r="I15" s="5">
        <f t="shared" si="0"/>
        <v>0</v>
      </c>
      <c r="J15" s="353">
        <f t="shared" si="1"/>
        <v>0</v>
      </c>
      <c r="K15" s="5">
        <f>'Swimming Pool quality check '!H15</f>
        <v>5680</v>
      </c>
      <c r="L15" s="84">
        <f t="shared" si="30"/>
        <v>5</v>
      </c>
      <c r="M15" s="436">
        <f t="shared" si="13"/>
        <v>457.44</v>
      </c>
      <c r="N15" s="574">
        <f t="shared" si="34"/>
        <v>0</v>
      </c>
      <c r="O15" s="436">
        <f t="shared" si="13"/>
        <v>529.52</v>
      </c>
      <c r="P15" s="574">
        <f t="shared" si="35"/>
        <v>0</v>
      </c>
      <c r="Q15" s="574">
        <f t="shared" si="36"/>
        <v>0</v>
      </c>
      <c r="R15" s="574"/>
      <c r="S15" s="574"/>
      <c r="T15" s="5">
        <v>4228</v>
      </c>
      <c r="U15" s="5">
        <f t="shared" si="4"/>
        <v>6</v>
      </c>
      <c r="V15" s="5">
        <v>298</v>
      </c>
      <c r="W15" s="343">
        <f t="shared" si="14"/>
        <v>3</v>
      </c>
      <c r="X15" s="5">
        <v>137422</v>
      </c>
      <c r="Y15" s="343">
        <f t="shared" si="15"/>
        <v>19</v>
      </c>
      <c r="Z15" s="5">
        <v>89722</v>
      </c>
      <c r="AA15" s="84">
        <f t="shared" si="16"/>
        <v>10</v>
      </c>
      <c r="AB15" s="5">
        <f t="shared" si="17"/>
        <v>253</v>
      </c>
      <c r="AC15" s="5">
        <f t="shared" si="17"/>
        <v>670</v>
      </c>
      <c r="AD15" s="84">
        <f t="shared" si="29"/>
        <v>0</v>
      </c>
      <c r="AE15" s="5">
        <f t="shared" si="17"/>
        <v>33.46</v>
      </c>
      <c r="AF15" s="84">
        <f t="shared" si="18"/>
        <v>0</v>
      </c>
      <c r="AG15" s="5">
        <f t="shared" si="17"/>
        <v>727.54</v>
      </c>
      <c r="AH15" s="84">
        <f t="shared" si="19"/>
        <v>0</v>
      </c>
      <c r="AI15" s="84">
        <f t="shared" si="20"/>
        <v>0</v>
      </c>
      <c r="AJ15" s="345">
        <f t="shared" si="21"/>
        <v>10</v>
      </c>
      <c r="AK15" s="346">
        <f t="shared" si="5"/>
        <v>14</v>
      </c>
      <c r="AL15" s="346">
        <f t="shared" si="22"/>
        <v>7</v>
      </c>
      <c r="AM15" s="346">
        <f>'General information '!D15</f>
        <v>16</v>
      </c>
      <c r="AN15" s="85">
        <f>'General information '!H15</f>
        <v>0</v>
      </c>
      <c r="AO15" s="85"/>
      <c r="AP15" s="85">
        <f>'General information '!J15</f>
        <v>153</v>
      </c>
      <c r="AQ15" s="82"/>
      <c r="AR15" s="288">
        <f t="shared" si="23"/>
        <v>43809</v>
      </c>
      <c r="AS15" s="451">
        <f t="shared" si="6"/>
        <v>0.9</v>
      </c>
      <c r="AT15" s="206">
        <v>57</v>
      </c>
      <c r="AU15" s="452">
        <f t="shared" si="31"/>
        <v>1.1000000000000001</v>
      </c>
      <c r="AV15" s="206">
        <v>85</v>
      </c>
      <c r="AW15" s="5">
        <v>2.9</v>
      </c>
      <c r="AX15" s="206">
        <v>75</v>
      </c>
      <c r="AY15" s="455">
        <f t="shared" si="7"/>
        <v>51.300000000000004</v>
      </c>
      <c r="AZ15" s="455">
        <f t="shared" si="24"/>
        <v>93.500000000000014</v>
      </c>
      <c r="BA15" s="455">
        <f t="shared" si="25"/>
        <v>217.5</v>
      </c>
      <c r="BB15" s="21">
        <f t="shared" si="26"/>
        <v>-7.1999999999999957</v>
      </c>
      <c r="BC15" s="21">
        <f t="shared" si="27"/>
        <v>-11</v>
      </c>
      <c r="BD15" s="21">
        <f t="shared" si="27"/>
        <v>-11.599999999999994</v>
      </c>
      <c r="BE15" s="24">
        <f t="shared" si="28"/>
        <v>-29.79999999999999</v>
      </c>
      <c r="BF15" s="97">
        <f t="shared" si="8"/>
        <v>29.79999999999999</v>
      </c>
      <c r="BG15" s="83">
        <f t="shared" si="9"/>
        <v>-29.79999999999999</v>
      </c>
    </row>
    <row r="16" spans="1:65" ht="15.75" thickBot="1">
      <c r="A16" s="6">
        <f>ELEC!C13</f>
        <v>43810</v>
      </c>
      <c r="B16" s="5">
        <f t="shared" si="32"/>
        <v>107778</v>
      </c>
      <c r="C16" s="5">
        <f t="shared" si="10"/>
        <v>0</v>
      </c>
      <c r="D16" s="445">
        <f t="shared" si="11"/>
        <v>0</v>
      </c>
      <c r="E16" s="352">
        <f>SUM((C16*$E$4)+(7500/'EDl log'!$A$38))</f>
        <v>241.93548387096774</v>
      </c>
      <c r="F16" s="444"/>
      <c r="G16" s="5">
        <f t="shared" si="33"/>
        <v>582653</v>
      </c>
      <c r="H16" s="5">
        <f t="shared" si="12"/>
        <v>0</v>
      </c>
      <c r="I16" s="5">
        <f t="shared" si="0"/>
        <v>0</v>
      </c>
      <c r="J16" s="353">
        <f t="shared" si="1"/>
        <v>0</v>
      </c>
      <c r="K16" s="5">
        <f>'Swimming Pool quality check '!H16</f>
        <v>5683</v>
      </c>
      <c r="L16" s="283">
        <f t="shared" si="30"/>
        <v>3</v>
      </c>
      <c r="M16" s="436">
        <f t="shared" si="13"/>
        <v>457.44</v>
      </c>
      <c r="N16" s="574">
        <f t="shared" si="34"/>
        <v>0</v>
      </c>
      <c r="O16" s="436">
        <f t="shared" si="13"/>
        <v>529.52</v>
      </c>
      <c r="P16" s="574">
        <f t="shared" si="35"/>
        <v>0</v>
      </c>
      <c r="Q16" s="574">
        <f t="shared" si="36"/>
        <v>0</v>
      </c>
      <c r="R16" s="576"/>
      <c r="S16" s="576"/>
      <c r="T16" s="5">
        <f t="shared" si="17"/>
        <v>4228</v>
      </c>
      <c r="U16" s="5">
        <f t="shared" si="4"/>
        <v>0</v>
      </c>
      <c r="V16" s="5">
        <f t="shared" si="17"/>
        <v>298</v>
      </c>
      <c r="W16" s="343">
        <f t="shared" si="14"/>
        <v>0</v>
      </c>
      <c r="X16" s="5">
        <v>137552</v>
      </c>
      <c r="Y16" s="343">
        <f t="shared" si="15"/>
        <v>130</v>
      </c>
      <c r="Z16" s="5">
        <v>89797</v>
      </c>
      <c r="AA16" s="84">
        <f t="shared" si="16"/>
        <v>75</v>
      </c>
      <c r="AB16" s="5">
        <f t="shared" si="17"/>
        <v>253</v>
      </c>
      <c r="AC16" s="5">
        <f t="shared" si="17"/>
        <v>670</v>
      </c>
      <c r="AD16" s="84">
        <f t="shared" si="29"/>
        <v>0</v>
      </c>
      <c r="AE16" s="5">
        <v>36.880000000000003</v>
      </c>
      <c r="AF16" s="84">
        <f t="shared" si="18"/>
        <v>3.4200000000000017</v>
      </c>
      <c r="AG16" s="5">
        <f t="shared" si="17"/>
        <v>727.54</v>
      </c>
      <c r="AH16" s="84">
        <f t="shared" si="19"/>
        <v>0</v>
      </c>
      <c r="AI16" s="84">
        <f t="shared" si="20"/>
        <v>3.4200000000000017</v>
      </c>
      <c r="AJ16" s="345">
        <f t="shared" si="21"/>
        <v>75</v>
      </c>
      <c r="AK16" s="346">
        <f t="shared" si="5"/>
        <v>127</v>
      </c>
      <c r="AL16" s="346">
        <f t="shared" si="22"/>
        <v>75</v>
      </c>
      <c r="AM16" s="346">
        <f>'General information '!D16</f>
        <v>16.5</v>
      </c>
      <c r="AN16" s="85">
        <f>'General information '!H16</f>
        <v>0</v>
      </c>
      <c r="AO16" s="85"/>
      <c r="AP16" s="85">
        <f>'General information '!J16</f>
        <v>156</v>
      </c>
      <c r="AQ16" s="82"/>
      <c r="AR16" s="288">
        <f t="shared" si="23"/>
        <v>43810</v>
      </c>
      <c r="AS16" s="451">
        <f t="shared" si="6"/>
        <v>0.9</v>
      </c>
      <c r="AT16" s="206">
        <v>72</v>
      </c>
      <c r="AU16" s="452">
        <f t="shared" si="31"/>
        <v>1.1000000000000001</v>
      </c>
      <c r="AV16" s="206">
        <v>101</v>
      </c>
      <c r="AW16" s="5">
        <v>2.9</v>
      </c>
      <c r="AX16" s="206">
        <v>100</v>
      </c>
      <c r="AY16" s="455">
        <f t="shared" si="7"/>
        <v>64.8</v>
      </c>
      <c r="AZ16" s="455">
        <f t="shared" si="24"/>
        <v>111.10000000000001</v>
      </c>
      <c r="BA16" s="455">
        <f t="shared" si="25"/>
        <v>290</v>
      </c>
      <c r="BB16" s="21">
        <f t="shared" si="26"/>
        <v>13.499999999999993</v>
      </c>
      <c r="BC16" s="21">
        <f t="shared" si="27"/>
        <v>17.599999999999994</v>
      </c>
      <c r="BD16" s="21">
        <f t="shared" si="27"/>
        <v>72.5</v>
      </c>
      <c r="BE16" s="24">
        <f t="shared" si="28"/>
        <v>103.6</v>
      </c>
      <c r="BF16" s="97">
        <f t="shared" si="8"/>
        <v>-103.6</v>
      </c>
      <c r="BG16" s="83">
        <f t="shared" si="9"/>
        <v>103.6</v>
      </c>
    </row>
    <row r="17" spans="1:61" ht="15.75" thickBot="1">
      <c r="A17" s="6">
        <f>ELEC!C14</f>
        <v>43811</v>
      </c>
      <c r="B17" s="5">
        <f t="shared" si="32"/>
        <v>107778</v>
      </c>
      <c r="C17" s="5">
        <f t="shared" si="10"/>
        <v>0</v>
      </c>
      <c r="D17" s="445">
        <f t="shared" si="11"/>
        <v>0</v>
      </c>
      <c r="E17" s="352">
        <f>SUM((C17*$E$4)+(7500/'EDl log'!$A$38))</f>
        <v>241.93548387096774</v>
      </c>
      <c r="F17" s="444"/>
      <c r="G17" s="5">
        <v>582653</v>
      </c>
      <c r="H17" s="5">
        <f t="shared" si="12"/>
        <v>0</v>
      </c>
      <c r="I17" s="5">
        <f t="shared" si="0"/>
        <v>0</v>
      </c>
      <c r="J17" s="353">
        <f t="shared" si="1"/>
        <v>0</v>
      </c>
      <c r="K17" s="5">
        <f>'Swimming Pool quality check '!H17</f>
        <v>5690</v>
      </c>
      <c r="L17" s="84">
        <f t="shared" si="30"/>
        <v>7</v>
      </c>
      <c r="M17" s="436">
        <f t="shared" si="13"/>
        <v>457.44</v>
      </c>
      <c r="N17" s="574">
        <f t="shared" si="34"/>
        <v>0</v>
      </c>
      <c r="O17" s="436">
        <f t="shared" si="13"/>
        <v>529.52</v>
      </c>
      <c r="P17" s="574">
        <f t="shared" si="35"/>
        <v>0</v>
      </c>
      <c r="Q17" s="574">
        <f t="shared" si="36"/>
        <v>0</v>
      </c>
      <c r="R17" s="574"/>
      <c r="S17" s="574"/>
      <c r="T17" s="5">
        <v>4231</v>
      </c>
      <c r="U17" s="5">
        <f t="shared" si="4"/>
        <v>3</v>
      </c>
      <c r="V17" s="5">
        <v>298</v>
      </c>
      <c r="W17" s="343">
        <f t="shared" si="14"/>
        <v>0</v>
      </c>
      <c r="X17" s="5">
        <v>137552</v>
      </c>
      <c r="Y17" s="343">
        <f t="shared" si="15"/>
        <v>0</v>
      </c>
      <c r="Z17" s="5">
        <v>89797</v>
      </c>
      <c r="AA17" s="84">
        <f t="shared" si="16"/>
        <v>0</v>
      </c>
      <c r="AB17" s="5">
        <v>253</v>
      </c>
      <c r="AC17" s="5">
        <v>670</v>
      </c>
      <c r="AD17" s="84">
        <f t="shared" si="29"/>
        <v>0</v>
      </c>
      <c r="AE17" s="5">
        <v>36.880000000000003</v>
      </c>
      <c r="AF17" s="84">
        <f t="shared" si="18"/>
        <v>0</v>
      </c>
      <c r="AG17" s="5">
        <v>757.9</v>
      </c>
      <c r="AH17" s="84">
        <f t="shared" si="19"/>
        <v>30.360000000000014</v>
      </c>
      <c r="AI17" s="84">
        <f t="shared" si="20"/>
        <v>30.360000000000014</v>
      </c>
      <c r="AJ17" s="345">
        <f t="shared" si="21"/>
        <v>0</v>
      </c>
      <c r="AK17" s="346">
        <f t="shared" si="5"/>
        <v>-7</v>
      </c>
      <c r="AL17" s="346">
        <f t="shared" si="22"/>
        <v>0</v>
      </c>
      <c r="AM17" s="346">
        <f>'General information '!D17</f>
        <v>17.5</v>
      </c>
      <c r="AN17" s="85">
        <f>'General information '!H17</f>
        <v>0</v>
      </c>
      <c r="AO17" s="85"/>
      <c r="AP17" s="85">
        <f>'General information '!J17</f>
        <v>199</v>
      </c>
      <c r="AQ17" s="96"/>
      <c r="AR17" s="288">
        <f t="shared" si="23"/>
        <v>43811</v>
      </c>
      <c r="AS17" s="451">
        <f t="shared" si="6"/>
        <v>0.9</v>
      </c>
      <c r="AT17" s="206">
        <v>72</v>
      </c>
      <c r="AU17" s="452">
        <f t="shared" si="31"/>
        <v>1.1000000000000001</v>
      </c>
      <c r="AV17" s="206">
        <v>82</v>
      </c>
      <c r="AW17" s="5">
        <v>2.9</v>
      </c>
      <c r="AX17" s="206">
        <v>87</v>
      </c>
      <c r="AY17" s="455">
        <f t="shared" si="7"/>
        <v>64.8</v>
      </c>
      <c r="AZ17" s="455">
        <f t="shared" si="24"/>
        <v>90.2</v>
      </c>
      <c r="BA17" s="455">
        <f t="shared" si="25"/>
        <v>252.29999999999998</v>
      </c>
      <c r="BB17" s="21">
        <f t="shared" si="26"/>
        <v>0</v>
      </c>
      <c r="BC17" s="21">
        <f t="shared" si="27"/>
        <v>-20.900000000000006</v>
      </c>
      <c r="BD17" s="21">
        <f t="shared" si="27"/>
        <v>-37.700000000000017</v>
      </c>
      <c r="BE17" s="24">
        <f t="shared" si="28"/>
        <v>-58.600000000000023</v>
      </c>
      <c r="BF17" s="97">
        <f t="shared" si="8"/>
        <v>58.600000000000023</v>
      </c>
      <c r="BG17" s="83">
        <f t="shared" si="9"/>
        <v>-58.600000000000023</v>
      </c>
    </row>
    <row r="18" spans="1:61" ht="15.75" thickBot="1">
      <c r="A18" s="6">
        <f>ELEC!C15</f>
        <v>43812</v>
      </c>
      <c r="B18" s="5">
        <v>107778</v>
      </c>
      <c r="C18" s="5">
        <f t="shared" si="10"/>
        <v>0</v>
      </c>
      <c r="D18" s="445">
        <f t="shared" si="11"/>
        <v>0</v>
      </c>
      <c r="E18" s="352">
        <f>SUM((C18*$E$4)+(7500/'EDl log'!$A$38))</f>
        <v>241.93548387096774</v>
      </c>
      <c r="F18" s="444"/>
      <c r="G18" s="5">
        <v>582653</v>
      </c>
      <c r="H18" s="5">
        <f t="shared" si="12"/>
        <v>0</v>
      </c>
      <c r="I18" s="5">
        <f t="shared" si="0"/>
        <v>0</v>
      </c>
      <c r="J18" s="353">
        <f t="shared" si="1"/>
        <v>0</v>
      </c>
      <c r="K18" s="5">
        <f>'Swimming Pool quality check '!H18</f>
        <v>5693</v>
      </c>
      <c r="L18" s="84">
        <f t="shared" si="30"/>
        <v>3</v>
      </c>
      <c r="M18" s="436">
        <f t="shared" si="13"/>
        <v>457.44</v>
      </c>
      <c r="N18" s="574">
        <f t="shared" si="34"/>
        <v>0</v>
      </c>
      <c r="O18" s="436">
        <f t="shared" si="13"/>
        <v>529.52</v>
      </c>
      <c r="P18" s="574">
        <f t="shared" si="35"/>
        <v>0</v>
      </c>
      <c r="Q18" s="574">
        <f t="shared" si="36"/>
        <v>0</v>
      </c>
      <c r="R18" s="574"/>
      <c r="S18" s="574"/>
      <c r="T18" s="5">
        <v>4238</v>
      </c>
      <c r="U18" s="5">
        <f t="shared" si="4"/>
        <v>7</v>
      </c>
      <c r="V18" s="5">
        <v>298</v>
      </c>
      <c r="W18" s="343">
        <f t="shared" si="14"/>
        <v>0</v>
      </c>
      <c r="X18" s="5">
        <v>137652</v>
      </c>
      <c r="Y18" s="343">
        <f t="shared" si="15"/>
        <v>100</v>
      </c>
      <c r="Z18" s="5">
        <v>89841</v>
      </c>
      <c r="AA18" s="84">
        <f t="shared" si="16"/>
        <v>44</v>
      </c>
      <c r="AB18" s="5">
        <f t="shared" si="17"/>
        <v>253</v>
      </c>
      <c r="AC18" s="5">
        <f t="shared" si="17"/>
        <v>670</v>
      </c>
      <c r="AD18" s="84">
        <f t="shared" si="29"/>
        <v>0</v>
      </c>
      <c r="AE18" s="5">
        <v>36.880000000000003</v>
      </c>
      <c r="AF18" s="84">
        <f t="shared" si="18"/>
        <v>0</v>
      </c>
      <c r="AG18" s="5">
        <v>759.19</v>
      </c>
      <c r="AH18" s="84">
        <f t="shared" si="19"/>
        <v>1.2900000000000773</v>
      </c>
      <c r="AI18" s="84">
        <f t="shared" si="20"/>
        <v>1.2900000000000773</v>
      </c>
      <c r="AJ18" s="345">
        <f t="shared" si="21"/>
        <v>44</v>
      </c>
      <c r="AK18" s="346">
        <f t="shared" si="5"/>
        <v>97</v>
      </c>
      <c r="AL18" s="346">
        <f t="shared" si="22"/>
        <v>44</v>
      </c>
      <c r="AM18" s="346">
        <f>'General information '!D18</f>
        <v>16.5</v>
      </c>
      <c r="AN18" s="85">
        <f>'General information '!H18</f>
        <v>0</v>
      </c>
      <c r="AO18" s="85"/>
      <c r="AP18" s="85">
        <f>'General information '!J18</f>
        <v>276</v>
      </c>
      <c r="AQ18" s="96"/>
      <c r="AR18" s="288">
        <f t="shared" si="23"/>
        <v>43812</v>
      </c>
      <c r="AS18" s="451">
        <f t="shared" si="6"/>
        <v>0.9</v>
      </c>
      <c r="AT18" s="206">
        <v>114</v>
      </c>
      <c r="AU18" s="452">
        <f t="shared" si="31"/>
        <v>1.1000000000000001</v>
      </c>
      <c r="AV18" s="206">
        <v>94</v>
      </c>
      <c r="AW18" s="5">
        <v>2.9</v>
      </c>
      <c r="AX18" s="206">
        <v>101</v>
      </c>
      <c r="AY18" s="455">
        <f t="shared" si="7"/>
        <v>102.60000000000001</v>
      </c>
      <c r="AZ18" s="455">
        <f t="shared" si="24"/>
        <v>103.4</v>
      </c>
      <c r="BA18" s="455">
        <f t="shared" si="25"/>
        <v>292.89999999999998</v>
      </c>
      <c r="BB18" s="21">
        <f t="shared" si="26"/>
        <v>37.800000000000011</v>
      </c>
      <c r="BC18" s="21">
        <f t="shared" si="27"/>
        <v>13.200000000000003</v>
      </c>
      <c r="BD18" s="21">
        <f t="shared" si="27"/>
        <v>40.599999999999994</v>
      </c>
      <c r="BE18" s="24">
        <f t="shared" si="28"/>
        <v>91.600000000000009</v>
      </c>
      <c r="BF18" s="97">
        <f t="shared" si="8"/>
        <v>-91.600000000000009</v>
      </c>
      <c r="BG18" s="83">
        <f t="shared" si="9"/>
        <v>91.600000000000009</v>
      </c>
    </row>
    <row r="19" spans="1:61" ht="15.75" thickBot="1">
      <c r="A19" s="6">
        <f>ELEC!C16</f>
        <v>43813</v>
      </c>
      <c r="B19" s="5">
        <f t="shared" si="32"/>
        <v>107778</v>
      </c>
      <c r="C19" s="5">
        <f t="shared" si="10"/>
        <v>0</v>
      </c>
      <c r="D19" s="445">
        <f t="shared" si="11"/>
        <v>0</v>
      </c>
      <c r="E19" s="352">
        <f>SUM((C19*$E$4)+(7500/'EDl log'!$A$38))</f>
        <v>241.93548387096774</v>
      </c>
      <c r="F19" s="444"/>
      <c r="G19" s="5">
        <v>582653</v>
      </c>
      <c r="H19" s="5">
        <f t="shared" si="12"/>
        <v>0</v>
      </c>
      <c r="I19" s="5">
        <f t="shared" si="0"/>
        <v>0</v>
      </c>
      <c r="J19" s="353">
        <f t="shared" si="1"/>
        <v>0</v>
      </c>
      <c r="K19" s="5">
        <f>'Swimming Pool quality check '!H19</f>
        <v>5698</v>
      </c>
      <c r="L19" s="84">
        <f t="shared" si="30"/>
        <v>5</v>
      </c>
      <c r="M19" s="436">
        <f t="shared" si="13"/>
        <v>457.44</v>
      </c>
      <c r="N19" s="574">
        <f t="shared" si="34"/>
        <v>0</v>
      </c>
      <c r="O19" s="436">
        <f t="shared" si="13"/>
        <v>529.52</v>
      </c>
      <c r="P19" s="574">
        <f t="shared" si="35"/>
        <v>0</v>
      </c>
      <c r="Q19" s="574">
        <f t="shared" si="36"/>
        <v>0</v>
      </c>
      <c r="R19" s="574"/>
      <c r="S19" s="574"/>
      <c r="T19" s="5">
        <v>4243</v>
      </c>
      <c r="U19" s="5">
        <f t="shared" si="4"/>
        <v>5</v>
      </c>
      <c r="V19" s="5">
        <v>299</v>
      </c>
      <c r="W19" s="343">
        <f t="shared" si="14"/>
        <v>1</v>
      </c>
      <c r="X19" s="5">
        <v>137695</v>
      </c>
      <c r="Y19" s="343">
        <f t="shared" si="15"/>
        <v>43</v>
      </c>
      <c r="Z19" s="5">
        <v>89872</v>
      </c>
      <c r="AA19" s="84">
        <f t="shared" si="16"/>
        <v>31</v>
      </c>
      <c r="AB19" s="5">
        <f t="shared" si="17"/>
        <v>253</v>
      </c>
      <c r="AC19" s="5">
        <f t="shared" si="17"/>
        <v>670</v>
      </c>
      <c r="AD19" s="84">
        <f t="shared" si="29"/>
        <v>0</v>
      </c>
      <c r="AE19" s="5">
        <v>37.82</v>
      </c>
      <c r="AF19" s="84">
        <f t="shared" si="18"/>
        <v>0.93999999999999773</v>
      </c>
      <c r="AG19" s="5">
        <v>766.31</v>
      </c>
      <c r="AH19" s="84">
        <f t="shared" si="19"/>
        <v>7.1199999999998909</v>
      </c>
      <c r="AI19" s="84">
        <f t="shared" si="20"/>
        <v>8.0599999999998886</v>
      </c>
      <c r="AJ19" s="345">
        <f t="shared" si="21"/>
        <v>31</v>
      </c>
      <c r="AK19" s="346">
        <f t="shared" si="5"/>
        <v>38</v>
      </c>
      <c r="AL19" s="346">
        <f t="shared" si="22"/>
        <v>30</v>
      </c>
      <c r="AM19" s="346">
        <f>'General information '!D19</f>
        <v>15</v>
      </c>
      <c r="AN19" s="85">
        <f>'General information '!H19</f>
        <v>150</v>
      </c>
      <c r="AO19" s="85"/>
      <c r="AP19" s="85">
        <f>'General information '!J19</f>
        <v>300</v>
      </c>
      <c r="AQ19" s="82"/>
      <c r="AR19" s="288">
        <f t="shared" si="23"/>
        <v>43813</v>
      </c>
      <c r="AS19" s="451">
        <f t="shared" si="6"/>
        <v>0.9</v>
      </c>
      <c r="AT19" s="206">
        <v>52</v>
      </c>
      <c r="AU19" s="452">
        <f t="shared" si="31"/>
        <v>1.1000000000000001</v>
      </c>
      <c r="AV19" s="206">
        <v>92</v>
      </c>
      <c r="AW19" s="5">
        <v>2.9</v>
      </c>
      <c r="AX19" s="206">
        <v>100</v>
      </c>
      <c r="AY19" s="455">
        <f t="shared" si="7"/>
        <v>46.800000000000004</v>
      </c>
      <c r="AZ19" s="455">
        <f t="shared" si="24"/>
        <v>101.2</v>
      </c>
      <c r="BA19" s="455">
        <f t="shared" si="25"/>
        <v>290</v>
      </c>
      <c r="BB19" s="21">
        <f t="shared" si="26"/>
        <v>-55.800000000000004</v>
      </c>
      <c r="BC19" s="21">
        <f t="shared" si="27"/>
        <v>-2.2000000000000028</v>
      </c>
      <c r="BD19" s="21">
        <f t="shared" si="27"/>
        <v>-2.8999999999999773</v>
      </c>
      <c r="BE19" s="24">
        <f t="shared" si="28"/>
        <v>-60.899999999999984</v>
      </c>
      <c r="BF19" s="97">
        <f t="shared" si="8"/>
        <v>60.899999999999984</v>
      </c>
      <c r="BG19" s="83">
        <f t="shared" si="9"/>
        <v>-60.899999999999984</v>
      </c>
    </row>
    <row r="20" spans="1:61" ht="15.75" thickBot="1">
      <c r="A20" s="6">
        <f>ELEC!C17</f>
        <v>43814</v>
      </c>
      <c r="B20" s="5">
        <v>107778</v>
      </c>
      <c r="C20" s="5">
        <f t="shared" si="10"/>
        <v>0</v>
      </c>
      <c r="D20" s="445">
        <f t="shared" si="11"/>
        <v>0</v>
      </c>
      <c r="E20" s="352">
        <f>SUM((C20*$E$4)+(7500/'EDl log'!$A$38))</f>
        <v>241.93548387096774</v>
      </c>
      <c r="F20" s="444"/>
      <c r="G20" s="5">
        <v>582948</v>
      </c>
      <c r="H20" s="5">
        <f t="shared" si="12"/>
        <v>295</v>
      </c>
      <c r="I20" s="5">
        <f t="shared" si="0"/>
        <v>295</v>
      </c>
      <c r="J20" s="353">
        <f t="shared" si="1"/>
        <v>0.82012028430836525</v>
      </c>
      <c r="K20" s="5">
        <f>'Swimming Pool quality check '!H20</f>
        <v>5699</v>
      </c>
      <c r="L20" s="84">
        <f t="shared" si="30"/>
        <v>1</v>
      </c>
      <c r="M20" s="436">
        <f t="shared" si="13"/>
        <v>457.44</v>
      </c>
      <c r="N20" s="574">
        <f t="shared" si="34"/>
        <v>0</v>
      </c>
      <c r="O20" s="436">
        <f t="shared" si="13"/>
        <v>529.52</v>
      </c>
      <c r="P20" s="574">
        <f t="shared" si="35"/>
        <v>0</v>
      </c>
      <c r="Q20" s="574">
        <f t="shared" si="36"/>
        <v>0</v>
      </c>
      <c r="R20" s="574"/>
      <c r="S20" s="574"/>
      <c r="T20" s="5">
        <v>4248</v>
      </c>
      <c r="U20" s="5">
        <f t="shared" si="4"/>
        <v>5</v>
      </c>
      <c r="V20" s="5">
        <v>305</v>
      </c>
      <c r="W20" s="343">
        <f t="shared" si="14"/>
        <v>6</v>
      </c>
      <c r="X20" s="5">
        <v>137837</v>
      </c>
      <c r="Y20" s="343">
        <f t="shared" si="15"/>
        <v>142</v>
      </c>
      <c r="Z20" s="5">
        <v>90003</v>
      </c>
      <c r="AA20" s="84">
        <f t="shared" si="16"/>
        <v>131</v>
      </c>
      <c r="AB20" s="5">
        <f t="shared" si="17"/>
        <v>253</v>
      </c>
      <c r="AC20" s="5">
        <f t="shared" si="17"/>
        <v>670</v>
      </c>
      <c r="AD20" s="84">
        <f t="shared" si="29"/>
        <v>0</v>
      </c>
      <c r="AE20" s="5">
        <v>40.520000000000003</v>
      </c>
      <c r="AF20" s="84">
        <f t="shared" si="18"/>
        <v>2.7000000000000028</v>
      </c>
      <c r="AG20" s="5">
        <v>790.66</v>
      </c>
      <c r="AH20" s="84">
        <f t="shared" si="19"/>
        <v>24.350000000000023</v>
      </c>
      <c r="AI20" s="84">
        <f t="shared" si="20"/>
        <v>27.050000000000026</v>
      </c>
      <c r="AJ20" s="345">
        <f t="shared" si="21"/>
        <v>131</v>
      </c>
      <c r="AK20" s="346">
        <f t="shared" si="5"/>
        <v>141</v>
      </c>
      <c r="AL20" s="346">
        <f t="shared" si="22"/>
        <v>125</v>
      </c>
      <c r="AM20" s="346">
        <f>'General information '!D20</f>
        <v>14.5</v>
      </c>
      <c r="AN20" s="85">
        <f>'General information '!H20</f>
        <v>0</v>
      </c>
      <c r="AO20" s="85"/>
      <c r="AP20" s="85">
        <f>'General information '!J20</f>
        <v>448</v>
      </c>
      <c r="AQ20" s="82"/>
      <c r="AR20" s="288">
        <f t="shared" si="23"/>
        <v>43814</v>
      </c>
      <c r="AS20" s="451">
        <f t="shared" si="6"/>
        <v>0.9</v>
      </c>
      <c r="AT20" s="206">
        <v>0</v>
      </c>
      <c r="AU20" s="452">
        <f t="shared" si="31"/>
        <v>1.1000000000000001</v>
      </c>
      <c r="AV20" s="206">
        <v>124</v>
      </c>
      <c r="AW20" s="5">
        <v>2.9</v>
      </c>
      <c r="AX20" s="206">
        <v>158</v>
      </c>
      <c r="AY20" s="455">
        <f t="shared" si="7"/>
        <v>0</v>
      </c>
      <c r="AZ20" s="455">
        <f t="shared" si="24"/>
        <v>136.4</v>
      </c>
      <c r="BA20" s="455">
        <f t="shared" si="25"/>
        <v>458.2</v>
      </c>
      <c r="BB20" s="21">
        <f t="shared" si="26"/>
        <v>-46.800000000000004</v>
      </c>
      <c r="BC20" s="21">
        <f t="shared" si="27"/>
        <v>35.200000000000003</v>
      </c>
      <c r="BD20" s="21">
        <f t="shared" si="27"/>
        <v>168.2</v>
      </c>
      <c r="BE20" s="24">
        <f t="shared" si="28"/>
        <v>156.6</v>
      </c>
      <c r="BF20" s="97">
        <f t="shared" si="8"/>
        <v>138.4</v>
      </c>
      <c r="BG20" s="83">
        <f t="shared" si="9"/>
        <v>156.6</v>
      </c>
    </row>
    <row r="21" spans="1:61" ht="15.75" thickBot="1">
      <c r="A21" s="6">
        <f>ELEC!C18</f>
        <v>43815</v>
      </c>
      <c r="B21" s="5">
        <f t="shared" si="32"/>
        <v>107778</v>
      </c>
      <c r="C21" s="5">
        <f t="shared" si="10"/>
        <v>0</v>
      </c>
      <c r="D21" s="445">
        <f t="shared" si="11"/>
        <v>0</v>
      </c>
      <c r="E21" s="352">
        <f>SUM((C21*$E$4)+(7500/'EDl log'!$A$38))</f>
        <v>241.93548387096774</v>
      </c>
      <c r="F21" s="346"/>
      <c r="G21" s="5">
        <v>582968</v>
      </c>
      <c r="H21" s="5">
        <f t="shared" si="12"/>
        <v>20</v>
      </c>
      <c r="I21" s="5">
        <f t="shared" si="0"/>
        <v>20</v>
      </c>
      <c r="J21" s="353">
        <f t="shared" si="1"/>
        <v>12.096774193548388</v>
      </c>
      <c r="K21" s="5">
        <f>'Swimming Pool quality check '!H21</f>
        <v>5700</v>
      </c>
      <c r="L21" s="84">
        <f t="shared" si="30"/>
        <v>1</v>
      </c>
      <c r="M21" s="436">
        <f t="shared" si="13"/>
        <v>457.44</v>
      </c>
      <c r="N21" s="574">
        <f t="shared" si="34"/>
        <v>0</v>
      </c>
      <c r="O21" s="436">
        <f t="shared" si="13"/>
        <v>529.52</v>
      </c>
      <c r="P21" s="574">
        <f t="shared" si="35"/>
        <v>0</v>
      </c>
      <c r="Q21" s="574">
        <f t="shared" si="36"/>
        <v>0</v>
      </c>
      <c r="R21" s="574"/>
      <c r="S21" s="574"/>
      <c r="T21" s="5">
        <v>4253</v>
      </c>
      <c r="U21" s="5">
        <f t="shared" si="4"/>
        <v>5</v>
      </c>
      <c r="V21" s="5">
        <v>306</v>
      </c>
      <c r="W21" s="343">
        <f t="shared" si="14"/>
        <v>1</v>
      </c>
      <c r="X21" s="5">
        <v>137837</v>
      </c>
      <c r="Y21" s="343">
        <f>SUM(X21-X20)</f>
        <v>0</v>
      </c>
      <c r="Z21" s="5">
        <v>90007</v>
      </c>
      <c r="AA21" s="84">
        <f t="shared" si="16"/>
        <v>4</v>
      </c>
      <c r="AB21" s="5">
        <f t="shared" si="17"/>
        <v>253</v>
      </c>
      <c r="AC21" s="5">
        <f t="shared" si="17"/>
        <v>670</v>
      </c>
      <c r="AD21" s="84">
        <f t="shared" si="29"/>
        <v>0</v>
      </c>
      <c r="AE21" s="5">
        <f t="shared" si="17"/>
        <v>40.520000000000003</v>
      </c>
      <c r="AF21" s="84">
        <f t="shared" si="18"/>
        <v>0</v>
      </c>
      <c r="AG21" s="5">
        <v>790.7</v>
      </c>
      <c r="AH21" s="84">
        <f t="shared" si="19"/>
        <v>4.0000000000077307E-2</v>
      </c>
      <c r="AI21" s="84">
        <f t="shared" si="20"/>
        <v>4.0000000000077307E-2</v>
      </c>
      <c r="AJ21" s="345">
        <f t="shared" si="21"/>
        <v>4</v>
      </c>
      <c r="AK21" s="346">
        <f t="shared" si="5"/>
        <v>-1</v>
      </c>
      <c r="AL21" s="346">
        <f t="shared" si="22"/>
        <v>3</v>
      </c>
      <c r="AM21" s="346">
        <f>'General information '!D21</f>
        <v>16.5</v>
      </c>
      <c r="AN21" s="85">
        <f>'General information '!H21</f>
        <v>0</v>
      </c>
      <c r="AO21" s="85"/>
      <c r="AP21" s="85">
        <f>'General information '!J21</f>
        <v>0</v>
      </c>
      <c r="AQ21" s="82"/>
      <c r="AR21" s="288">
        <f t="shared" si="23"/>
        <v>43815</v>
      </c>
      <c r="AS21" s="451">
        <f t="shared" si="6"/>
        <v>0.9</v>
      </c>
      <c r="AT21" s="206">
        <f t="shared" si="6"/>
        <v>0</v>
      </c>
      <c r="AU21" s="452">
        <f t="shared" si="31"/>
        <v>1.1000000000000001</v>
      </c>
      <c r="AV21" s="206">
        <v>132</v>
      </c>
      <c r="AW21" s="5">
        <v>2.9</v>
      </c>
      <c r="AX21" s="206">
        <v>110</v>
      </c>
      <c r="AY21" s="455">
        <f t="shared" si="7"/>
        <v>0</v>
      </c>
      <c r="AZ21" s="455">
        <f t="shared" si="24"/>
        <v>145.20000000000002</v>
      </c>
      <c r="BA21" s="455">
        <f t="shared" si="25"/>
        <v>319</v>
      </c>
      <c r="BB21" s="21">
        <f t="shared" si="26"/>
        <v>0</v>
      </c>
      <c r="BC21" s="21">
        <f t="shared" si="27"/>
        <v>8.8000000000000114</v>
      </c>
      <c r="BD21" s="21">
        <f t="shared" si="27"/>
        <v>-139.19999999999999</v>
      </c>
      <c r="BE21" s="24">
        <f t="shared" si="28"/>
        <v>-130.39999999999998</v>
      </c>
      <c r="BF21" s="97">
        <f t="shared" si="8"/>
        <v>150.39999999999998</v>
      </c>
      <c r="BG21" s="83">
        <f t="shared" si="9"/>
        <v>-130.39999999999998</v>
      </c>
    </row>
    <row r="22" spans="1:61" ht="15.75" thickBot="1">
      <c r="A22" s="6">
        <f>ELEC!C19</f>
        <v>43816</v>
      </c>
      <c r="B22" s="5">
        <v>107778</v>
      </c>
      <c r="C22" s="5">
        <f t="shared" si="10"/>
        <v>0</v>
      </c>
      <c r="D22" s="445">
        <f t="shared" si="11"/>
        <v>0</v>
      </c>
      <c r="E22" s="352">
        <f>SUM((C22*$E$4)+(7500/'EDl log'!$A$38))</f>
        <v>241.93548387096774</v>
      </c>
      <c r="F22" s="346"/>
      <c r="G22" s="5">
        <v>583253</v>
      </c>
      <c r="H22" s="5">
        <f t="shared" si="12"/>
        <v>285</v>
      </c>
      <c r="I22" s="5">
        <f t="shared" si="0"/>
        <v>285</v>
      </c>
      <c r="J22" s="353">
        <f t="shared" si="1"/>
        <v>0.84889643463497455</v>
      </c>
      <c r="K22" s="5">
        <f>'Swimming Pool quality check '!H22</f>
        <v>5708</v>
      </c>
      <c r="L22" s="84">
        <f t="shared" si="30"/>
        <v>8</v>
      </c>
      <c r="M22" s="436">
        <f t="shared" si="13"/>
        <v>457.44</v>
      </c>
      <c r="N22" s="574">
        <f t="shared" si="34"/>
        <v>0</v>
      </c>
      <c r="O22" s="436">
        <f t="shared" si="13"/>
        <v>529.52</v>
      </c>
      <c r="P22" s="574">
        <f t="shared" si="35"/>
        <v>0</v>
      </c>
      <c r="Q22" s="574">
        <f t="shared" si="36"/>
        <v>0</v>
      </c>
      <c r="R22" s="574"/>
      <c r="S22" s="574"/>
      <c r="T22" s="5">
        <v>4258</v>
      </c>
      <c r="U22" s="5">
        <f t="shared" si="4"/>
        <v>5</v>
      </c>
      <c r="V22" s="5">
        <v>307</v>
      </c>
      <c r="W22" s="343">
        <f t="shared" si="14"/>
        <v>1</v>
      </c>
      <c r="X22" s="5">
        <v>137837</v>
      </c>
      <c r="Y22" s="343">
        <f t="shared" si="15"/>
        <v>0</v>
      </c>
      <c r="Z22" s="5">
        <v>90010</v>
      </c>
      <c r="AA22" s="84">
        <f t="shared" si="16"/>
        <v>3</v>
      </c>
      <c r="AB22" s="5">
        <f t="shared" si="17"/>
        <v>253</v>
      </c>
      <c r="AC22" s="5">
        <f t="shared" si="17"/>
        <v>670</v>
      </c>
      <c r="AD22" s="84">
        <f t="shared" si="29"/>
        <v>0</v>
      </c>
      <c r="AE22" s="5">
        <v>40.520000000000003</v>
      </c>
      <c r="AF22" s="84">
        <f t="shared" si="18"/>
        <v>0</v>
      </c>
      <c r="AG22" s="5">
        <v>791.45</v>
      </c>
      <c r="AH22" s="84">
        <f t="shared" si="19"/>
        <v>0.75</v>
      </c>
      <c r="AI22" s="84">
        <f t="shared" si="20"/>
        <v>0.75</v>
      </c>
      <c r="AJ22" s="345">
        <f t="shared" si="21"/>
        <v>3</v>
      </c>
      <c r="AK22" s="346">
        <f t="shared" si="5"/>
        <v>-8</v>
      </c>
      <c r="AL22" s="346">
        <f t="shared" si="22"/>
        <v>2</v>
      </c>
      <c r="AM22" s="346">
        <f>'General information '!D22</f>
        <v>18</v>
      </c>
      <c r="AN22" s="85">
        <f>'General information '!H22</f>
        <v>0</v>
      </c>
      <c r="AO22" s="85"/>
      <c r="AP22" s="85">
        <f>'General information '!J22</f>
        <v>405</v>
      </c>
      <c r="AR22" s="288">
        <f t="shared" si="23"/>
        <v>43816</v>
      </c>
      <c r="AS22" s="451">
        <f t="shared" ref="AS22:AT37" si="37">AS21</f>
        <v>0.9</v>
      </c>
      <c r="AT22" s="206">
        <v>150</v>
      </c>
      <c r="AU22" s="452">
        <f t="shared" si="31"/>
        <v>1.1000000000000001</v>
      </c>
      <c r="AV22" s="206">
        <v>112</v>
      </c>
      <c r="AW22" s="5">
        <v>2.9</v>
      </c>
      <c r="AX22" s="206">
        <v>98</v>
      </c>
      <c r="AY22" s="455">
        <f t="shared" si="7"/>
        <v>135</v>
      </c>
      <c r="AZ22" s="455">
        <f t="shared" si="24"/>
        <v>123.20000000000002</v>
      </c>
      <c r="BA22" s="455">
        <f t="shared" si="25"/>
        <v>284.2</v>
      </c>
      <c r="BB22" s="21">
        <f t="shared" si="26"/>
        <v>135</v>
      </c>
      <c r="BC22" s="21">
        <f t="shared" si="26"/>
        <v>-22</v>
      </c>
      <c r="BD22" s="21">
        <f t="shared" si="26"/>
        <v>-34.800000000000011</v>
      </c>
      <c r="BE22" s="24">
        <f t="shared" si="28"/>
        <v>78.199999999999989</v>
      </c>
      <c r="BF22" s="97">
        <f t="shared" si="8"/>
        <v>206.8</v>
      </c>
      <c r="BG22" s="83">
        <f t="shared" si="9"/>
        <v>78.199999999999989</v>
      </c>
    </row>
    <row r="23" spans="1:61" ht="15.75" thickBot="1">
      <c r="A23" s="6">
        <f>ELEC!C20</f>
        <v>43817</v>
      </c>
      <c r="B23" s="5">
        <v>107778</v>
      </c>
      <c r="C23" s="5">
        <f t="shared" si="10"/>
        <v>0</v>
      </c>
      <c r="D23" s="445">
        <f t="shared" si="11"/>
        <v>0</v>
      </c>
      <c r="E23" s="352">
        <f>SUM((C23*$E$4)+(7500/'EDl log'!$A$38))</f>
        <v>241.93548387096774</v>
      </c>
      <c r="F23" s="346"/>
      <c r="G23" s="5">
        <v>583271</v>
      </c>
      <c r="H23" s="5">
        <f t="shared" si="12"/>
        <v>18</v>
      </c>
      <c r="I23" s="5">
        <f t="shared" si="0"/>
        <v>18</v>
      </c>
      <c r="J23" s="353">
        <f t="shared" si="1"/>
        <v>13.440860215053764</v>
      </c>
      <c r="K23" s="5">
        <f>'Swimming Pool quality check '!H23</f>
        <v>5714</v>
      </c>
      <c r="L23" s="283">
        <f t="shared" si="30"/>
        <v>6</v>
      </c>
      <c r="M23" s="436">
        <f t="shared" si="13"/>
        <v>457.44</v>
      </c>
      <c r="N23" s="574">
        <f t="shared" si="34"/>
        <v>0</v>
      </c>
      <c r="O23" s="436">
        <f t="shared" si="13"/>
        <v>529.52</v>
      </c>
      <c r="P23" s="574">
        <f t="shared" si="35"/>
        <v>0</v>
      </c>
      <c r="Q23" s="574">
        <f t="shared" si="36"/>
        <v>0</v>
      </c>
      <c r="R23" s="576"/>
      <c r="S23" s="576"/>
      <c r="T23" s="5">
        <v>4262</v>
      </c>
      <c r="U23" s="5">
        <f t="shared" si="4"/>
        <v>4</v>
      </c>
      <c r="V23" s="5">
        <v>307</v>
      </c>
      <c r="W23" s="343">
        <f t="shared" si="14"/>
        <v>0</v>
      </c>
      <c r="X23" s="5">
        <v>137909</v>
      </c>
      <c r="Y23" s="343">
        <f t="shared" si="15"/>
        <v>72</v>
      </c>
      <c r="Z23" s="5">
        <v>90055</v>
      </c>
      <c r="AA23" s="84">
        <f t="shared" si="16"/>
        <v>45</v>
      </c>
      <c r="AB23" s="5">
        <f t="shared" si="17"/>
        <v>253</v>
      </c>
      <c r="AC23" s="5">
        <f t="shared" si="17"/>
        <v>670</v>
      </c>
      <c r="AD23" s="84">
        <f t="shared" si="29"/>
        <v>0</v>
      </c>
      <c r="AE23" s="5">
        <v>41.44</v>
      </c>
      <c r="AF23" s="84">
        <f t="shared" si="18"/>
        <v>0.9199999999999946</v>
      </c>
      <c r="AG23" s="5">
        <v>797.25</v>
      </c>
      <c r="AH23" s="84">
        <f t="shared" si="19"/>
        <v>5.7999999999999545</v>
      </c>
      <c r="AI23" s="84">
        <f t="shared" si="20"/>
        <v>6.7199999999999491</v>
      </c>
      <c r="AJ23" s="345">
        <f t="shared" si="21"/>
        <v>45</v>
      </c>
      <c r="AK23" s="346">
        <f t="shared" si="5"/>
        <v>66</v>
      </c>
      <c r="AL23" s="346">
        <f t="shared" si="22"/>
        <v>45</v>
      </c>
      <c r="AM23" s="346">
        <f>'General information '!D23</f>
        <v>18</v>
      </c>
      <c r="AN23" s="85">
        <f>'General information '!H23</f>
        <v>0</v>
      </c>
      <c r="AO23" s="85"/>
      <c r="AP23" s="85">
        <f>'General information '!J23</f>
        <v>180</v>
      </c>
      <c r="AR23" s="288">
        <f t="shared" si="23"/>
        <v>43817</v>
      </c>
      <c r="AS23" s="451">
        <f t="shared" si="37"/>
        <v>0.9</v>
      </c>
      <c r="AT23" s="206">
        <v>38</v>
      </c>
      <c r="AU23" s="452">
        <f t="shared" si="31"/>
        <v>1.1000000000000001</v>
      </c>
      <c r="AV23" s="206">
        <v>122</v>
      </c>
      <c r="AW23" s="5">
        <v>2.9</v>
      </c>
      <c r="AX23" s="206">
        <v>102</v>
      </c>
      <c r="AY23" s="455">
        <f t="shared" si="7"/>
        <v>34.200000000000003</v>
      </c>
      <c r="AZ23" s="455">
        <f t="shared" si="24"/>
        <v>134.20000000000002</v>
      </c>
      <c r="BA23" s="455">
        <f t="shared" si="25"/>
        <v>295.8</v>
      </c>
      <c r="BB23" s="21">
        <f t="shared" si="26"/>
        <v>-100.8</v>
      </c>
      <c r="BC23" s="21">
        <f t="shared" si="26"/>
        <v>11</v>
      </c>
      <c r="BD23" s="21">
        <f t="shared" si="26"/>
        <v>11.600000000000023</v>
      </c>
      <c r="BE23" s="24">
        <f t="shared" si="28"/>
        <v>-78.199999999999974</v>
      </c>
      <c r="BF23" s="97">
        <f t="shared" si="8"/>
        <v>96.199999999999974</v>
      </c>
      <c r="BG23" s="83">
        <f t="shared" si="9"/>
        <v>-78.199999999999974</v>
      </c>
    </row>
    <row r="24" spans="1:61" ht="15.75" thickBot="1">
      <c r="A24" s="6">
        <f>ELEC!C21</f>
        <v>43818</v>
      </c>
      <c r="B24" s="5">
        <v>107778</v>
      </c>
      <c r="C24" s="5">
        <f t="shared" si="10"/>
        <v>0</v>
      </c>
      <c r="D24" s="445">
        <f t="shared" si="11"/>
        <v>0</v>
      </c>
      <c r="E24" s="352">
        <f>SUM((C24*$E$4)+(7500/'EDl log'!$A$38))</f>
        <v>241.93548387096774</v>
      </c>
      <c r="F24" s="346"/>
      <c r="G24" s="5">
        <v>583577</v>
      </c>
      <c r="H24" s="5">
        <f t="shared" si="12"/>
        <v>306</v>
      </c>
      <c r="I24" s="5">
        <f t="shared" si="0"/>
        <v>306</v>
      </c>
      <c r="J24" s="353">
        <f t="shared" si="1"/>
        <v>0.79063883617963315</v>
      </c>
      <c r="K24" s="5">
        <f>'Swimming Pool quality check '!H24</f>
        <v>5718</v>
      </c>
      <c r="L24" s="283">
        <f t="shared" si="30"/>
        <v>4</v>
      </c>
      <c r="M24" s="436">
        <f t="shared" si="13"/>
        <v>457.44</v>
      </c>
      <c r="N24" s="574">
        <f t="shared" si="34"/>
        <v>0</v>
      </c>
      <c r="O24" s="436">
        <f t="shared" si="13"/>
        <v>529.52</v>
      </c>
      <c r="P24" s="574">
        <f t="shared" si="35"/>
        <v>0</v>
      </c>
      <c r="Q24" s="574">
        <f t="shared" si="36"/>
        <v>0</v>
      </c>
      <c r="R24" s="576"/>
      <c r="S24" s="576"/>
      <c r="T24" s="5">
        <v>4267</v>
      </c>
      <c r="U24" s="5">
        <f t="shared" si="4"/>
        <v>5</v>
      </c>
      <c r="V24" s="5">
        <v>309</v>
      </c>
      <c r="W24" s="343">
        <f t="shared" si="14"/>
        <v>2</v>
      </c>
      <c r="X24" s="5">
        <v>138000</v>
      </c>
      <c r="Y24" s="343">
        <f t="shared" si="15"/>
        <v>91</v>
      </c>
      <c r="Z24" s="5">
        <v>90113</v>
      </c>
      <c r="AA24" s="84">
        <f t="shared" si="16"/>
        <v>58</v>
      </c>
      <c r="AB24" s="5">
        <f t="shared" si="17"/>
        <v>253</v>
      </c>
      <c r="AC24" s="5">
        <f t="shared" si="17"/>
        <v>670</v>
      </c>
      <c r="AD24" s="84">
        <f t="shared" si="29"/>
        <v>0</v>
      </c>
      <c r="AE24" s="5">
        <v>44.12</v>
      </c>
      <c r="AF24" s="84">
        <f t="shared" si="18"/>
        <v>2.6799999999999997</v>
      </c>
      <c r="AG24" s="5">
        <v>819.46</v>
      </c>
      <c r="AH24" s="84">
        <f t="shared" si="19"/>
        <v>22.210000000000036</v>
      </c>
      <c r="AI24" s="84">
        <f t="shared" si="20"/>
        <v>24.890000000000036</v>
      </c>
      <c r="AJ24" s="345">
        <f t="shared" si="21"/>
        <v>58</v>
      </c>
      <c r="AK24" s="346">
        <f t="shared" si="5"/>
        <v>87</v>
      </c>
      <c r="AL24" s="346">
        <f t="shared" si="22"/>
        <v>56</v>
      </c>
      <c r="AM24" s="346">
        <f>'General information '!D24</f>
        <v>18.5</v>
      </c>
      <c r="AN24" s="85">
        <f>'General information '!H24</f>
        <v>0</v>
      </c>
      <c r="AO24" s="85"/>
      <c r="AP24" s="85">
        <f>'General information '!J24</f>
        <v>242</v>
      </c>
      <c r="AR24" s="288">
        <f t="shared" si="23"/>
        <v>43818</v>
      </c>
      <c r="AS24" s="451">
        <f t="shared" si="37"/>
        <v>0.9</v>
      </c>
      <c r="AT24" s="206">
        <v>110</v>
      </c>
      <c r="AU24" s="452">
        <f t="shared" si="31"/>
        <v>1.1000000000000001</v>
      </c>
      <c r="AV24" s="206">
        <v>128</v>
      </c>
      <c r="AW24" s="5">
        <v>2.9</v>
      </c>
      <c r="AX24" s="206">
        <v>110</v>
      </c>
      <c r="AY24" s="455">
        <f t="shared" si="7"/>
        <v>99</v>
      </c>
      <c r="AZ24" s="455">
        <f t="shared" si="24"/>
        <v>140.80000000000001</v>
      </c>
      <c r="BA24" s="455">
        <f t="shared" si="25"/>
        <v>319</v>
      </c>
      <c r="BB24" s="21">
        <f t="shared" si="26"/>
        <v>64.8</v>
      </c>
      <c r="BC24" s="21">
        <f t="shared" si="26"/>
        <v>6.5999999999999943</v>
      </c>
      <c r="BD24" s="21">
        <f t="shared" si="26"/>
        <v>23.199999999999989</v>
      </c>
      <c r="BE24" s="24">
        <f t="shared" si="28"/>
        <v>94.59999999999998</v>
      </c>
      <c r="BF24" s="97">
        <f t="shared" si="8"/>
        <v>211.40000000000003</v>
      </c>
      <c r="BG24" s="83">
        <f t="shared" si="9"/>
        <v>94.599999999999966</v>
      </c>
      <c r="BI24" s="83"/>
    </row>
    <row r="25" spans="1:61" ht="15.75" thickBot="1">
      <c r="A25" s="6">
        <f>ELEC!C22</f>
        <v>43819</v>
      </c>
      <c r="B25" s="5">
        <v>107778</v>
      </c>
      <c r="C25" s="5">
        <f t="shared" si="10"/>
        <v>0</v>
      </c>
      <c r="D25" s="445">
        <f t="shared" si="11"/>
        <v>0</v>
      </c>
      <c r="E25" s="352">
        <f>SUM((C25*$E$4)+(7500/'EDl log'!$A$38))</f>
        <v>241.93548387096774</v>
      </c>
      <c r="F25" s="346"/>
      <c r="G25" s="5">
        <f t="shared" si="33"/>
        <v>583577</v>
      </c>
      <c r="H25" s="5">
        <f t="shared" si="12"/>
        <v>0</v>
      </c>
      <c r="I25" s="5">
        <f t="shared" si="0"/>
        <v>0</v>
      </c>
      <c r="J25" s="353">
        <f t="shared" si="1"/>
        <v>0</v>
      </c>
      <c r="K25" s="5">
        <f>'Swimming Pool quality check '!H25</f>
        <v>5729</v>
      </c>
      <c r="L25" s="283">
        <f t="shared" si="30"/>
        <v>11</v>
      </c>
      <c r="M25" s="436">
        <f t="shared" si="13"/>
        <v>457.44</v>
      </c>
      <c r="N25" s="574">
        <f t="shared" si="34"/>
        <v>0</v>
      </c>
      <c r="O25" s="436">
        <f t="shared" si="13"/>
        <v>529.52</v>
      </c>
      <c r="P25" s="574">
        <f t="shared" si="35"/>
        <v>0</v>
      </c>
      <c r="Q25" s="574">
        <f t="shared" si="36"/>
        <v>0</v>
      </c>
      <c r="R25" s="576"/>
      <c r="S25" s="576"/>
      <c r="T25" s="5">
        <v>4269</v>
      </c>
      <c r="U25" s="5">
        <f t="shared" si="4"/>
        <v>2</v>
      </c>
      <c r="V25" s="5">
        <v>309</v>
      </c>
      <c r="W25" s="343">
        <f t="shared" si="14"/>
        <v>0</v>
      </c>
      <c r="X25" s="5">
        <v>138055</v>
      </c>
      <c r="Y25" s="343">
        <f t="shared" si="15"/>
        <v>55</v>
      </c>
      <c r="Z25" s="5">
        <v>90126</v>
      </c>
      <c r="AA25" s="84">
        <f t="shared" si="16"/>
        <v>13</v>
      </c>
      <c r="AB25" s="5">
        <f t="shared" si="17"/>
        <v>253</v>
      </c>
      <c r="AC25" s="5">
        <f t="shared" si="17"/>
        <v>670</v>
      </c>
      <c r="AD25" s="84">
        <f t="shared" si="29"/>
        <v>0</v>
      </c>
      <c r="AE25" s="5">
        <v>44.12</v>
      </c>
      <c r="AF25" s="84">
        <f t="shared" si="18"/>
        <v>0</v>
      </c>
      <c r="AG25" s="5">
        <v>820.04</v>
      </c>
      <c r="AH25" s="84">
        <f t="shared" si="19"/>
        <v>0.57999999999992724</v>
      </c>
      <c r="AI25" s="84">
        <f t="shared" si="20"/>
        <v>0.57999999999992724</v>
      </c>
      <c r="AJ25" s="345">
        <f t="shared" si="21"/>
        <v>13</v>
      </c>
      <c r="AK25" s="346">
        <f t="shared" si="5"/>
        <v>44</v>
      </c>
      <c r="AL25" s="346">
        <f t="shared" si="22"/>
        <v>13</v>
      </c>
      <c r="AM25" s="346">
        <f>'General information '!D25</f>
        <v>17</v>
      </c>
      <c r="AN25" s="85">
        <f>'General information '!H25</f>
        <v>0</v>
      </c>
      <c r="AO25" s="85"/>
      <c r="AP25" s="85">
        <f>'General information '!J25</f>
        <v>308</v>
      </c>
      <c r="AR25" s="288">
        <f t="shared" si="23"/>
        <v>43819</v>
      </c>
      <c r="AS25" s="451">
        <f t="shared" si="37"/>
        <v>0.9</v>
      </c>
      <c r="AT25" s="206">
        <v>20</v>
      </c>
      <c r="AU25" s="452">
        <f t="shared" si="31"/>
        <v>1.1000000000000001</v>
      </c>
      <c r="AV25" s="206">
        <v>119</v>
      </c>
      <c r="AW25" s="5">
        <v>2.9</v>
      </c>
      <c r="AX25" s="206">
        <v>101</v>
      </c>
      <c r="AY25" s="455">
        <f t="shared" si="7"/>
        <v>18</v>
      </c>
      <c r="AZ25" s="455">
        <f t="shared" si="24"/>
        <v>130.9</v>
      </c>
      <c r="BA25" s="455">
        <f t="shared" si="25"/>
        <v>292.89999999999998</v>
      </c>
      <c r="BB25" s="21">
        <f t="shared" si="26"/>
        <v>-81</v>
      </c>
      <c r="BC25" s="21">
        <f t="shared" si="26"/>
        <v>-9.9000000000000057</v>
      </c>
      <c r="BD25" s="21">
        <f t="shared" si="26"/>
        <v>-26.100000000000023</v>
      </c>
      <c r="BE25" s="24">
        <f t="shared" si="28"/>
        <v>-117.00000000000003</v>
      </c>
      <c r="BF25" s="97">
        <f t="shared" si="8"/>
        <v>117.00000000000003</v>
      </c>
      <c r="BG25" s="83">
        <f t="shared" si="9"/>
        <v>-117.00000000000003</v>
      </c>
    </row>
    <row r="26" spans="1:61" ht="15.75" thickBot="1">
      <c r="A26" s="6">
        <f>ELEC!C23</f>
        <v>43820</v>
      </c>
      <c r="B26" s="5">
        <f t="shared" si="32"/>
        <v>107778</v>
      </c>
      <c r="C26" s="5">
        <f t="shared" si="10"/>
        <v>0</v>
      </c>
      <c r="D26" s="445">
        <f t="shared" si="11"/>
        <v>0</v>
      </c>
      <c r="E26" s="352">
        <f>SUM((C26*$E$4)+(7500/'EDl log'!$A$38))</f>
        <v>241.93548387096774</v>
      </c>
      <c r="F26" s="346"/>
      <c r="G26" s="5">
        <v>583811</v>
      </c>
      <c r="H26" s="5">
        <f>G26-G25</f>
        <v>234</v>
      </c>
      <c r="I26" s="5">
        <f t="shared" si="0"/>
        <v>234</v>
      </c>
      <c r="J26" s="353">
        <f t="shared" si="1"/>
        <v>1.0339123242349049</v>
      </c>
      <c r="K26" s="5">
        <f>'Swimming Pool quality check '!H26</f>
        <v>5732</v>
      </c>
      <c r="L26" s="283">
        <f t="shared" si="30"/>
        <v>3</v>
      </c>
      <c r="M26" s="436">
        <f t="shared" si="13"/>
        <v>457.44</v>
      </c>
      <c r="N26" s="574">
        <f t="shared" si="34"/>
        <v>0</v>
      </c>
      <c r="O26" s="436">
        <f t="shared" si="13"/>
        <v>529.52</v>
      </c>
      <c r="P26" s="574">
        <f t="shared" si="35"/>
        <v>0</v>
      </c>
      <c r="Q26" s="574">
        <f t="shared" si="36"/>
        <v>0</v>
      </c>
      <c r="R26" s="576"/>
      <c r="S26" s="576"/>
      <c r="T26" s="5">
        <v>4275</v>
      </c>
      <c r="U26" s="5">
        <f t="shared" si="4"/>
        <v>6</v>
      </c>
      <c r="V26" s="5">
        <f t="shared" si="17"/>
        <v>309</v>
      </c>
      <c r="W26" s="343">
        <f t="shared" si="14"/>
        <v>0</v>
      </c>
      <c r="X26" s="5">
        <v>138059</v>
      </c>
      <c r="Y26" s="343">
        <f t="shared" si="15"/>
        <v>4</v>
      </c>
      <c r="Z26" s="5">
        <v>90137</v>
      </c>
      <c r="AA26" s="84">
        <f t="shared" si="16"/>
        <v>11</v>
      </c>
      <c r="AB26" s="5">
        <f t="shared" si="17"/>
        <v>253</v>
      </c>
      <c r="AC26" s="5">
        <f t="shared" si="17"/>
        <v>670</v>
      </c>
      <c r="AD26" s="84">
        <f t="shared" si="29"/>
        <v>0</v>
      </c>
      <c r="AE26" s="5">
        <f t="shared" si="17"/>
        <v>44.12</v>
      </c>
      <c r="AF26" s="84">
        <f t="shared" si="18"/>
        <v>0</v>
      </c>
      <c r="AG26" s="5">
        <v>821.51</v>
      </c>
      <c r="AH26" s="84">
        <f t="shared" si="19"/>
        <v>1.4700000000000273</v>
      </c>
      <c r="AI26" s="84">
        <f t="shared" si="20"/>
        <v>1.4700000000000273</v>
      </c>
      <c r="AJ26" s="345">
        <f t="shared" si="21"/>
        <v>11</v>
      </c>
      <c r="AK26" s="346">
        <f t="shared" si="5"/>
        <v>1</v>
      </c>
      <c r="AL26" s="346">
        <f>SUM(AJ26-W26)</f>
        <v>11</v>
      </c>
      <c r="AM26" s="346">
        <f>'General information '!D26</f>
        <v>17</v>
      </c>
      <c r="AN26" s="85">
        <f>'General information '!H26</f>
        <v>0</v>
      </c>
      <c r="AO26" s="85"/>
      <c r="AP26" s="85">
        <f>'General information '!J26</f>
        <v>243</v>
      </c>
      <c r="AR26" s="288">
        <f t="shared" si="23"/>
        <v>43820</v>
      </c>
      <c r="AS26" s="451">
        <f t="shared" si="37"/>
        <v>0.9</v>
      </c>
      <c r="AT26" s="206">
        <v>140</v>
      </c>
      <c r="AU26" s="452">
        <f t="shared" si="31"/>
        <v>1.1000000000000001</v>
      </c>
      <c r="AV26" s="206">
        <v>106</v>
      </c>
      <c r="AW26" s="5">
        <v>2.9</v>
      </c>
      <c r="AX26" s="206">
        <v>78</v>
      </c>
      <c r="AY26" s="455">
        <f t="shared" si="7"/>
        <v>126</v>
      </c>
      <c r="AZ26" s="455">
        <f t="shared" si="24"/>
        <v>116.60000000000001</v>
      </c>
      <c r="BA26" s="455">
        <f t="shared" si="25"/>
        <v>226.2</v>
      </c>
      <c r="BB26" s="21">
        <f t="shared" si="26"/>
        <v>108</v>
      </c>
      <c r="BC26" s="21">
        <f t="shared" si="26"/>
        <v>-14.299999999999997</v>
      </c>
      <c r="BD26" s="21">
        <f t="shared" si="26"/>
        <v>-66.699999999999989</v>
      </c>
      <c r="BE26" s="24">
        <f t="shared" si="28"/>
        <v>27.000000000000014</v>
      </c>
      <c r="BF26" s="363">
        <f t="shared" si="8"/>
        <v>207</v>
      </c>
      <c r="BG26" s="83">
        <f t="shared" si="9"/>
        <v>27</v>
      </c>
    </row>
    <row r="27" spans="1:61" ht="15.75" thickBot="1">
      <c r="A27" s="6">
        <f>ELEC!C24</f>
        <v>43821</v>
      </c>
      <c r="B27" s="5">
        <v>107778</v>
      </c>
      <c r="C27" s="5">
        <f t="shared" si="10"/>
        <v>0</v>
      </c>
      <c r="D27" s="445">
        <f t="shared" si="11"/>
        <v>0</v>
      </c>
      <c r="E27" s="352">
        <f>SUM((C27*$E$4)+(7500/'EDl log'!$A$38))</f>
        <v>241.93548387096774</v>
      </c>
      <c r="F27" s="346"/>
      <c r="G27" s="5">
        <v>583811</v>
      </c>
      <c r="H27" s="5">
        <f t="shared" si="12"/>
        <v>0</v>
      </c>
      <c r="I27" s="5">
        <f t="shared" si="0"/>
        <v>0</v>
      </c>
      <c r="J27" s="353">
        <f t="shared" si="1"/>
        <v>0</v>
      </c>
      <c r="K27" s="5">
        <f>'Swimming Pool quality check '!H27</f>
        <v>5740</v>
      </c>
      <c r="L27" s="283">
        <f t="shared" si="30"/>
        <v>8</v>
      </c>
      <c r="M27" s="436">
        <f t="shared" si="13"/>
        <v>457.44</v>
      </c>
      <c r="N27" s="574">
        <f t="shared" si="34"/>
        <v>0</v>
      </c>
      <c r="O27" s="436">
        <f t="shared" si="13"/>
        <v>529.52</v>
      </c>
      <c r="P27" s="574">
        <f t="shared" si="35"/>
        <v>0</v>
      </c>
      <c r="Q27" s="574">
        <f t="shared" si="36"/>
        <v>0</v>
      </c>
      <c r="R27" s="576"/>
      <c r="S27" s="576"/>
      <c r="T27" s="5">
        <v>4283</v>
      </c>
      <c r="U27" s="5">
        <f t="shared" si="4"/>
        <v>8</v>
      </c>
      <c r="V27" s="5">
        <v>310</v>
      </c>
      <c r="W27" s="343">
        <f t="shared" si="14"/>
        <v>1</v>
      </c>
      <c r="X27" s="5">
        <v>138149</v>
      </c>
      <c r="Y27" s="343">
        <f>SUM(X27-X26)</f>
        <v>90</v>
      </c>
      <c r="Z27" s="5">
        <v>90175</v>
      </c>
      <c r="AA27" s="84">
        <f t="shared" si="16"/>
        <v>38</v>
      </c>
      <c r="AB27" s="5">
        <f t="shared" si="17"/>
        <v>253</v>
      </c>
      <c r="AC27" s="5">
        <f t="shared" si="17"/>
        <v>670</v>
      </c>
      <c r="AD27" s="84">
        <f t="shared" si="29"/>
        <v>0</v>
      </c>
      <c r="AE27" s="5">
        <v>45.3</v>
      </c>
      <c r="AF27" s="84">
        <f t="shared" si="18"/>
        <v>1.1799999999999997</v>
      </c>
      <c r="AG27" s="5">
        <v>830.48</v>
      </c>
      <c r="AH27" s="84">
        <f t="shared" si="19"/>
        <v>8.9700000000000273</v>
      </c>
      <c r="AI27" s="84">
        <f t="shared" si="20"/>
        <v>10.150000000000027</v>
      </c>
      <c r="AJ27" s="345">
        <f t="shared" si="21"/>
        <v>38</v>
      </c>
      <c r="AK27" s="346">
        <f t="shared" si="5"/>
        <v>82</v>
      </c>
      <c r="AL27" s="346">
        <f t="shared" si="22"/>
        <v>37</v>
      </c>
      <c r="AM27" s="346">
        <f>'General information '!D27</f>
        <v>17</v>
      </c>
      <c r="AN27" s="85">
        <f>'General information '!H27</f>
        <v>0</v>
      </c>
      <c r="AO27" s="85"/>
      <c r="AP27" s="85">
        <f>'General information '!J27</f>
        <v>244</v>
      </c>
      <c r="AR27" s="288">
        <f t="shared" si="23"/>
        <v>43821</v>
      </c>
      <c r="AS27" s="451">
        <f t="shared" si="37"/>
        <v>0.9</v>
      </c>
      <c r="AT27" s="206">
        <v>23</v>
      </c>
      <c r="AU27" s="452">
        <f t="shared" si="31"/>
        <v>1.1000000000000001</v>
      </c>
      <c r="AV27" s="206">
        <v>105</v>
      </c>
      <c r="AW27" s="5">
        <v>2.9</v>
      </c>
      <c r="AX27" s="206">
        <v>80</v>
      </c>
      <c r="AY27" s="455">
        <f t="shared" si="7"/>
        <v>20.7</v>
      </c>
      <c r="AZ27" s="455">
        <f t="shared" si="24"/>
        <v>115.50000000000001</v>
      </c>
      <c r="BA27" s="455">
        <f t="shared" si="25"/>
        <v>232</v>
      </c>
      <c r="BB27" s="21">
        <f t="shared" si="26"/>
        <v>-105.3</v>
      </c>
      <c r="BC27" s="21">
        <f t="shared" si="26"/>
        <v>-1.0999999999999943</v>
      </c>
      <c r="BD27" s="21">
        <f t="shared" si="26"/>
        <v>5.8000000000000114</v>
      </c>
      <c r="BE27" s="24">
        <f t="shared" si="28"/>
        <v>-100.59999999999998</v>
      </c>
      <c r="BF27" s="97">
        <f t="shared" si="8"/>
        <v>100.59999999999998</v>
      </c>
      <c r="BG27" s="83">
        <f t="shared" si="9"/>
        <v>-100.59999999999998</v>
      </c>
    </row>
    <row r="28" spans="1:61" ht="15.75" thickBot="1">
      <c r="A28" s="6">
        <f>ELEC!C25</f>
        <v>43822</v>
      </c>
      <c r="B28" s="5">
        <v>107778</v>
      </c>
      <c r="C28" s="5">
        <f t="shared" si="10"/>
        <v>0</v>
      </c>
      <c r="D28" s="445">
        <f t="shared" si="11"/>
        <v>0</v>
      </c>
      <c r="E28" s="352">
        <f>SUM((C28*$E$4)+(7500/'EDl log'!$A$38))</f>
        <v>241.93548387096774</v>
      </c>
      <c r="F28" s="346"/>
      <c r="G28" s="5">
        <v>584073</v>
      </c>
      <c r="H28" s="5">
        <f t="shared" si="12"/>
        <v>262</v>
      </c>
      <c r="I28" s="5">
        <f t="shared" si="0"/>
        <v>262</v>
      </c>
      <c r="J28" s="353">
        <f t="shared" si="1"/>
        <v>0.92341787737010594</v>
      </c>
      <c r="K28" s="5">
        <f>'Swimming Pool quality check '!H28</f>
        <v>5743</v>
      </c>
      <c r="L28" s="283">
        <f t="shared" si="30"/>
        <v>3</v>
      </c>
      <c r="M28" s="436">
        <f t="shared" si="13"/>
        <v>457.44</v>
      </c>
      <c r="N28" s="574">
        <f t="shared" si="34"/>
        <v>0</v>
      </c>
      <c r="O28" s="436">
        <f t="shared" si="13"/>
        <v>529.52</v>
      </c>
      <c r="P28" s="574">
        <f t="shared" si="35"/>
        <v>0</v>
      </c>
      <c r="Q28" s="574">
        <f t="shared" si="36"/>
        <v>0</v>
      </c>
      <c r="R28" s="576"/>
      <c r="S28" s="576"/>
      <c r="T28" s="5">
        <v>4290</v>
      </c>
      <c r="U28" s="5">
        <f t="shared" si="4"/>
        <v>7</v>
      </c>
      <c r="V28" s="5">
        <v>312</v>
      </c>
      <c r="W28" s="343">
        <f t="shared" si="14"/>
        <v>2</v>
      </c>
      <c r="X28" s="5">
        <v>138195</v>
      </c>
      <c r="Y28" s="343">
        <f t="shared" si="15"/>
        <v>46</v>
      </c>
      <c r="Z28" s="5">
        <v>90219</v>
      </c>
      <c r="AA28" s="84">
        <f t="shared" si="16"/>
        <v>44</v>
      </c>
      <c r="AB28" s="5">
        <f t="shared" si="17"/>
        <v>253</v>
      </c>
      <c r="AC28" s="5">
        <f t="shared" si="17"/>
        <v>670</v>
      </c>
      <c r="AD28" s="84">
        <f t="shared" si="29"/>
        <v>0</v>
      </c>
      <c r="AE28" s="5">
        <v>47.7</v>
      </c>
      <c r="AF28" s="84">
        <f t="shared" si="18"/>
        <v>2.4000000000000057</v>
      </c>
      <c r="AG28" s="5">
        <v>851.38</v>
      </c>
      <c r="AH28" s="84">
        <f t="shared" si="19"/>
        <v>20.899999999999977</v>
      </c>
      <c r="AI28" s="84">
        <f t="shared" si="20"/>
        <v>23.299999999999983</v>
      </c>
      <c r="AJ28" s="345">
        <f t="shared" si="21"/>
        <v>44</v>
      </c>
      <c r="AK28" s="346">
        <f t="shared" si="5"/>
        <v>43</v>
      </c>
      <c r="AL28" s="346">
        <f t="shared" si="22"/>
        <v>42</v>
      </c>
      <c r="AM28" s="346">
        <f>'General information '!D28</f>
        <v>17.5</v>
      </c>
      <c r="AN28" s="85">
        <f>'General information '!H28</f>
        <v>0</v>
      </c>
      <c r="AO28" s="85"/>
      <c r="AP28" s="85">
        <f>'General information '!J28</f>
        <v>244</v>
      </c>
      <c r="AR28" s="288">
        <f t="shared" si="23"/>
        <v>43822</v>
      </c>
      <c r="AS28" s="451">
        <f t="shared" si="37"/>
        <v>0.9</v>
      </c>
      <c r="AT28" s="206">
        <v>101</v>
      </c>
      <c r="AU28" s="452">
        <f t="shared" si="31"/>
        <v>1.1000000000000001</v>
      </c>
      <c r="AV28" s="206">
        <v>97</v>
      </c>
      <c r="AW28" s="5">
        <v>2.9</v>
      </c>
      <c r="AX28" s="206">
        <v>77</v>
      </c>
      <c r="AY28" s="455">
        <f t="shared" si="7"/>
        <v>90.9</v>
      </c>
      <c r="AZ28" s="455">
        <f t="shared" si="24"/>
        <v>106.7</v>
      </c>
      <c r="BA28" s="455">
        <f t="shared" si="25"/>
        <v>223.29999999999998</v>
      </c>
      <c r="BB28" s="21">
        <f t="shared" si="26"/>
        <v>70.2</v>
      </c>
      <c r="BC28" s="21">
        <f t="shared" si="26"/>
        <v>-8.8000000000000114</v>
      </c>
      <c r="BD28" s="21">
        <f t="shared" si="26"/>
        <v>-8.7000000000000171</v>
      </c>
      <c r="BE28" s="24">
        <f t="shared" si="28"/>
        <v>52.699999999999974</v>
      </c>
      <c r="BF28" s="97">
        <f t="shared" si="8"/>
        <v>209.3</v>
      </c>
      <c r="BG28" s="83">
        <f t="shared" si="9"/>
        <v>52.699999999999989</v>
      </c>
    </row>
    <row r="29" spans="1:61" ht="15.75" thickBot="1">
      <c r="A29" s="6">
        <f>ELEC!C26</f>
        <v>43823</v>
      </c>
      <c r="B29" s="5">
        <f t="shared" si="32"/>
        <v>107778</v>
      </c>
      <c r="C29" s="5">
        <f t="shared" si="10"/>
        <v>0</v>
      </c>
      <c r="D29" s="445">
        <f t="shared" si="11"/>
        <v>0</v>
      </c>
      <c r="E29" s="352">
        <f>SUM((C29*$E$4)+(7500/'EDl log'!$A$38))</f>
        <v>241.93548387096774</v>
      </c>
      <c r="F29" s="346"/>
      <c r="G29" s="5">
        <f t="shared" si="33"/>
        <v>584073</v>
      </c>
      <c r="H29" s="5">
        <f t="shared" si="12"/>
        <v>0</v>
      </c>
      <c r="I29" s="5">
        <f t="shared" si="0"/>
        <v>0</v>
      </c>
      <c r="J29" s="353">
        <f t="shared" si="1"/>
        <v>0</v>
      </c>
      <c r="K29" s="5">
        <f>'Swimming Pool quality check '!H29</f>
        <v>5752</v>
      </c>
      <c r="L29" s="283">
        <f t="shared" si="30"/>
        <v>9</v>
      </c>
      <c r="M29" s="436">
        <f t="shared" si="13"/>
        <v>457.44</v>
      </c>
      <c r="N29" s="574">
        <f t="shared" si="34"/>
        <v>0</v>
      </c>
      <c r="O29" s="436">
        <f t="shared" si="13"/>
        <v>529.52</v>
      </c>
      <c r="P29" s="574">
        <f t="shared" si="35"/>
        <v>0</v>
      </c>
      <c r="Q29" s="574">
        <f t="shared" si="36"/>
        <v>0</v>
      </c>
      <c r="R29" s="576"/>
      <c r="S29" s="576"/>
      <c r="T29" s="5">
        <v>4298</v>
      </c>
      <c r="U29" s="5">
        <f t="shared" si="4"/>
        <v>8</v>
      </c>
      <c r="V29" s="5">
        <v>313</v>
      </c>
      <c r="W29" s="343">
        <f t="shared" si="14"/>
        <v>1</v>
      </c>
      <c r="X29" s="5">
        <v>138248</v>
      </c>
      <c r="Y29" s="343">
        <f t="shared" si="15"/>
        <v>53</v>
      </c>
      <c r="Z29" s="5">
        <v>90264</v>
      </c>
      <c r="AA29" s="84">
        <f t="shared" si="16"/>
        <v>45</v>
      </c>
      <c r="AB29" s="5">
        <v>249</v>
      </c>
      <c r="AC29" s="5">
        <f t="shared" si="17"/>
        <v>670</v>
      </c>
      <c r="AD29" s="84">
        <f t="shared" si="29"/>
        <v>0</v>
      </c>
      <c r="AE29" s="5">
        <v>48.62</v>
      </c>
      <c r="AF29" s="84">
        <f t="shared" si="18"/>
        <v>0.9199999999999946</v>
      </c>
      <c r="AG29" s="5">
        <v>853.8</v>
      </c>
      <c r="AH29" s="84">
        <f t="shared" si="19"/>
        <v>2.4199999999999591</v>
      </c>
      <c r="AI29" s="84">
        <f t="shared" si="20"/>
        <v>3.3399999999999537</v>
      </c>
      <c r="AJ29" s="345">
        <f t="shared" si="21"/>
        <v>45</v>
      </c>
      <c r="AK29" s="346">
        <f t="shared" si="5"/>
        <v>44</v>
      </c>
      <c r="AL29" s="346">
        <f t="shared" si="22"/>
        <v>44</v>
      </c>
      <c r="AM29" s="346">
        <f>'General information '!D29</f>
        <v>17</v>
      </c>
      <c r="AN29" s="85">
        <f>'General information '!H29</f>
        <v>0</v>
      </c>
      <c r="AO29" s="85"/>
      <c r="AP29" s="85">
        <f>'General information '!J29</f>
        <v>360</v>
      </c>
      <c r="AR29" s="288">
        <f t="shared" si="23"/>
        <v>43823</v>
      </c>
      <c r="AS29" s="451">
        <f t="shared" si="37"/>
        <v>0.9</v>
      </c>
      <c r="AT29" s="206">
        <v>0</v>
      </c>
      <c r="AU29" s="452">
        <f t="shared" si="31"/>
        <v>1.1000000000000001</v>
      </c>
      <c r="AV29" s="206">
        <v>99</v>
      </c>
      <c r="AW29" s="5">
        <v>2.9</v>
      </c>
      <c r="AX29" s="206">
        <v>76</v>
      </c>
      <c r="AY29" s="455">
        <f t="shared" si="7"/>
        <v>0</v>
      </c>
      <c r="AZ29" s="455">
        <f t="shared" si="24"/>
        <v>108.9</v>
      </c>
      <c r="BA29" s="455">
        <f t="shared" si="25"/>
        <v>220.4</v>
      </c>
      <c r="BB29" s="21">
        <f t="shared" si="26"/>
        <v>-90.9</v>
      </c>
      <c r="BC29" s="21">
        <f t="shared" si="26"/>
        <v>2.2000000000000028</v>
      </c>
      <c r="BD29" s="21">
        <f t="shared" si="26"/>
        <v>-2.8999999999999773</v>
      </c>
      <c r="BE29" s="24">
        <f t="shared" si="28"/>
        <v>-91.59999999999998</v>
      </c>
      <c r="BF29" s="97">
        <f t="shared" si="8"/>
        <v>91.59999999999998</v>
      </c>
      <c r="BG29" s="83">
        <f t="shared" si="9"/>
        <v>-91.59999999999998</v>
      </c>
    </row>
    <row r="30" spans="1:61" ht="15.75" thickBot="1">
      <c r="A30" s="6">
        <f>ELEC!C27</f>
        <v>43824</v>
      </c>
      <c r="B30" s="5">
        <v>107778</v>
      </c>
      <c r="C30" s="5">
        <f t="shared" si="10"/>
        <v>0</v>
      </c>
      <c r="D30" s="445">
        <f t="shared" si="11"/>
        <v>0</v>
      </c>
      <c r="E30" s="352">
        <f>SUM((C30*$E$4)+(7500/'EDl log'!$A$38))</f>
        <v>241.93548387096774</v>
      </c>
      <c r="F30" s="346"/>
      <c r="G30" s="5">
        <v>584271</v>
      </c>
      <c r="H30" s="5">
        <f t="shared" si="12"/>
        <v>198</v>
      </c>
      <c r="I30" s="5">
        <f t="shared" si="0"/>
        <v>198</v>
      </c>
      <c r="J30" s="353">
        <f t="shared" si="1"/>
        <v>1.2218963831867058</v>
      </c>
      <c r="K30" s="5">
        <f>'Swimming Pool quality check '!H30</f>
        <v>5756</v>
      </c>
      <c r="L30" s="283">
        <f t="shared" si="30"/>
        <v>4</v>
      </c>
      <c r="M30" s="436">
        <f t="shared" si="13"/>
        <v>457.44</v>
      </c>
      <c r="N30" s="574">
        <f t="shared" si="34"/>
        <v>0</v>
      </c>
      <c r="O30" s="436">
        <f t="shared" si="13"/>
        <v>529.52</v>
      </c>
      <c r="P30" s="574">
        <f t="shared" si="35"/>
        <v>0</v>
      </c>
      <c r="Q30" s="574">
        <f t="shared" si="36"/>
        <v>0</v>
      </c>
      <c r="R30" s="576"/>
      <c r="S30" s="576"/>
      <c r="T30" s="5">
        <v>4307</v>
      </c>
      <c r="U30" s="5">
        <f t="shared" si="4"/>
        <v>9</v>
      </c>
      <c r="V30" s="5">
        <v>313</v>
      </c>
      <c r="W30" s="343">
        <f t="shared" si="14"/>
        <v>0</v>
      </c>
      <c r="X30" s="5">
        <v>138317</v>
      </c>
      <c r="Y30" s="343">
        <f t="shared" si="15"/>
        <v>69</v>
      </c>
      <c r="Z30" s="5">
        <v>90331</v>
      </c>
      <c r="AA30" s="84">
        <f t="shared" si="16"/>
        <v>67</v>
      </c>
      <c r="AB30" s="5">
        <f t="shared" si="17"/>
        <v>249</v>
      </c>
      <c r="AC30" s="5">
        <f t="shared" si="17"/>
        <v>670</v>
      </c>
      <c r="AD30" s="84">
        <f t="shared" si="29"/>
        <v>0</v>
      </c>
      <c r="AE30" s="5">
        <v>51</v>
      </c>
      <c r="AF30" s="84">
        <f t="shared" si="18"/>
        <v>2.3800000000000026</v>
      </c>
      <c r="AG30" s="5">
        <v>878</v>
      </c>
      <c r="AH30" s="84">
        <f t="shared" si="19"/>
        <v>24.200000000000045</v>
      </c>
      <c r="AI30" s="84">
        <f t="shared" si="20"/>
        <v>26.580000000000048</v>
      </c>
      <c r="AJ30" s="345">
        <f t="shared" si="21"/>
        <v>67</v>
      </c>
      <c r="AK30" s="346">
        <f t="shared" si="5"/>
        <v>65</v>
      </c>
      <c r="AL30" s="346">
        <f t="shared" si="22"/>
        <v>67</v>
      </c>
      <c r="AM30" s="346">
        <f>'General information '!D30</f>
        <v>16</v>
      </c>
      <c r="AN30" s="85">
        <f>'General information '!H30</f>
        <v>0</v>
      </c>
      <c r="AO30" s="85"/>
      <c r="AP30" s="85">
        <f>'General information '!J30</f>
        <v>540</v>
      </c>
      <c r="AR30" s="288">
        <f t="shared" si="23"/>
        <v>43824</v>
      </c>
      <c r="AS30" s="451">
        <f t="shared" si="37"/>
        <v>0.9</v>
      </c>
      <c r="AT30" s="206">
        <v>76</v>
      </c>
      <c r="AU30" s="452">
        <f t="shared" si="31"/>
        <v>1.1000000000000001</v>
      </c>
      <c r="AV30" s="206">
        <v>97</v>
      </c>
      <c r="AW30" s="5">
        <v>2.9</v>
      </c>
      <c r="AX30" s="206">
        <v>81</v>
      </c>
      <c r="AY30" s="455">
        <f t="shared" si="7"/>
        <v>68.400000000000006</v>
      </c>
      <c r="AZ30" s="455">
        <f t="shared" si="24"/>
        <v>106.7</v>
      </c>
      <c r="BA30" s="455">
        <f t="shared" si="25"/>
        <v>234.9</v>
      </c>
      <c r="BB30" s="21">
        <f t="shared" si="26"/>
        <v>68.400000000000006</v>
      </c>
      <c r="BC30" s="21">
        <f t="shared" si="26"/>
        <v>-2.2000000000000028</v>
      </c>
      <c r="BD30" s="21">
        <f t="shared" si="26"/>
        <v>14.5</v>
      </c>
      <c r="BE30" s="24">
        <f t="shared" si="28"/>
        <v>80.7</v>
      </c>
      <c r="BF30" s="97">
        <f t="shared" si="8"/>
        <v>117.3</v>
      </c>
      <c r="BG30" s="83">
        <f t="shared" si="9"/>
        <v>80.7</v>
      </c>
    </row>
    <row r="31" spans="1:61" ht="15.75" thickBot="1">
      <c r="A31" s="6">
        <f>ELEC!C28</f>
        <v>43825</v>
      </c>
      <c r="B31" s="5">
        <v>107778</v>
      </c>
      <c r="C31" s="5">
        <f t="shared" si="10"/>
        <v>0</v>
      </c>
      <c r="D31" s="445">
        <f t="shared" si="11"/>
        <v>0</v>
      </c>
      <c r="E31" s="352">
        <f>SUM((C31*$E$4)+(7500/'EDl log'!$A$38))</f>
        <v>241.93548387096774</v>
      </c>
      <c r="F31" s="346"/>
      <c r="G31" s="5">
        <v>584271</v>
      </c>
      <c r="H31" s="5">
        <f t="shared" si="12"/>
        <v>0</v>
      </c>
      <c r="I31" s="5">
        <f t="shared" si="0"/>
        <v>0</v>
      </c>
      <c r="J31" s="353">
        <f t="shared" si="1"/>
        <v>0</v>
      </c>
      <c r="K31" s="5">
        <f>'Swimming Pool quality check '!H31</f>
        <v>5758</v>
      </c>
      <c r="L31" s="283">
        <f t="shared" si="30"/>
        <v>2</v>
      </c>
      <c r="M31" s="436">
        <f t="shared" si="13"/>
        <v>457.44</v>
      </c>
      <c r="N31" s="574">
        <f t="shared" si="34"/>
        <v>0</v>
      </c>
      <c r="O31" s="436">
        <f t="shared" si="13"/>
        <v>529.52</v>
      </c>
      <c r="P31" s="574">
        <f t="shared" si="35"/>
        <v>0</v>
      </c>
      <c r="Q31" s="574">
        <f t="shared" si="36"/>
        <v>0</v>
      </c>
      <c r="R31" s="576"/>
      <c r="S31" s="576"/>
      <c r="T31" s="5">
        <v>4313</v>
      </c>
      <c r="U31" s="5">
        <f t="shared" si="4"/>
        <v>6</v>
      </c>
      <c r="V31" s="5">
        <v>314</v>
      </c>
      <c r="W31" s="343">
        <f t="shared" si="14"/>
        <v>1</v>
      </c>
      <c r="X31" s="5">
        <v>138321</v>
      </c>
      <c r="Y31" s="343">
        <f t="shared" si="15"/>
        <v>4</v>
      </c>
      <c r="Z31" s="5">
        <v>90358</v>
      </c>
      <c r="AA31" s="84">
        <f t="shared" si="16"/>
        <v>27</v>
      </c>
      <c r="AB31" s="5">
        <f t="shared" si="17"/>
        <v>249</v>
      </c>
      <c r="AC31" s="5">
        <f t="shared" si="17"/>
        <v>670</v>
      </c>
      <c r="AD31" s="84">
        <f t="shared" si="29"/>
        <v>0</v>
      </c>
      <c r="AE31" s="5">
        <v>51.6</v>
      </c>
      <c r="AF31" s="84">
        <f t="shared" si="18"/>
        <v>0.60000000000000142</v>
      </c>
      <c r="AG31" s="5">
        <v>881</v>
      </c>
      <c r="AH31" s="84">
        <f t="shared" si="19"/>
        <v>3</v>
      </c>
      <c r="AI31" s="84">
        <f t="shared" si="20"/>
        <v>3.6000000000000014</v>
      </c>
      <c r="AJ31" s="345">
        <f t="shared" si="21"/>
        <v>27</v>
      </c>
      <c r="AK31" s="346">
        <f t="shared" si="5"/>
        <v>2</v>
      </c>
      <c r="AL31" s="346">
        <f t="shared" si="22"/>
        <v>26</v>
      </c>
      <c r="AM31" s="346">
        <f>'General information '!D31</f>
        <v>15.5</v>
      </c>
      <c r="AN31" s="85">
        <f>'General information '!H31</f>
        <v>0</v>
      </c>
      <c r="AO31" s="85"/>
      <c r="AP31" s="85">
        <f>'General information '!J31</f>
        <v>288</v>
      </c>
      <c r="AR31" s="288">
        <f t="shared" si="23"/>
        <v>43825</v>
      </c>
      <c r="AS31" s="451">
        <f t="shared" si="37"/>
        <v>0.9</v>
      </c>
      <c r="AT31" s="206">
        <v>26</v>
      </c>
      <c r="AU31" s="452">
        <f t="shared" si="31"/>
        <v>1.1000000000000001</v>
      </c>
      <c r="AV31" s="206">
        <v>96</v>
      </c>
      <c r="AW31" s="5">
        <v>2.9</v>
      </c>
      <c r="AX31" s="206">
        <v>69</v>
      </c>
      <c r="AY31" s="455">
        <f t="shared" si="7"/>
        <v>23.400000000000002</v>
      </c>
      <c r="AZ31" s="455">
        <f t="shared" si="24"/>
        <v>105.60000000000001</v>
      </c>
      <c r="BA31" s="455">
        <f t="shared" si="25"/>
        <v>200.1</v>
      </c>
      <c r="BB31" s="21">
        <f t="shared" si="26"/>
        <v>-45</v>
      </c>
      <c r="BC31" s="21">
        <f t="shared" si="26"/>
        <v>-1.0999999999999943</v>
      </c>
      <c r="BD31" s="21">
        <f t="shared" si="26"/>
        <v>-34.800000000000011</v>
      </c>
      <c r="BE31" s="24">
        <f t="shared" si="28"/>
        <v>-80.900000000000006</v>
      </c>
      <c r="BF31" s="97">
        <f t="shared" si="8"/>
        <v>80.900000000000006</v>
      </c>
      <c r="BG31" s="83">
        <f t="shared" si="9"/>
        <v>-80.900000000000006</v>
      </c>
    </row>
    <row r="32" spans="1:61" ht="15.75" thickBot="1">
      <c r="A32" s="6">
        <f>ELEC!C29</f>
        <v>43826</v>
      </c>
      <c r="B32" s="5">
        <v>107990</v>
      </c>
      <c r="C32" s="5">
        <f t="shared" si="10"/>
        <v>212</v>
      </c>
      <c r="D32" s="445">
        <f t="shared" si="11"/>
        <v>7.8518518518518521</v>
      </c>
      <c r="E32" s="352">
        <f>SUM((C32*$E$4)+(7500/'EDl log'!$A$38))</f>
        <v>593.85548387096765</v>
      </c>
      <c r="F32" s="346"/>
      <c r="G32" s="5">
        <v>584394</v>
      </c>
      <c r="H32" s="5">
        <f t="shared" si="12"/>
        <v>123</v>
      </c>
      <c r="I32" s="5">
        <f t="shared" si="0"/>
        <v>335</v>
      </c>
      <c r="J32" s="353">
        <f t="shared" si="1"/>
        <v>1.7727029369282616</v>
      </c>
      <c r="K32" s="5">
        <f>'Swimming Pool quality check '!H32</f>
        <v>5758</v>
      </c>
      <c r="L32" s="283">
        <f t="shared" si="30"/>
        <v>0</v>
      </c>
      <c r="M32" s="436">
        <f t="shared" si="13"/>
        <v>457.44</v>
      </c>
      <c r="N32" s="574">
        <f t="shared" si="34"/>
        <v>0</v>
      </c>
      <c r="O32" s="436">
        <f t="shared" si="13"/>
        <v>529.52</v>
      </c>
      <c r="P32" s="574">
        <f t="shared" si="35"/>
        <v>0</v>
      </c>
      <c r="Q32" s="574">
        <f t="shared" si="36"/>
        <v>0</v>
      </c>
      <c r="R32" s="576"/>
      <c r="S32" s="576"/>
      <c r="T32" s="5">
        <v>4321</v>
      </c>
      <c r="U32" s="5">
        <f t="shared" si="4"/>
        <v>8</v>
      </c>
      <c r="V32" s="5">
        <v>316</v>
      </c>
      <c r="W32" s="343">
        <f t="shared" si="14"/>
        <v>2</v>
      </c>
      <c r="X32" s="5">
        <v>138432</v>
      </c>
      <c r="Y32" s="343">
        <f t="shared" si="15"/>
        <v>111</v>
      </c>
      <c r="Z32" s="5">
        <v>90406</v>
      </c>
      <c r="AA32" s="84">
        <f t="shared" si="16"/>
        <v>48</v>
      </c>
      <c r="AB32" s="5">
        <f t="shared" si="17"/>
        <v>249</v>
      </c>
      <c r="AC32" s="5">
        <f t="shared" si="17"/>
        <v>670</v>
      </c>
      <c r="AD32" s="84">
        <f t="shared" si="29"/>
        <v>0</v>
      </c>
      <c r="AE32" s="5">
        <v>54</v>
      </c>
      <c r="AF32" s="84">
        <f t="shared" si="18"/>
        <v>2.3999999999999986</v>
      </c>
      <c r="AG32" s="5">
        <v>905</v>
      </c>
      <c r="AH32" s="84">
        <f t="shared" si="19"/>
        <v>24</v>
      </c>
      <c r="AI32" s="84">
        <f t="shared" si="20"/>
        <v>26.4</v>
      </c>
      <c r="AJ32" s="345">
        <f t="shared" si="21"/>
        <v>48</v>
      </c>
      <c r="AK32" s="346">
        <f t="shared" si="5"/>
        <v>111</v>
      </c>
      <c r="AL32" s="346">
        <f t="shared" si="22"/>
        <v>46</v>
      </c>
      <c r="AM32" s="346">
        <f>'General information '!D32</f>
        <v>14.5</v>
      </c>
      <c r="AN32" s="85">
        <f>'General information '!H32</f>
        <v>270</v>
      </c>
      <c r="AO32" s="85"/>
      <c r="AP32" s="85">
        <f>'General information '!J32</f>
        <v>282</v>
      </c>
      <c r="AR32" s="288">
        <f t="shared" si="23"/>
        <v>43826</v>
      </c>
      <c r="AS32" s="451">
        <f t="shared" si="37"/>
        <v>0.9</v>
      </c>
      <c r="AT32" s="206">
        <v>79</v>
      </c>
      <c r="AU32" s="452">
        <f t="shared" si="31"/>
        <v>1.1000000000000001</v>
      </c>
      <c r="AV32" s="206">
        <v>79</v>
      </c>
      <c r="AW32" s="5">
        <v>2.9</v>
      </c>
      <c r="AX32" s="206">
        <v>80</v>
      </c>
      <c r="AY32" s="455">
        <f t="shared" si="7"/>
        <v>71.100000000000009</v>
      </c>
      <c r="AZ32" s="455">
        <f t="shared" si="24"/>
        <v>86.9</v>
      </c>
      <c r="BA32" s="455">
        <f t="shared" si="25"/>
        <v>232</v>
      </c>
      <c r="BB32" s="21">
        <f t="shared" si="26"/>
        <v>47.7</v>
      </c>
      <c r="BC32" s="21">
        <f t="shared" si="26"/>
        <v>-18.700000000000003</v>
      </c>
      <c r="BD32" s="21">
        <f t="shared" si="26"/>
        <v>31.900000000000006</v>
      </c>
      <c r="BE32" s="24">
        <f t="shared" si="28"/>
        <v>60.900000000000006</v>
      </c>
      <c r="BF32" s="97">
        <f t="shared" si="8"/>
        <v>274.10000000000002</v>
      </c>
      <c r="BG32" s="83">
        <f t="shared" si="9"/>
        <v>60.899999999999977</v>
      </c>
    </row>
    <row r="33" spans="1:59" ht="15.75" thickBot="1">
      <c r="A33" s="6">
        <f>ELEC!C30</f>
        <v>43827</v>
      </c>
      <c r="B33" s="5">
        <v>107990</v>
      </c>
      <c r="C33" s="5">
        <f t="shared" si="10"/>
        <v>0</v>
      </c>
      <c r="D33" s="445">
        <f t="shared" si="11"/>
        <v>0</v>
      </c>
      <c r="E33" s="352">
        <f>SUM((C33*$E$4)+(7500/'EDl log'!$A$38))</f>
        <v>241.93548387096774</v>
      </c>
      <c r="F33" s="346"/>
      <c r="G33" s="5">
        <v>584394</v>
      </c>
      <c r="H33" s="5">
        <f t="shared" si="12"/>
        <v>0</v>
      </c>
      <c r="I33" s="5">
        <f t="shared" si="0"/>
        <v>0</v>
      </c>
      <c r="J33" s="353">
        <f t="shared" si="1"/>
        <v>0</v>
      </c>
      <c r="K33" s="5">
        <f>'Swimming Pool quality check '!H33</f>
        <v>5769</v>
      </c>
      <c r="L33" s="283">
        <f t="shared" si="30"/>
        <v>11</v>
      </c>
      <c r="M33" s="436">
        <f t="shared" si="13"/>
        <v>457.44</v>
      </c>
      <c r="N33" s="574">
        <f t="shared" si="34"/>
        <v>0</v>
      </c>
      <c r="O33" s="436">
        <f t="shared" si="13"/>
        <v>529.52</v>
      </c>
      <c r="P33" s="574">
        <f t="shared" si="35"/>
        <v>0</v>
      </c>
      <c r="Q33" s="574">
        <f t="shared" si="36"/>
        <v>0</v>
      </c>
      <c r="R33" s="576"/>
      <c r="S33" s="576"/>
      <c r="T33" s="5">
        <v>4332</v>
      </c>
      <c r="U33" s="5">
        <f t="shared" si="4"/>
        <v>11</v>
      </c>
      <c r="V33" s="5">
        <v>318</v>
      </c>
      <c r="W33" s="343">
        <f t="shared" si="14"/>
        <v>2</v>
      </c>
      <c r="X33" s="5">
        <f t="shared" si="17"/>
        <v>138432</v>
      </c>
      <c r="Y33" s="343">
        <f t="shared" si="15"/>
        <v>0</v>
      </c>
      <c r="Z33" s="5">
        <v>90407</v>
      </c>
      <c r="AA33" s="84">
        <f t="shared" si="16"/>
        <v>1</v>
      </c>
      <c r="AB33" s="5">
        <f t="shared" si="17"/>
        <v>249</v>
      </c>
      <c r="AC33" s="5">
        <f t="shared" si="17"/>
        <v>670</v>
      </c>
      <c r="AD33" s="84">
        <f t="shared" si="29"/>
        <v>0</v>
      </c>
      <c r="AE33" s="5">
        <v>55.2</v>
      </c>
      <c r="AF33" s="84">
        <f>AE33-AE32</f>
        <v>1.2000000000000028</v>
      </c>
      <c r="AG33" s="5">
        <v>913</v>
      </c>
      <c r="AH33" s="84">
        <f t="shared" si="19"/>
        <v>8</v>
      </c>
      <c r="AI33" s="84">
        <f t="shared" si="20"/>
        <v>9.2000000000000028</v>
      </c>
      <c r="AJ33" s="345">
        <f t="shared" si="21"/>
        <v>1</v>
      </c>
      <c r="AK33" s="346">
        <f t="shared" si="5"/>
        <v>-11</v>
      </c>
      <c r="AL33" s="346">
        <f t="shared" si="22"/>
        <v>-1</v>
      </c>
      <c r="AM33" s="346">
        <f>'General information '!D33</f>
        <v>15</v>
      </c>
      <c r="AN33" s="85">
        <f>'General information '!H33</f>
        <v>240</v>
      </c>
      <c r="AO33" s="85"/>
      <c r="AP33" s="85">
        <f>'General information '!J33</f>
        <v>766</v>
      </c>
      <c r="AR33" s="288">
        <f t="shared" si="23"/>
        <v>43827</v>
      </c>
      <c r="AS33" s="451">
        <f t="shared" si="37"/>
        <v>0.9</v>
      </c>
      <c r="AT33" s="206">
        <v>62</v>
      </c>
      <c r="AU33" s="452">
        <f t="shared" si="31"/>
        <v>1.1000000000000001</v>
      </c>
      <c r="AV33" s="206">
        <v>49</v>
      </c>
      <c r="AW33" s="5">
        <v>2.9</v>
      </c>
      <c r="AX33" s="206">
        <v>68</v>
      </c>
      <c r="AY33" s="455">
        <f t="shared" si="7"/>
        <v>55.800000000000004</v>
      </c>
      <c r="AZ33" s="455">
        <f t="shared" si="24"/>
        <v>53.900000000000006</v>
      </c>
      <c r="BA33" s="455">
        <f t="shared" si="25"/>
        <v>197.2</v>
      </c>
      <c r="BB33" s="21">
        <f t="shared" si="26"/>
        <v>-15.300000000000004</v>
      </c>
      <c r="BC33" s="21">
        <f t="shared" si="26"/>
        <v>-33</v>
      </c>
      <c r="BD33" s="21">
        <f t="shared" si="26"/>
        <v>-34.800000000000011</v>
      </c>
      <c r="BE33" s="24">
        <f t="shared" si="28"/>
        <v>-83.100000000000023</v>
      </c>
      <c r="BF33" s="97">
        <f t="shared" si="8"/>
        <v>83.100000000000023</v>
      </c>
      <c r="BG33" s="83">
        <f t="shared" si="9"/>
        <v>-83.100000000000023</v>
      </c>
    </row>
    <row r="34" spans="1:59" ht="15.75" thickBot="1">
      <c r="A34" s="6">
        <f>ELEC!C31</f>
        <v>43828</v>
      </c>
      <c r="B34" s="5">
        <v>108070</v>
      </c>
      <c r="C34" s="5">
        <f t="shared" si="10"/>
        <v>80</v>
      </c>
      <c r="D34" s="445">
        <f t="shared" si="11"/>
        <v>2.9629629629629628</v>
      </c>
      <c r="E34" s="352">
        <f>SUM((C34*$E$4)+(7500/'EDl log'!$A$38))</f>
        <v>374.73548387096776</v>
      </c>
      <c r="F34" s="346">
        <v>3</v>
      </c>
      <c r="G34" s="5">
        <v>584583</v>
      </c>
      <c r="H34" s="5">
        <f t="shared" si="12"/>
        <v>189</v>
      </c>
      <c r="I34" s="5">
        <f t="shared" si="0"/>
        <v>269</v>
      </c>
      <c r="J34" s="353">
        <f t="shared" si="1"/>
        <v>1.3930687132749731</v>
      </c>
      <c r="K34" s="5">
        <f>'Swimming Pool quality check '!H34</f>
        <v>5773</v>
      </c>
      <c r="L34" s="283">
        <f t="shared" si="30"/>
        <v>4</v>
      </c>
      <c r="M34" s="436">
        <f t="shared" si="13"/>
        <v>457.44</v>
      </c>
      <c r="N34" s="574">
        <f t="shared" si="34"/>
        <v>0</v>
      </c>
      <c r="O34" s="436">
        <f t="shared" si="13"/>
        <v>529.52</v>
      </c>
      <c r="P34" s="574">
        <f t="shared" si="35"/>
        <v>0</v>
      </c>
      <c r="Q34" s="574">
        <f t="shared" si="36"/>
        <v>0</v>
      </c>
      <c r="R34" s="576"/>
      <c r="S34" s="576"/>
      <c r="T34" s="5">
        <v>4345</v>
      </c>
      <c r="U34" s="5">
        <f t="shared" si="4"/>
        <v>13</v>
      </c>
      <c r="V34" s="5">
        <v>325</v>
      </c>
      <c r="W34" s="343">
        <f t="shared" si="14"/>
        <v>7</v>
      </c>
      <c r="X34" s="5">
        <v>138516</v>
      </c>
      <c r="Y34" s="343">
        <f t="shared" si="15"/>
        <v>84</v>
      </c>
      <c r="Z34" s="5">
        <v>90504</v>
      </c>
      <c r="AA34" s="84">
        <f t="shared" si="16"/>
        <v>97</v>
      </c>
      <c r="AB34" s="5">
        <f t="shared" si="17"/>
        <v>249</v>
      </c>
      <c r="AC34" s="5">
        <f t="shared" si="17"/>
        <v>670</v>
      </c>
      <c r="AD34" s="84">
        <f t="shared" si="29"/>
        <v>0</v>
      </c>
      <c r="AE34" s="5">
        <v>56.9</v>
      </c>
      <c r="AF34" s="84">
        <f t="shared" si="18"/>
        <v>1.6999999999999957</v>
      </c>
      <c r="AG34" s="5">
        <v>929.5</v>
      </c>
      <c r="AH34" s="84">
        <f t="shared" si="19"/>
        <v>16.5</v>
      </c>
      <c r="AI34" s="84">
        <f t="shared" si="20"/>
        <v>18.199999999999996</v>
      </c>
      <c r="AJ34" s="345">
        <f t="shared" si="21"/>
        <v>97</v>
      </c>
      <c r="AK34" s="346">
        <f t="shared" si="5"/>
        <v>80</v>
      </c>
      <c r="AL34" s="346">
        <f t="shared" si="22"/>
        <v>90</v>
      </c>
      <c r="AM34" s="346">
        <f>'General information '!D34</f>
        <v>14.5</v>
      </c>
      <c r="AN34" s="85">
        <f>'General information '!H34</f>
        <v>0</v>
      </c>
      <c r="AO34" s="85"/>
      <c r="AP34" s="85">
        <f>'General information '!J34</f>
        <v>746</v>
      </c>
      <c r="AR34" s="288">
        <f t="shared" si="23"/>
        <v>43828</v>
      </c>
      <c r="AS34" s="451">
        <f t="shared" si="37"/>
        <v>0.9</v>
      </c>
      <c r="AT34" s="206">
        <v>113</v>
      </c>
      <c r="AU34" s="453">
        <f t="shared" si="31"/>
        <v>1.1000000000000001</v>
      </c>
      <c r="AV34" s="206">
        <v>73</v>
      </c>
      <c r="AW34" s="5">
        <v>2.9</v>
      </c>
      <c r="AX34" s="206">
        <v>72</v>
      </c>
      <c r="AY34" s="455">
        <f t="shared" si="7"/>
        <v>101.7</v>
      </c>
      <c r="AZ34" s="455">
        <f t="shared" si="24"/>
        <v>80.300000000000011</v>
      </c>
      <c r="BA34" s="455">
        <f t="shared" si="25"/>
        <v>208.79999999999998</v>
      </c>
      <c r="BB34" s="21">
        <f t="shared" si="26"/>
        <v>45.9</v>
      </c>
      <c r="BC34" s="21">
        <f t="shared" si="26"/>
        <v>26.400000000000006</v>
      </c>
      <c r="BD34" s="21">
        <f t="shared" si="26"/>
        <v>11.599999999999994</v>
      </c>
      <c r="BE34" s="24">
        <f t="shared" si="28"/>
        <v>83.9</v>
      </c>
      <c r="BF34" s="97">
        <f t="shared" si="8"/>
        <v>185.1</v>
      </c>
      <c r="BG34" s="83">
        <f t="shared" si="9"/>
        <v>83.9</v>
      </c>
    </row>
    <row r="35" spans="1:59" ht="15.75" thickBot="1">
      <c r="A35" s="6">
        <f>ELEC!C32</f>
        <v>43829</v>
      </c>
      <c r="B35" s="5">
        <f t="shared" si="32"/>
        <v>108070</v>
      </c>
      <c r="C35" s="5">
        <f t="shared" si="10"/>
        <v>0</v>
      </c>
      <c r="D35" s="445">
        <f t="shared" si="11"/>
        <v>0</v>
      </c>
      <c r="E35" s="352">
        <f>SUM((C35*$E$4)+(7500/'EDl log'!$A$38))</f>
        <v>241.93548387096774</v>
      </c>
      <c r="F35" s="346"/>
      <c r="G35" s="5">
        <v>584654</v>
      </c>
      <c r="H35" s="5">
        <f t="shared" si="12"/>
        <v>71</v>
      </c>
      <c r="I35" s="5">
        <f t="shared" si="0"/>
        <v>71</v>
      </c>
      <c r="J35" s="353">
        <f t="shared" si="1"/>
        <v>3.4075420263516585</v>
      </c>
      <c r="K35" s="5">
        <f>'Swimming Pool quality check '!H35</f>
        <v>5773</v>
      </c>
      <c r="L35" s="84">
        <f t="shared" si="30"/>
        <v>0</v>
      </c>
      <c r="M35" s="436">
        <f t="shared" si="13"/>
        <v>457.44</v>
      </c>
      <c r="N35" s="574">
        <f t="shared" si="34"/>
        <v>0</v>
      </c>
      <c r="O35" s="436">
        <f t="shared" si="13"/>
        <v>529.52</v>
      </c>
      <c r="P35" s="574">
        <f t="shared" si="35"/>
        <v>0</v>
      </c>
      <c r="Q35" s="574">
        <f t="shared" si="36"/>
        <v>0</v>
      </c>
      <c r="R35" s="574"/>
      <c r="S35" s="574"/>
      <c r="T35" s="5">
        <v>4354</v>
      </c>
      <c r="U35" s="5">
        <f t="shared" si="4"/>
        <v>9</v>
      </c>
      <c r="V35" s="5">
        <v>326</v>
      </c>
      <c r="W35" s="343">
        <f t="shared" si="14"/>
        <v>1</v>
      </c>
      <c r="X35" s="5">
        <v>138557</v>
      </c>
      <c r="Y35" s="343">
        <f t="shared" si="15"/>
        <v>41</v>
      </c>
      <c r="Z35" s="5">
        <v>90527</v>
      </c>
      <c r="AA35" s="84">
        <f t="shared" si="16"/>
        <v>23</v>
      </c>
      <c r="AB35" s="5">
        <f t="shared" si="17"/>
        <v>249</v>
      </c>
      <c r="AC35" s="5">
        <f t="shared" si="17"/>
        <v>670</v>
      </c>
      <c r="AD35" s="84">
        <f t="shared" si="29"/>
        <v>0</v>
      </c>
      <c r="AE35" s="5">
        <v>58.21</v>
      </c>
      <c r="AF35" s="84">
        <f t="shared" si="18"/>
        <v>1.3100000000000023</v>
      </c>
      <c r="AG35" s="5">
        <v>941.6</v>
      </c>
      <c r="AH35" s="84">
        <f t="shared" si="19"/>
        <v>12.100000000000023</v>
      </c>
      <c r="AI35" s="84">
        <f t="shared" si="20"/>
        <v>13.410000000000025</v>
      </c>
      <c r="AJ35" s="345">
        <f t="shared" si="21"/>
        <v>23</v>
      </c>
      <c r="AK35" s="346">
        <f t="shared" si="5"/>
        <v>41</v>
      </c>
      <c r="AL35" s="346">
        <f t="shared" si="22"/>
        <v>22</v>
      </c>
      <c r="AM35" s="346">
        <f>'General information '!D35</f>
        <v>14</v>
      </c>
      <c r="AN35" s="85">
        <f>'General information '!H35</f>
        <v>0</v>
      </c>
      <c r="AO35" s="85"/>
      <c r="AP35" s="85">
        <f>'General information '!J35</f>
        <v>746</v>
      </c>
      <c r="AR35" s="288">
        <f t="shared" si="23"/>
        <v>43829</v>
      </c>
      <c r="AS35" s="451">
        <f t="shared" si="37"/>
        <v>0.9</v>
      </c>
      <c r="AT35" s="206">
        <v>60</v>
      </c>
      <c r="AU35" s="454">
        <f t="shared" si="31"/>
        <v>1.1000000000000001</v>
      </c>
      <c r="AV35" s="206">
        <v>66</v>
      </c>
      <c r="AW35" s="5">
        <v>2.9</v>
      </c>
      <c r="AX35" s="206">
        <v>47</v>
      </c>
      <c r="AY35" s="455">
        <f t="shared" si="7"/>
        <v>54</v>
      </c>
      <c r="AZ35" s="455">
        <f t="shared" si="24"/>
        <v>72.600000000000009</v>
      </c>
      <c r="BA35" s="455">
        <f t="shared" si="25"/>
        <v>136.29999999999998</v>
      </c>
      <c r="BB35" s="21">
        <f t="shared" si="26"/>
        <v>-47.7</v>
      </c>
      <c r="BC35" s="232">
        <f t="shared" si="26"/>
        <v>-7.7000000000000028</v>
      </c>
      <c r="BD35" s="232">
        <f t="shared" si="26"/>
        <v>-72.5</v>
      </c>
      <c r="BE35" s="24">
        <f t="shared" si="28"/>
        <v>-127.9</v>
      </c>
      <c r="BF35" s="97">
        <f t="shared" si="8"/>
        <v>198.9</v>
      </c>
      <c r="BG35" s="83">
        <f t="shared" si="9"/>
        <v>-127.9</v>
      </c>
    </row>
    <row r="36" spans="1:59" ht="15.75" thickBot="1">
      <c r="A36" s="6">
        <f>ELEC!C33</f>
        <v>43830</v>
      </c>
      <c r="B36" s="5">
        <v>108202</v>
      </c>
      <c r="C36" s="5">
        <f>B36-B35</f>
        <v>132</v>
      </c>
      <c r="D36" s="445">
        <f t="shared" si="11"/>
        <v>4.8888888888888893</v>
      </c>
      <c r="E36" s="352">
        <f>SUM((C36*$E$4)+(7500/'EDl log'!$A$38))</f>
        <v>461.05548387096769</v>
      </c>
      <c r="F36" s="346"/>
      <c r="G36" s="5">
        <v>584867</v>
      </c>
      <c r="H36" s="5">
        <f>G36-G35</f>
        <v>213</v>
      </c>
      <c r="I36" s="5">
        <f>C36+H36</f>
        <v>345</v>
      </c>
      <c r="J36" s="353">
        <f>IF(I36&gt;0,E36/I36,0)</f>
        <v>1.3363927068723702</v>
      </c>
      <c r="K36" s="5">
        <f>'Swimming Pool quality check '!H36</f>
        <v>5773</v>
      </c>
      <c r="L36" s="84">
        <f>K36-K35</f>
        <v>0</v>
      </c>
      <c r="M36" s="436">
        <f t="shared" si="13"/>
        <v>457.44</v>
      </c>
      <c r="N36" s="574">
        <f t="shared" si="34"/>
        <v>0</v>
      </c>
      <c r="O36" s="436">
        <f t="shared" si="13"/>
        <v>529.52</v>
      </c>
      <c r="P36" s="574">
        <f t="shared" si="35"/>
        <v>0</v>
      </c>
      <c r="Q36" s="574">
        <f t="shared" si="36"/>
        <v>0</v>
      </c>
      <c r="R36" s="574"/>
      <c r="S36" s="574"/>
      <c r="T36" s="5">
        <v>4363</v>
      </c>
      <c r="U36" s="5">
        <f>SUM(T36-T35)</f>
        <v>9</v>
      </c>
      <c r="V36" s="5">
        <v>332</v>
      </c>
      <c r="W36" s="343">
        <f t="shared" si="14"/>
        <v>6</v>
      </c>
      <c r="X36" s="5">
        <v>138671</v>
      </c>
      <c r="Y36" s="343">
        <f>SUM(X36-X35)</f>
        <v>114</v>
      </c>
      <c r="Z36" s="5">
        <v>90621</v>
      </c>
      <c r="AA36" s="84">
        <f>Z36-Z35</f>
        <v>94</v>
      </c>
      <c r="AB36" s="5">
        <f t="shared" si="17"/>
        <v>249</v>
      </c>
      <c r="AC36" s="5">
        <f t="shared" si="17"/>
        <v>670</v>
      </c>
      <c r="AD36" s="84">
        <f>AC36-AC35</f>
        <v>0</v>
      </c>
      <c r="AE36" s="5">
        <v>60.22</v>
      </c>
      <c r="AF36" s="84">
        <f>AE36-AE35</f>
        <v>2.009999999999998</v>
      </c>
      <c r="AG36" s="5">
        <v>961.36</v>
      </c>
      <c r="AH36" s="84">
        <f t="shared" si="19"/>
        <v>19.759999999999991</v>
      </c>
      <c r="AI36" s="84">
        <f t="shared" si="20"/>
        <v>21.769999999999989</v>
      </c>
      <c r="AJ36" s="345">
        <f>+Z36-Z35</f>
        <v>94</v>
      </c>
      <c r="AK36" s="346">
        <f t="shared" si="5"/>
        <v>114</v>
      </c>
      <c r="AL36" s="346">
        <f>SUM(AJ36-W36)</f>
        <v>88</v>
      </c>
      <c r="AM36" s="346">
        <f>'General information '!D36</f>
        <v>13.5</v>
      </c>
      <c r="AN36" s="85">
        <f>'General information '!H36</f>
        <v>0</v>
      </c>
      <c r="AO36" s="85"/>
      <c r="AP36" s="85">
        <f>'General information '!J36</f>
        <v>439</v>
      </c>
      <c r="AR36" s="288">
        <f>A36</f>
        <v>43830</v>
      </c>
      <c r="AS36" s="451">
        <f t="shared" si="37"/>
        <v>0.9</v>
      </c>
      <c r="AT36" s="206">
        <v>102</v>
      </c>
      <c r="AU36" s="454">
        <f t="shared" si="31"/>
        <v>1.1000000000000001</v>
      </c>
      <c r="AV36" s="206">
        <v>71</v>
      </c>
      <c r="AW36" s="5">
        <v>2.9</v>
      </c>
      <c r="AX36" s="206">
        <v>76</v>
      </c>
      <c r="AY36" s="455">
        <f>AS36*AT36</f>
        <v>91.8</v>
      </c>
      <c r="AZ36" s="455">
        <f>AU36*AV36</f>
        <v>78.100000000000009</v>
      </c>
      <c r="BA36" s="455">
        <f t="shared" si="25"/>
        <v>220.4</v>
      </c>
      <c r="BB36" s="21">
        <f>AY36-AY35</f>
        <v>37.799999999999997</v>
      </c>
      <c r="BC36" s="232">
        <f>AZ36-AZ35</f>
        <v>5.5</v>
      </c>
      <c r="BD36" s="232">
        <f>BA36-BA35</f>
        <v>84.100000000000023</v>
      </c>
      <c r="BE36" s="24">
        <f>SUM(BB36:BD36)</f>
        <v>127.40000000000002</v>
      </c>
      <c r="BF36" s="97">
        <f>SUM(I36-BE36)</f>
        <v>217.59999999999997</v>
      </c>
      <c r="BG36" s="83">
        <f>SUM(I36-BF36)</f>
        <v>127.40000000000003</v>
      </c>
    </row>
    <row r="37" spans="1:59">
      <c r="B37" s="1">
        <f>B36-B5</f>
        <v>672</v>
      </c>
      <c r="C37" s="438">
        <f>SUM(C6:C36)</f>
        <v>672</v>
      </c>
      <c r="D37" s="341">
        <f>SUM(D6:D36)</f>
        <v>24.888888888888889</v>
      </c>
      <c r="F37" s="440">
        <f>SUM(F6:F36)</f>
        <v>3</v>
      </c>
      <c r="H37" s="438">
        <f>SUM(H6:H36)</f>
        <v>2938</v>
      </c>
      <c r="I37" s="438">
        <f>SUM(I6:I36)</f>
        <v>3610</v>
      </c>
      <c r="L37" s="276">
        <f>SUM(L7:L36)</f>
        <v>129</v>
      </c>
      <c r="Q37" s="544">
        <f>SUM(Q5:Q35)</f>
        <v>0</v>
      </c>
      <c r="U37" s="435">
        <f>SUM(U6:U36)</f>
        <v>182</v>
      </c>
      <c r="X37" s="342"/>
      <c r="Y37" s="341">
        <f>SUM(Y35,Y33,Y31,Y29,Y27,Y25,Y23,Y21,Y19,Y17,Y15,Y13,Y11,Y9,Y7+Y36)</f>
        <v>627</v>
      </c>
      <c r="AJ37" s="341">
        <f>SUM(AJ6:AJ36)</f>
        <v>1256</v>
      </c>
      <c r="AK37" s="346">
        <f t="shared" si="5"/>
        <v>498</v>
      </c>
      <c r="AL37" s="341">
        <f>SUM(AL6:AL36)</f>
        <v>1216</v>
      </c>
      <c r="AP37" s="17"/>
      <c r="AQ37" s="17"/>
      <c r="AR37" s="17"/>
      <c r="AS37" s="231"/>
      <c r="AT37" s="5">
        <f t="shared" si="37"/>
        <v>102</v>
      </c>
      <c r="AU37" s="231"/>
      <c r="AV37" s="17"/>
      <c r="AW37" s="233"/>
      <c r="AX37" s="233"/>
      <c r="AY37" s="233"/>
      <c r="AZ37" s="17"/>
      <c r="BA37" s="17"/>
      <c r="BB37" s="17"/>
      <c r="BC37" s="17"/>
      <c r="BD37" s="17"/>
    </row>
    <row r="38" spans="1:59">
      <c r="B38" s="1">
        <f>B37*1.66</f>
        <v>1115.52</v>
      </c>
      <c r="C38" s="1">
        <f>+C37*1.66</f>
        <v>1115.52</v>
      </c>
      <c r="E38" s="351">
        <f>SUM(E6:E36)</f>
        <v>8615.52</v>
      </c>
      <c r="F38" s="443">
        <f>SUM(F6:F36)</f>
        <v>3</v>
      </c>
      <c r="H38" s="159">
        <v>7500</v>
      </c>
      <c r="I38" s="439">
        <f>SUM('General information '!G37/WATER!I37)</f>
        <v>0.38916509695290852</v>
      </c>
      <c r="L38" s="159"/>
      <c r="O38" s="541">
        <f>SUM(Q37+I37)</f>
        <v>3610</v>
      </c>
      <c r="Z38" s="341">
        <f>SUM(Y37:AJ37)</f>
        <v>1883</v>
      </c>
      <c r="AK38" s="346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3">
        <f>9*27</f>
        <v>243</v>
      </c>
      <c r="D39" s="440">
        <f>SUM(D21:D35)</f>
        <v>10.814814814814815</v>
      </c>
      <c r="F39" s="441">
        <f>SUM(F6:F36)</f>
        <v>3</v>
      </c>
      <c r="G39" s="1">
        <f>SUM(I37)</f>
        <v>3610</v>
      </c>
      <c r="H39" s="1">
        <f>SUM(H38+C38)</f>
        <v>8615.52</v>
      </c>
      <c r="K39" s="1">
        <f>SUM(H39/G39)</f>
        <v>2.3865706371191138</v>
      </c>
      <c r="AJ39" s="341">
        <f>SUM(C38-AK38)</f>
        <v>1115.52</v>
      </c>
      <c r="AM39" s="36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topLeftCell="A25"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26" activePane="bottomLeft" state="frozen"/>
      <selection pane="bottomLeft" activeCell="I41" sqref="I41"/>
    </sheetView>
  </sheetViews>
  <sheetFormatPr defaultRowHeight="15"/>
  <cols>
    <col min="1" max="1" width="11.85546875" style="52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02" t="s">
        <v>193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4"/>
    </row>
    <row r="2" spans="1:15" ht="15.75" customHeight="1" thickBot="1">
      <c r="A2" s="605"/>
      <c r="B2" s="606"/>
      <c r="C2" s="606"/>
      <c r="D2" s="606"/>
      <c r="E2" s="606"/>
      <c r="F2" s="606"/>
      <c r="G2" s="606"/>
      <c r="H2" s="606"/>
      <c r="I2" s="606"/>
      <c r="J2" s="606"/>
      <c r="K2" s="606"/>
      <c r="L2" s="606"/>
      <c r="M2" s="606"/>
      <c r="N2" s="606"/>
      <c r="O2" s="607"/>
    </row>
    <row r="3" spans="1:15" ht="9" customHeight="1" thickBot="1">
      <c r="A3" s="521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16.5" thickTop="1" thickBot="1">
      <c r="A4" s="522"/>
      <c r="B4" s="150" t="s">
        <v>390</v>
      </c>
      <c r="C4" s="151" t="s">
        <v>158</v>
      </c>
      <c r="D4" s="148" t="s">
        <v>160</v>
      </c>
      <c r="E4" s="152" t="s">
        <v>159</v>
      </c>
      <c r="F4" s="553" t="s">
        <v>184</v>
      </c>
      <c r="G4" s="149" t="s">
        <v>185</v>
      </c>
      <c r="H4" s="154" t="s">
        <v>186</v>
      </c>
      <c r="I4" s="150" t="s">
        <v>187</v>
      </c>
      <c r="J4" s="151" t="s">
        <v>188</v>
      </c>
      <c r="K4" s="149" t="s">
        <v>189</v>
      </c>
      <c r="L4" s="154" t="s">
        <v>190</v>
      </c>
      <c r="M4" s="151" t="s">
        <v>191</v>
      </c>
      <c r="N4" s="156" t="s">
        <v>192</v>
      </c>
      <c r="O4" s="158" t="s">
        <v>194</v>
      </c>
    </row>
    <row r="5" spans="1:15" ht="15.75" thickTop="1">
      <c r="A5" s="523">
        <f>ELEC!C2</f>
        <v>43799</v>
      </c>
      <c r="B5" s="379">
        <f>'[1]General information '!B35</f>
        <v>22</v>
      </c>
      <c r="C5" s="379">
        <f>'[1]General information '!C35</f>
        <v>15</v>
      </c>
      <c r="D5" s="379">
        <f>'[1]General information '!D35</f>
        <v>18.5</v>
      </c>
      <c r="E5" s="379">
        <f>'[1]General information '!E35</f>
        <v>0.45</v>
      </c>
      <c r="F5" s="379">
        <f>'[1]General information '!F35</f>
        <v>0.113</v>
      </c>
      <c r="G5" s="379">
        <f>'[1]General information '!G35</f>
        <v>25.990000000000002</v>
      </c>
      <c r="H5" s="379">
        <f>'[1]General information '!H35</f>
        <v>0</v>
      </c>
      <c r="I5" s="379">
        <f>'[1]General information '!I35</f>
        <v>0</v>
      </c>
      <c r="J5" s="379">
        <f>'[1]General information '!J35</f>
        <v>205</v>
      </c>
      <c r="K5" s="379">
        <f>'[1]General information '!K35</f>
        <v>205</v>
      </c>
      <c r="L5" s="379">
        <f>'[1]General information '!L35</f>
        <v>0</v>
      </c>
      <c r="M5" s="379">
        <f>'[1]General information '!M35</f>
        <v>0</v>
      </c>
      <c r="N5" s="379">
        <f>'[1]General information '!N35</f>
        <v>0</v>
      </c>
      <c r="O5" s="379">
        <f>'[1]General information '!O35</f>
        <v>0</v>
      </c>
    </row>
    <row r="6" spans="1:15">
      <c r="A6" s="523">
        <f>ELEC!C3</f>
        <v>43800</v>
      </c>
      <c r="B6" s="37">
        <v>21</v>
      </c>
      <c r="C6" s="37">
        <v>14</v>
      </c>
      <c r="D6" s="26">
        <f t="shared" ref="D6:D12" si="0">(C6+B6)/2</f>
        <v>17.5</v>
      </c>
      <c r="E6" s="360">
        <v>0.45</v>
      </c>
      <c r="F6" s="366">
        <v>0.1565</v>
      </c>
      <c r="G6" s="247">
        <f t="shared" ref="G6:G12" si="1">F6*230</f>
        <v>35.994999999999997</v>
      </c>
      <c r="H6" s="3">
        <v>0</v>
      </c>
      <c r="I6" s="3"/>
      <c r="J6" s="37">
        <v>290</v>
      </c>
      <c r="K6" s="271">
        <f t="shared" ref="K6:K26" si="2">+J6+H6</f>
        <v>290</v>
      </c>
      <c r="L6" s="3"/>
      <c r="M6" s="3"/>
      <c r="N6" s="157"/>
      <c r="O6" s="3"/>
    </row>
    <row r="7" spans="1:15">
      <c r="A7" s="523">
        <f>ELEC!C4</f>
        <v>43801</v>
      </c>
      <c r="B7" s="37">
        <v>22</v>
      </c>
      <c r="C7" s="37">
        <v>15</v>
      </c>
      <c r="D7" s="26">
        <f t="shared" si="0"/>
        <v>18.5</v>
      </c>
      <c r="E7" s="360">
        <v>0.4</v>
      </c>
      <c r="F7" s="366">
        <v>0.13039999999999999</v>
      </c>
      <c r="G7" s="247">
        <f t="shared" si="1"/>
        <v>29.991999999999997</v>
      </c>
      <c r="H7" s="3">
        <v>0</v>
      </c>
      <c r="I7" s="3">
        <v>0</v>
      </c>
      <c r="J7" s="37">
        <v>145</v>
      </c>
      <c r="K7" s="271">
        <f t="shared" si="2"/>
        <v>145</v>
      </c>
      <c r="L7" s="3"/>
      <c r="M7" s="3"/>
      <c r="N7" s="157"/>
      <c r="O7" s="3"/>
    </row>
    <row r="8" spans="1:15">
      <c r="A8" s="523">
        <f>ELEC!C5</f>
        <v>43802</v>
      </c>
      <c r="B8" s="37">
        <v>23</v>
      </c>
      <c r="C8" s="37">
        <v>15</v>
      </c>
      <c r="D8" s="26">
        <f t="shared" si="0"/>
        <v>19</v>
      </c>
      <c r="E8" s="360">
        <v>0.43</v>
      </c>
      <c r="F8" s="360">
        <v>0.1522</v>
      </c>
      <c r="G8" s="247">
        <f t="shared" si="1"/>
        <v>35.006</v>
      </c>
      <c r="H8" s="3">
        <v>0</v>
      </c>
      <c r="I8" s="3"/>
      <c r="J8" s="37">
        <v>97</v>
      </c>
      <c r="K8" s="271">
        <f t="shared" si="2"/>
        <v>97</v>
      </c>
      <c r="L8" s="3"/>
      <c r="M8" s="172"/>
      <c r="N8" s="157"/>
      <c r="O8" s="3"/>
    </row>
    <row r="9" spans="1:15">
      <c r="A9" s="523">
        <f>ELEC!C6</f>
        <v>43803</v>
      </c>
      <c r="B9" s="37">
        <v>19</v>
      </c>
      <c r="C9" s="37">
        <v>12</v>
      </c>
      <c r="D9" s="26">
        <f>(C9+B9)/2</f>
        <v>15.5</v>
      </c>
      <c r="E9" s="419">
        <v>0.65</v>
      </c>
      <c r="F9" s="419">
        <v>0.17829999999999999</v>
      </c>
      <c r="G9" s="247">
        <f>F9*230</f>
        <v>41.009</v>
      </c>
      <c r="H9" s="3">
        <v>0</v>
      </c>
      <c r="I9" s="3"/>
      <c r="J9" s="37">
        <v>143</v>
      </c>
      <c r="K9" s="271">
        <f>+J9+H9</f>
        <v>143</v>
      </c>
      <c r="L9" s="3"/>
      <c r="M9" s="3"/>
      <c r="N9" s="157"/>
      <c r="O9" s="3"/>
    </row>
    <row r="10" spans="1:15">
      <c r="A10" s="523">
        <f>ELEC!C7</f>
        <v>43804</v>
      </c>
      <c r="B10" s="37">
        <v>18</v>
      </c>
      <c r="C10" s="37">
        <v>11</v>
      </c>
      <c r="D10" s="26">
        <f t="shared" si="0"/>
        <v>14.5</v>
      </c>
      <c r="E10" s="377">
        <v>0.65</v>
      </c>
      <c r="F10" s="360">
        <v>0.21299999999999999</v>
      </c>
      <c r="G10" s="247">
        <f t="shared" si="1"/>
        <v>48.99</v>
      </c>
      <c r="H10" s="3">
        <v>0</v>
      </c>
      <c r="I10" s="3"/>
      <c r="J10" s="37">
        <v>219</v>
      </c>
      <c r="K10" s="271">
        <f t="shared" si="2"/>
        <v>219</v>
      </c>
      <c r="L10" s="3"/>
      <c r="M10" s="3"/>
      <c r="N10" s="157"/>
      <c r="O10" s="3"/>
    </row>
    <row r="11" spans="1:15">
      <c r="A11" s="523">
        <f>ELEC!C8</f>
        <v>43805</v>
      </c>
      <c r="B11" s="37">
        <v>18</v>
      </c>
      <c r="C11" s="37">
        <v>11</v>
      </c>
      <c r="D11" s="26">
        <f t="shared" si="0"/>
        <v>14.5</v>
      </c>
      <c r="E11" s="419">
        <v>0.65</v>
      </c>
      <c r="F11" s="360">
        <v>0.17799999999999999</v>
      </c>
      <c r="G11" s="247">
        <f t="shared" si="1"/>
        <v>40.94</v>
      </c>
      <c r="H11" s="3">
        <v>0</v>
      </c>
      <c r="I11" s="3"/>
      <c r="J11" s="37">
        <v>300</v>
      </c>
      <c r="K11" s="271">
        <f>+J11+H11</f>
        <v>300</v>
      </c>
      <c r="L11" s="3"/>
      <c r="M11" s="3"/>
      <c r="N11" s="157"/>
      <c r="O11" s="3"/>
    </row>
    <row r="12" spans="1:15">
      <c r="A12" s="523">
        <f>ELEC!C9</f>
        <v>43806</v>
      </c>
      <c r="B12" s="37">
        <v>18</v>
      </c>
      <c r="C12" s="37">
        <v>15</v>
      </c>
      <c r="D12" s="26">
        <f t="shared" si="0"/>
        <v>16.5</v>
      </c>
      <c r="E12" s="419">
        <v>0.65</v>
      </c>
      <c r="F12" s="419">
        <v>0.13900000000000001</v>
      </c>
      <c r="G12" s="247">
        <f t="shared" si="1"/>
        <v>31.970000000000002</v>
      </c>
      <c r="H12" s="3">
        <v>0</v>
      </c>
      <c r="I12" s="3"/>
      <c r="J12" s="37"/>
      <c r="K12" s="271">
        <f t="shared" si="2"/>
        <v>0</v>
      </c>
      <c r="L12" s="3"/>
      <c r="M12" s="3"/>
      <c r="N12" s="157"/>
      <c r="O12" s="3"/>
    </row>
    <row r="13" spans="1:15">
      <c r="A13" s="523">
        <f>ELEC!C10</f>
        <v>43807</v>
      </c>
      <c r="B13" s="37">
        <v>17</v>
      </c>
      <c r="C13" s="37">
        <v>15</v>
      </c>
      <c r="D13" s="26">
        <f>(C13+B13)/2</f>
        <v>16</v>
      </c>
      <c r="E13" s="377">
        <v>0.94</v>
      </c>
      <c r="F13" s="377">
        <v>0.16220000000000001</v>
      </c>
      <c r="G13" s="247">
        <f>F13*230</f>
        <v>37.306000000000004</v>
      </c>
      <c r="H13" s="3">
        <v>0</v>
      </c>
      <c r="I13" s="3"/>
      <c r="J13" s="37">
        <v>299</v>
      </c>
      <c r="K13" s="271">
        <f>+J13+H13</f>
        <v>299</v>
      </c>
      <c r="L13" s="3"/>
      <c r="M13" s="3"/>
      <c r="N13" s="157"/>
      <c r="O13" s="3"/>
    </row>
    <row r="14" spans="1:15">
      <c r="A14" s="523">
        <f>ELEC!C11</f>
        <v>43808</v>
      </c>
      <c r="B14" s="37">
        <v>17</v>
      </c>
      <c r="C14" s="37">
        <v>15</v>
      </c>
      <c r="D14" s="26">
        <f t="shared" ref="D14:D35" si="3">(C14+B14)/2</f>
        <v>16</v>
      </c>
      <c r="E14" s="360">
        <v>0.65</v>
      </c>
      <c r="F14" s="360">
        <v>0.1739</v>
      </c>
      <c r="G14" s="247">
        <f t="shared" ref="G14:G35" si="4">F14*230</f>
        <v>39.997</v>
      </c>
      <c r="H14" s="3">
        <v>0</v>
      </c>
      <c r="I14" s="3"/>
      <c r="J14" s="37">
        <v>165</v>
      </c>
      <c r="K14" s="271">
        <f t="shared" si="2"/>
        <v>165</v>
      </c>
      <c r="L14" s="3"/>
      <c r="M14" s="3"/>
      <c r="N14" s="157"/>
      <c r="O14" s="3"/>
    </row>
    <row r="15" spans="1:15">
      <c r="A15" s="523">
        <f>ELEC!C12</f>
        <v>43809</v>
      </c>
      <c r="B15" s="37">
        <v>17</v>
      </c>
      <c r="C15" s="37">
        <v>15</v>
      </c>
      <c r="D15" s="26">
        <f t="shared" si="3"/>
        <v>16</v>
      </c>
      <c r="E15" s="360">
        <v>0.63</v>
      </c>
      <c r="F15" s="360">
        <v>0.187</v>
      </c>
      <c r="G15" s="247">
        <f>F15*230</f>
        <v>43.01</v>
      </c>
      <c r="H15" s="3">
        <v>0</v>
      </c>
      <c r="I15" s="3"/>
      <c r="J15" s="37">
        <v>153</v>
      </c>
      <c r="K15" s="271">
        <f>+J15+H15</f>
        <v>153</v>
      </c>
      <c r="L15" s="3"/>
      <c r="M15" s="3"/>
      <c r="N15" s="157"/>
      <c r="O15" s="3"/>
    </row>
    <row r="16" spans="1:15">
      <c r="A16" s="523">
        <f>ELEC!C13</f>
        <v>43810</v>
      </c>
      <c r="B16" s="37">
        <v>18</v>
      </c>
      <c r="C16" s="37">
        <v>15</v>
      </c>
      <c r="D16" s="26">
        <f t="shared" si="3"/>
        <v>16.5</v>
      </c>
      <c r="E16" s="360">
        <v>0.6</v>
      </c>
      <c r="F16" s="360">
        <v>0.1565</v>
      </c>
      <c r="G16" s="247">
        <f t="shared" si="4"/>
        <v>35.994999999999997</v>
      </c>
      <c r="H16" s="3">
        <v>0</v>
      </c>
      <c r="I16" s="3"/>
      <c r="J16" s="37">
        <v>156</v>
      </c>
      <c r="K16" s="271">
        <f>+J16+H16</f>
        <v>156</v>
      </c>
      <c r="L16" s="3"/>
      <c r="M16" s="3"/>
      <c r="N16" s="157"/>
      <c r="O16" s="3"/>
    </row>
    <row r="17" spans="1:15">
      <c r="A17" s="523">
        <f>ELEC!C14</f>
        <v>43811</v>
      </c>
      <c r="B17" s="37">
        <v>19</v>
      </c>
      <c r="C17" s="37">
        <v>16</v>
      </c>
      <c r="D17" s="26">
        <f t="shared" si="3"/>
        <v>17.5</v>
      </c>
      <c r="E17" s="360">
        <v>0.6</v>
      </c>
      <c r="F17" s="360">
        <v>0.21740000000000001</v>
      </c>
      <c r="G17" s="247">
        <f t="shared" si="4"/>
        <v>50.002000000000002</v>
      </c>
      <c r="H17" s="3"/>
      <c r="I17" s="3"/>
      <c r="J17" s="470">
        <v>199</v>
      </c>
      <c r="K17" s="271">
        <f t="shared" si="2"/>
        <v>199</v>
      </c>
      <c r="L17" s="3"/>
      <c r="M17" s="3"/>
      <c r="N17" s="157"/>
      <c r="O17" s="3"/>
    </row>
    <row r="18" spans="1:15">
      <c r="A18" s="523">
        <f>ELEC!C15</f>
        <v>43812</v>
      </c>
      <c r="B18" s="37">
        <v>18</v>
      </c>
      <c r="C18" s="37">
        <v>15</v>
      </c>
      <c r="D18" s="26">
        <f t="shared" si="3"/>
        <v>16.5</v>
      </c>
      <c r="E18" s="456">
        <v>0.55000000000000004</v>
      </c>
      <c r="F18" s="360">
        <v>0.23480000000000001</v>
      </c>
      <c r="G18" s="247">
        <f t="shared" si="4"/>
        <v>54.004000000000005</v>
      </c>
      <c r="H18" s="3">
        <v>0</v>
      </c>
      <c r="I18" s="3"/>
      <c r="J18" s="3">
        <v>276</v>
      </c>
      <c r="K18" s="271">
        <f t="shared" si="2"/>
        <v>276</v>
      </c>
      <c r="L18" s="3"/>
      <c r="M18" s="3"/>
      <c r="N18" s="157"/>
      <c r="O18" s="3"/>
    </row>
    <row r="19" spans="1:15">
      <c r="A19" s="523">
        <f>ELEC!C16</f>
        <v>43813</v>
      </c>
      <c r="B19" s="37">
        <v>18</v>
      </c>
      <c r="C19" s="37">
        <v>12</v>
      </c>
      <c r="D19" s="26">
        <f t="shared" si="3"/>
        <v>15</v>
      </c>
      <c r="E19" s="360">
        <v>0.57999999999999996</v>
      </c>
      <c r="F19" s="360">
        <v>0.1696</v>
      </c>
      <c r="G19" s="247">
        <f t="shared" si="4"/>
        <v>39.008000000000003</v>
      </c>
      <c r="H19" s="3">
        <v>150</v>
      </c>
      <c r="I19" s="3"/>
      <c r="J19" s="3">
        <v>300</v>
      </c>
      <c r="K19" s="271">
        <f t="shared" si="2"/>
        <v>450</v>
      </c>
      <c r="L19" s="3"/>
      <c r="M19" s="3"/>
      <c r="N19" s="157"/>
      <c r="O19" s="3"/>
    </row>
    <row r="20" spans="1:15">
      <c r="A20" s="523">
        <f>ELEC!C17</f>
        <v>43814</v>
      </c>
      <c r="B20" s="37">
        <v>17</v>
      </c>
      <c r="C20" s="37">
        <v>12</v>
      </c>
      <c r="D20" s="26">
        <f t="shared" si="3"/>
        <v>14.5</v>
      </c>
      <c r="E20" s="360">
        <v>0.55000000000000004</v>
      </c>
      <c r="F20" s="360">
        <v>0.16520000000000001</v>
      </c>
      <c r="G20" s="247">
        <f t="shared" si="4"/>
        <v>37.996000000000002</v>
      </c>
      <c r="H20" s="3">
        <v>0</v>
      </c>
      <c r="I20" s="3"/>
      <c r="J20" s="3">
        <v>448</v>
      </c>
      <c r="K20" s="271">
        <f t="shared" si="2"/>
        <v>448</v>
      </c>
      <c r="L20" s="3"/>
      <c r="M20" s="3"/>
      <c r="N20" s="157"/>
      <c r="O20" s="3"/>
    </row>
    <row r="21" spans="1:15">
      <c r="A21" s="523">
        <f>ELEC!C18</f>
        <v>43815</v>
      </c>
      <c r="B21" s="37">
        <v>20</v>
      </c>
      <c r="C21" s="37">
        <v>13</v>
      </c>
      <c r="D21" s="26">
        <f>(C21+B21)/2</f>
        <v>16.5</v>
      </c>
      <c r="E21" s="360">
        <v>0.51</v>
      </c>
      <c r="F21" s="360">
        <v>0.13900000000000001</v>
      </c>
      <c r="G21" s="247">
        <f t="shared" si="4"/>
        <v>31.970000000000002</v>
      </c>
      <c r="H21" s="3">
        <v>0</v>
      </c>
      <c r="I21" s="3"/>
      <c r="J21" s="3"/>
      <c r="K21" s="271">
        <f t="shared" si="2"/>
        <v>0</v>
      </c>
      <c r="L21" s="3"/>
      <c r="M21" s="3"/>
      <c r="N21" s="157"/>
      <c r="O21" s="3"/>
    </row>
    <row r="22" spans="1:15">
      <c r="A22" s="523">
        <f>ELEC!C19</f>
        <v>43816</v>
      </c>
      <c r="B22" s="37">
        <v>19</v>
      </c>
      <c r="C22" s="37">
        <v>17</v>
      </c>
      <c r="D22" s="26">
        <f t="shared" si="3"/>
        <v>18</v>
      </c>
      <c r="E22" s="360">
        <v>0.55000000000000004</v>
      </c>
      <c r="F22" s="419">
        <v>0.1522</v>
      </c>
      <c r="G22" s="247">
        <f t="shared" si="4"/>
        <v>35.006</v>
      </c>
      <c r="H22" s="3">
        <v>0</v>
      </c>
      <c r="I22" s="3"/>
      <c r="J22" s="3">
        <v>405</v>
      </c>
      <c r="K22" s="271">
        <f t="shared" si="2"/>
        <v>405</v>
      </c>
      <c r="L22" s="3"/>
      <c r="M22" s="3"/>
      <c r="N22" s="157"/>
      <c r="O22" s="3"/>
    </row>
    <row r="23" spans="1:15">
      <c r="A23" s="523">
        <f>ELEC!C20</f>
        <v>43817</v>
      </c>
      <c r="B23" s="37">
        <v>19</v>
      </c>
      <c r="C23" s="37">
        <v>17</v>
      </c>
      <c r="D23" s="26">
        <f>(C23+B23)/2</f>
        <v>18</v>
      </c>
      <c r="E23" s="360">
        <v>0.6</v>
      </c>
      <c r="F23" s="360">
        <v>0.1696</v>
      </c>
      <c r="G23" s="247">
        <f t="shared" si="4"/>
        <v>39.008000000000003</v>
      </c>
      <c r="H23" s="3">
        <v>0</v>
      </c>
      <c r="I23" s="3"/>
      <c r="J23" s="3">
        <v>180</v>
      </c>
      <c r="K23" s="271">
        <f t="shared" si="2"/>
        <v>180</v>
      </c>
      <c r="L23" s="3"/>
      <c r="M23" s="3"/>
      <c r="N23" s="157"/>
      <c r="O23" s="3"/>
    </row>
    <row r="24" spans="1:15">
      <c r="A24" s="523">
        <f>ELEC!C21</f>
        <v>43818</v>
      </c>
      <c r="B24" s="37">
        <v>20</v>
      </c>
      <c r="C24" s="37">
        <v>17</v>
      </c>
      <c r="D24" s="26">
        <f t="shared" si="3"/>
        <v>18.5</v>
      </c>
      <c r="E24" s="360">
        <v>0.6</v>
      </c>
      <c r="F24" s="360">
        <v>0.1739</v>
      </c>
      <c r="G24" s="247">
        <f t="shared" si="4"/>
        <v>39.997</v>
      </c>
      <c r="H24" s="3">
        <v>0</v>
      </c>
      <c r="I24" s="3"/>
      <c r="J24" s="3">
        <v>242</v>
      </c>
      <c r="K24" s="271">
        <f t="shared" si="2"/>
        <v>242</v>
      </c>
      <c r="L24" s="3"/>
      <c r="M24" s="3"/>
      <c r="N24" s="157"/>
      <c r="O24" s="3"/>
    </row>
    <row r="25" spans="1:15">
      <c r="A25" s="523">
        <f>ELEC!C22</f>
        <v>43819</v>
      </c>
      <c r="B25" s="37">
        <v>20</v>
      </c>
      <c r="C25" s="37">
        <v>14</v>
      </c>
      <c r="D25" s="26">
        <f t="shared" si="3"/>
        <v>17</v>
      </c>
      <c r="E25" s="360">
        <v>0.57999999999999996</v>
      </c>
      <c r="F25" s="360">
        <v>0.24779999999999999</v>
      </c>
      <c r="G25" s="247">
        <f t="shared" si="4"/>
        <v>56.994</v>
      </c>
      <c r="H25" s="3">
        <v>0</v>
      </c>
      <c r="I25" s="3"/>
      <c r="J25" s="3">
        <v>308</v>
      </c>
      <c r="K25" s="271">
        <f t="shared" si="2"/>
        <v>308</v>
      </c>
      <c r="L25" s="3"/>
      <c r="M25" s="3"/>
      <c r="N25" s="157"/>
      <c r="O25" s="3"/>
    </row>
    <row r="26" spans="1:15">
      <c r="A26" s="523">
        <f>ELEC!C23</f>
        <v>43820</v>
      </c>
      <c r="B26" s="37">
        <v>20</v>
      </c>
      <c r="C26" s="37">
        <v>14</v>
      </c>
      <c r="D26" s="26">
        <f>(C26+B26)/2</f>
        <v>17</v>
      </c>
      <c r="E26" s="360">
        <v>0.55000000000000004</v>
      </c>
      <c r="F26" s="360">
        <v>0.18260000000000001</v>
      </c>
      <c r="G26" s="247">
        <f t="shared" si="4"/>
        <v>41.998000000000005</v>
      </c>
      <c r="H26" s="3">
        <v>0</v>
      </c>
      <c r="I26" s="3"/>
      <c r="J26" s="3">
        <v>243</v>
      </c>
      <c r="K26" s="271">
        <f t="shared" si="2"/>
        <v>243</v>
      </c>
      <c r="L26" s="3"/>
      <c r="M26" s="3"/>
      <c r="N26" s="157"/>
      <c r="O26" s="3"/>
    </row>
    <row r="27" spans="1:15">
      <c r="A27" s="523">
        <f>ELEC!C24</f>
        <v>43821</v>
      </c>
      <c r="B27" s="37">
        <v>20</v>
      </c>
      <c r="C27" s="37">
        <v>14</v>
      </c>
      <c r="D27" s="26">
        <f t="shared" si="3"/>
        <v>17</v>
      </c>
      <c r="E27" s="360">
        <v>0.55000000000000004</v>
      </c>
      <c r="F27" s="360">
        <v>0.26090000000000002</v>
      </c>
      <c r="G27" s="247">
        <f t="shared" si="4"/>
        <v>60.007000000000005</v>
      </c>
      <c r="H27" s="3">
        <v>0</v>
      </c>
      <c r="I27" s="3"/>
      <c r="J27" s="3">
        <v>244</v>
      </c>
      <c r="K27" s="271">
        <f>+J27+H27+I27</f>
        <v>244</v>
      </c>
      <c r="L27" s="3"/>
      <c r="M27" s="3"/>
      <c r="N27" s="157"/>
      <c r="O27" s="3"/>
    </row>
    <row r="28" spans="1:15">
      <c r="A28" s="523">
        <f>ELEC!C25</f>
        <v>43822</v>
      </c>
      <c r="B28" s="37">
        <v>19</v>
      </c>
      <c r="C28" s="37">
        <v>16</v>
      </c>
      <c r="D28" s="26">
        <f t="shared" si="3"/>
        <v>17.5</v>
      </c>
      <c r="E28" s="360">
        <v>0.55000000000000004</v>
      </c>
      <c r="F28" s="360">
        <v>0.25650000000000001</v>
      </c>
      <c r="G28" s="247">
        <f t="shared" si="4"/>
        <v>58.995000000000005</v>
      </c>
      <c r="H28" s="3">
        <v>0</v>
      </c>
      <c r="I28" s="3"/>
      <c r="J28" s="3">
        <v>244</v>
      </c>
      <c r="K28" s="271">
        <f t="shared" ref="K28:K35" si="5">+J28+H28+I28</f>
        <v>244</v>
      </c>
      <c r="L28" s="3"/>
      <c r="M28" s="3"/>
      <c r="N28" s="157"/>
      <c r="O28" s="3"/>
    </row>
    <row r="29" spans="1:15">
      <c r="A29" s="523">
        <f>ELEC!C26</f>
        <v>43823</v>
      </c>
      <c r="B29" s="37">
        <v>19</v>
      </c>
      <c r="C29" s="37">
        <v>15</v>
      </c>
      <c r="D29" s="26">
        <f t="shared" si="3"/>
        <v>17</v>
      </c>
      <c r="E29" s="360">
        <v>0.54</v>
      </c>
      <c r="F29" s="360">
        <v>0.21740000000000001</v>
      </c>
      <c r="G29" s="247">
        <f t="shared" si="4"/>
        <v>50.002000000000002</v>
      </c>
      <c r="H29" s="3">
        <v>0</v>
      </c>
      <c r="I29" s="3"/>
      <c r="J29" s="3">
        <v>360</v>
      </c>
      <c r="K29" s="271">
        <f t="shared" si="5"/>
        <v>360</v>
      </c>
      <c r="L29" s="3"/>
      <c r="M29" s="3"/>
      <c r="N29" s="157"/>
      <c r="O29" s="3"/>
    </row>
    <row r="30" spans="1:15">
      <c r="A30" s="523">
        <f>ELEC!C27</f>
        <v>43824</v>
      </c>
      <c r="B30" s="37">
        <v>18</v>
      </c>
      <c r="C30" s="37">
        <v>14</v>
      </c>
      <c r="D30" s="26">
        <f t="shared" si="3"/>
        <v>16</v>
      </c>
      <c r="E30" s="360">
        <v>0.55000000000000004</v>
      </c>
      <c r="F30" s="419">
        <v>0.20430000000000001</v>
      </c>
      <c r="G30" s="247">
        <f t="shared" si="4"/>
        <v>46.989000000000004</v>
      </c>
      <c r="H30" s="3">
        <v>0</v>
      </c>
      <c r="I30" s="3"/>
      <c r="J30" s="3">
        <v>540</v>
      </c>
      <c r="K30" s="271">
        <f t="shared" si="5"/>
        <v>540</v>
      </c>
      <c r="L30" s="3"/>
      <c r="M30" s="3"/>
      <c r="N30" s="157"/>
      <c r="O30" s="3"/>
    </row>
    <row r="31" spans="1:15">
      <c r="A31" s="523">
        <f>ELEC!C28</f>
        <v>43825</v>
      </c>
      <c r="B31" s="37">
        <v>17</v>
      </c>
      <c r="C31" s="37">
        <v>14</v>
      </c>
      <c r="D31" s="3">
        <f t="shared" si="3"/>
        <v>15.5</v>
      </c>
      <c r="E31" s="361">
        <v>0.5</v>
      </c>
      <c r="F31" s="293">
        <v>0.21740000000000001</v>
      </c>
      <c r="G31" s="247">
        <f t="shared" si="4"/>
        <v>50.002000000000002</v>
      </c>
      <c r="H31" s="3"/>
      <c r="I31" s="3"/>
      <c r="J31" s="37">
        <v>288</v>
      </c>
      <c r="K31" s="271">
        <f t="shared" si="5"/>
        <v>288</v>
      </c>
      <c r="L31" s="3"/>
      <c r="M31" s="3"/>
      <c r="N31" s="157"/>
      <c r="O31" s="3"/>
    </row>
    <row r="32" spans="1:15">
      <c r="A32" s="523">
        <f>ELEC!C29</f>
        <v>43826</v>
      </c>
      <c r="B32" s="37">
        <v>16</v>
      </c>
      <c r="C32" s="37">
        <v>13</v>
      </c>
      <c r="D32" s="292">
        <f>(C32+B32)/2</f>
        <v>14.5</v>
      </c>
      <c r="E32" s="361">
        <v>0.77</v>
      </c>
      <c r="F32" s="365">
        <v>0.2913</v>
      </c>
      <c r="G32" s="247">
        <f t="shared" si="4"/>
        <v>66.998999999999995</v>
      </c>
      <c r="H32" s="3">
        <v>270</v>
      </c>
      <c r="I32" s="3">
        <v>30</v>
      </c>
      <c r="J32" s="3">
        <v>282</v>
      </c>
      <c r="K32" s="271">
        <f t="shared" si="5"/>
        <v>582</v>
      </c>
      <c r="L32" s="3"/>
      <c r="M32" s="3"/>
      <c r="N32" s="157"/>
      <c r="O32" s="3"/>
    </row>
    <row r="33" spans="1:15">
      <c r="A33" s="523">
        <f>ELEC!C30</f>
        <v>43827</v>
      </c>
      <c r="B33" s="37">
        <v>17</v>
      </c>
      <c r="C33" s="37">
        <v>13</v>
      </c>
      <c r="D33" s="26">
        <f t="shared" si="3"/>
        <v>15</v>
      </c>
      <c r="E33" s="360">
        <v>0.55000000000000004</v>
      </c>
      <c r="F33" s="360">
        <v>0.2913</v>
      </c>
      <c r="G33" s="247">
        <f t="shared" si="4"/>
        <v>66.998999999999995</v>
      </c>
      <c r="H33" s="3">
        <v>240</v>
      </c>
      <c r="I33" s="3"/>
      <c r="J33" s="3">
        <v>766</v>
      </c>
      <c r="K33" s="271">
        <f t="shared" si="5"/>
        <v>1006</v>
      </c>
      <c r="L33" s="3"/>
      <c r="M33" s="3"/>
      <c r="N33" s="157"/>
      <c r="O33" s="3"/>
    </row>
    <row r="34" spans="1:15">
      <c r="A34" s="523">
        <f>ELEC!C31</f>
        <v>43828</v>
      </c>
      <c r="B34" s="37">
        <v>16</v>
      </c>
      <c r="C34" s="37">
        <v>13</v>
      </c>
      <c r="D34" s="26">
        <f t="shared" si="3"/>
        <v>14.5</v>
      </c>
      <c r="E34" s="360">
        <v>0.55000000000000004</v>
      </c>
      <c r="F34" s="360">
        <v>0.34499999999999997</v>
      </c>
      <c r="G34" s="247">
        <f t="shared" si="4"/>
        <v>79.349999999999994</v>
      </c>
      <c r="H34" s="3"/>
      <c r="I34" s="3"/>
      <c r="J34" s="3">
        <v>746</v>
      </c>
      <c r="K34" s="271">
        <f t="shared" si="5"/>
        <v>746</v>
      </c>
      <c r="L34" s="3"/>
      <c r="M34" s="3"/>
      <c r="N34" s="157"/>
      <c r="O34" s="3"/>
    </row>
    <row r="35" spans="1:15">
      <c r="A35" s="523">
        <f>ELEC!C32</f>
        <v>43829</v>
      </c>
      <c r="B35" s="37">
        <v>16</v>
      </c>
      <c r="C35" s="37">
        <v>12</v>
      </c>
      <c r="D35" s="26">
        <f t="shared" si="3"/>
        <v>14</v>
      </c>
      <c r="E35" s="377">
        <v>0.85</v>
      </c>
      <c r="F35" s="377">
        <v>0.34499999999999997</v>
      </c>
      <c r="G35" s="247">
        <f t="shared" si="4"/>
        <v>79.349999999999994</v>
      </c>
      <c r="H35" s="3"/>
      <c r="I35" s="3"/>
      <c r="J35" s="3">
        <v>746</v>
      </c>
      <c r="K35" s="271">
        <f t="shared" si="5"/>
        <v>746</v>
      </c>
      <c r="L35" s="3"/>
      <c r="M35" s="3"/>
      <c r="N35" s="157"/>
      <c r="O35" s="3"/>
    </row>
    <row r="36" spans="1:15">
      <c r="A36" s="523">
        <f>ELEC!C33</f>
        <v>43830</v>
      </c>
      <c r="B36" s="37">
        <v>16</v>
      </c>
      <c r="C36" s="37">
        <v>11</v>
      </c>
      <c r="D36" s="26">
        <f>(C36+B36)/2</f>
        <v>13.5</v>
      </c>
      <c r="E36" s="419">
        <v>0.67</v>
      </c>
      <c r="F36" s="419">
        <v>0.5</v>
      </c>
      <c r="G36" s="247">
        <f>F36*230</f>
        <v>115</v>
      </c>
      <c r="H36" s="3"/>
      <c r="I36" s="3"/>
      <c r="J36" s="3">
        <v>439</v>
      </c>
      <c r="K36" s="271">
        <f>+J36+H36+I36</f>
        <v>439</v>
      </c>
      <c r="L36" s="3"/>
      <c r="M36" s="3"/>
      <c r="N36" s="157"/>
      <c r="O36" s="3"/>
    </row>
    <row r="37" spans="1:15">
      <c r="D37" s="269"/>
      <c r="F37" s="216">
        <f>AVERAGE(F6:F36)</f>
        <v>0.21316774193548382</v>
      </c>
      <c r="G37" s="208">
        <f>SUM(G6:G35)</f>
        <v>1404.8859999999997</v>
      </c>
    </row>
    <row r="38" spans="1:15">
      <c r="D38" s="269">
        <f>SUM(D6:D36)/'EDl log'!A36</f>
        <v>16.241935483870968</v>
      </c>
      <c r="F38" s="216"/>
    </row>
    <row r="41" spans="1:15">
      <c r="I41" s="437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I40"/>
  <sheetViews>
    <sheetView topLeftCell="A16" zoomScale="90" zoomScaleNormal="90" workbookViewId="0">
      <pane xSplit="1" topLeftCell="AN1" activePane="topRight" state="frozen"/>
      <selection pane="topRight" activeCell="AU36" sqref="AU36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71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50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7" customWidth="1"/>
    <col min="47" max="47" width="9" bestFit="1" customWidth="1"/>
    <col min="48" max="48" width="9.28515625" style="32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9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49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9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49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10" t="s">
        <v>108</v>
      </c>
      <c r="AS3" s="610" t="s">
        <v>234</v>
      </c>
      <c r="AT3" s="608" t="s">
        <v>302</v>
      </c>
      <c r="AU3" s="609"/>
      <c r="AV3" s="32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11"/>
      <c r="AS4" s="611"/>
      <c r="AT4" s="3" t="s">
        <v>71</v>
      </c>
      <c r="AU4" s="3" t="s">
        <v>222</v>
      </c>
      <c r="AV4" s="322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82">
        <v>43769</v>
      </c>
      <c r="B5" s="208">
        <v>213</v>
      </c>
      <c r="C5" s="208">
        <v>4582.9354838709678</v>
      </c>
      <c r="D5" s="208">
        <v>213</v>
      </c>
      <c r="E5" s="208">
        <v>4582.9354838709678</v>
      </c>
      <c r="F5" s="208">
        <v>213</v>
      </c>
      <c r="G5" s="208">
        <v>4582.9354838709678</v>
      </c>
      <c r="H5" s="208">
        <v>213</v>
      </c>
      <c r="I5" s="208">
        <v>4582.9354838709678</v>
      </c>
      <c r="J5" s="208">
        <v>213</v>
      </c>
      <c r="K5" s="208">
        <v>4582.9354838709678</v>
      </c>
      <c r="L5" s="208">
        <v>213</v>
      </c>
      <c r="M5" s="208">
        <v>4582.9354838709678</v>
      </c>
      <c r="N5" s="208">
        <v>213</v>
      </c>
      <c r="O5" s="208">
        <v>4582.9354838709678</v>
      </c>
      <c r="P5" s="208">
        <v>213</v>
      </c>
      <c r="Q5" s="208">
        <v>4582.9354838709678</v>
      </c>
      <c r="R5" s="208">
        <v>213</v>
      </c>
      <c r="S5" s="208">
        <v>4582.9354838709678</v>
      </c>
      <c r="T5" s="208">
        <v>213</v>
      </c>
      <c r="U5" s="208">
        <v>4582.9354838709678</v>
      </c>
      <c r="V5" s="208">
        <v>213</v>
      </c>
      <c r="W5" s="208">
        <v>4582.9354838709678</v>
      </c>
      <c r="X5" s="208">
        <v>0.68709677419354853</v>
      </c>
      <c r="Y5" s="208">
        <v>50412.290322580659</v>
      </c>
      <c r="Z5" s="208">
        <v>219</v>
      </c>
      <c r="AA5" s="208">
        <v>2190</v>
      </c>
      <c r="AB5" s="208">
        <v>219</v>
      </c>
      <c r="AC5" s="208">
        <v>2190</v>
      </c>
      <c r="AD5" s="208">
        <v>219</v>
      </c>
      <c r="AE5" s="208">
        <v>2190</v>
      </c>
      <c r="AF5" s="208">
        <v>219</v>
      </c>
      <c r="AG5" s="208">
        <v>2190</v>
      </c>
      <c r="AH5" s="208">
        <v>219</v>
      </c>
      <c r="AI5" s="208">
        <v>2190</v>
      </c>
      <c r="AJ5" s="208">
        <v>219</v>
      </c>
      <c r="AK5" s="208">
        <v>2190</v>
      </c>
      <c r="AL5" s="208">
        <v>219</v>
      </c>
      <c r="AM5" s="208">
        <v>2190</v>
      </c>
      <c r="AN5" s="208">
        <v>0.78214285714285714</v>
      </c>
      <c r="AO5" s="208">
        <v>15330</v>
      </c>
      <c r="AP5" s="208">
        <v>0</v>
      </c>
      <c r="AQ5" s="550">
        <v>0.70713445544348352</v>
      </c>
      <c r="AR5" s="208">
        <v>65742.290322580666</v>
      </c>
      <c r="AS5" s="208">
        <v>-616.87096774191741</v>
      </c>
      <c r="AT5" s="208">
        <v>4297</v>
      </c>
      <c r="AU5" s="208">
        <v>0.53369999999999995</v>
      </c>
      <c r="AV5" s="208">
        <v>0.53369999999999995</v>
      </c>
      <c r="AW5" s="208">
        <v>-436.40000000002328</v>
      </c>
      <c r="AX5" s="208">
        <v>-180.47096774189413</v>
      </c>
      <c r="AY5" s="208">
        <v>-616.87096774191741</v>
      </c>
      <c r="AZ5" s="555">
        <v>0.1391</v>
      </c>
      <c r="BA5" s="208">
        <v>22.5</v>
      </c>
      <c r="BB5" s="555">
        <v>0.6</v>
      </c>
      <c r="BC5" s="480">
        <v>0</v>
      </c>
      <c r="BD5" s="480">
        <v>19222</v>
      </c>
      <c r="BE5" s="480" t="e">
        <v>#REF!</v>
      </c>
      <c r="BF5" s="480">
        <v>0</v>
      </c>
      <c r="BG5" s="480" t="e">
        <v>#REF!</v>
      </c>
      <c r="BH5" s="480">
        <v>0</v>
      </c>
      <c r="BI5" s="208"/>
    </row>
    <row r="6" spans="1:61">
      <c r="A6" s="482">
        <f>ELEC!C3</f>
        <v>43800</v>
      </c>
      <c r="B6">
        <f>'B5'!B5</f>
        <v>214</v>
      </c>
      <c r="C6" s="208">
        <f>B6*$B$4</f>
        <v>4604.4516129032254</v>
      </c>
      <c r="D6">
        <f>SUM(B6)</f>
        <v>214</v>
      </c>
      <c r="E6" s="208">
        <f>D6*$B$4</f>
        <v>4604.4516129032254</v>
      </c>
      <c r="F6">
        <f>SUM(D6)</f>
        <v>214</v>
      </c>
      <c r="G6" s="208">
        <f t="shared" ref="G6:G35" si="1">F6*$B$4</f>
        <v>4604.4516129032254</v>
      </c>
      <c r="H6" s="208">
        <f>SUM(F6)</f>
        <v>214</v>
      </c>
      <c r="I6" s="208">
        <f t="shared" ref="I6:I35" si="2">H6*$B$4</f>
        <v>4604.4516129032254</v>
      </c>
      <c r="J6" s="208">
        <f>SUM(H6)</f>
        <v>214</v>
      </c>
      <c r="K6" s="208">
        <f t="shared" ref="K6:K35" si="3">J6*$B$4</f>
        <v>4604.4516129032254</v>
      </c>
      <c r="L6" s="208">
        <f>SUM(J6)</f>
        <v>214</v>
      </c>
      <c r="M6" s="208">
        <f t="shared" ref="M6:M35" si="4">L6*$B$4</f>
        <v>4604.4516129032254</v>
      </c>
      <c r="N6" s="208">
        <f>SUM(L6)</f>
        <v>214</v>
      </c>
      <c r="O6" s="208">
        <f t="shared" ref="O6:O35" si="5">N6*$B$4</f>
        <v>4604.4516129032254</v>
      </c>
      <c r="P6" s="208">
        <f>SUM(N6)</f>
        <v>214</v>
      </c>
      <c r="Q6" s="208">
        <f t="shared" ref="Q6:Q35" si="6">P6*$B$4</f>
        <v>4604.4516129032254</v>
      </c>
      <c r="R6" s="208">
        <f>SUM(P6)</f>
        <v>214</v>
      </c>
      <c r="S6" s="208">
        <f t="shared" ref="S6:S35" si="7">R6*$B$4</f>
        <v>4604.4516129032254</v>
      </c>
      <c r="T6" s="208">
        <f>SUM(R6)</f>
        <v>214</v>
      </c>
      <c r="U6" s="208">
        <f t="shared" ref="U6:U35" si="8">T6*$B$4</f>
        <v>4604.4516129032254</v>
      </c>
      <c r="V6" s="208">
        <f>SUM(T6)</f>
        <v>214</v>
      </c>
      <c r="W6" s="208">
        <f t="shared" ref="W6:W35" si="9">V6*$B$4</f>
        <v>4604.4516129032254</v>
      </c>
      <c r="X6" s="35">
        <f t="shared" ref="X6:X29" si="10">SUM(Y6/73370)</f>
        <v>0.69032258064516139</v>
      </c>
      <c r="Y6" s="36">
        <f>SUM(C6+E6+G6+I6+K6+M6+O6+Q6+S6+U6+W6)</f>
        <v>50648.967741935492</v>
      </c>
      <c r="Z6" s="208">
        <f>'B5'!C5</f>
        <v>219</v>
      </c>
      <c r="AA6" s="208">
        <f>SUM(Z6*$Z$4)</f>
        <v>2190</v>
      </c>
      <c r="AB6" s="208">
        <f>SUM(Z6)</f>
        <v>219</v>
      </c>
      <c r="AC6" s="208">
        <f>SUM(AB6*$Z$4)</f>
        <v>2190</v>
      </c>
      <c r="AD6" s="208">
        <f>SUM(AB6)</f>
        <v>219</v>
      </c>
      <c r="AE6" s="208">
        <f t="shared" ref="AE6:AE35" si="11">SUM(AD6*$Z$4)</f>
        <v>2190</v>
      </c>
      <c r="AF6" s="208">
        <f>SUM(AD6)</f>
        <v>219</v>
      </c>
      <c r="AG6" s="208">
        <f t="shared" ref="AG6:AG35" si="12">SUM(AF6*$Z$4)</f>
        <v>2190</v>
      </c>
      <c r="AH6" s="208">
        <f>SUM(AF6)</f>
        <v>219</v>
      </c>
      <c r="AI6" s="208">
        <f t="shared" ref="AI6:AI35" si="13">SUM(AH6*$Z$4)</f>
        <v>2190</v>
      </c>
      <c r="AJ6" s="208">
        <f>SUM(AH6)</f>
        <v>219</v>
      </c>
      <c r="AK6" s="208">
        <f t="shared" ref="AK6:AK35" si="14">SUM(AJ6*$Z$4)</f>
        <v>2190</v>
      </c>
      <c r="AL6" s="208">
        <f>SUM(AJ6)</f>
        <v>219</v>
      </c>
      <c r="AM6" s="208">
        <f t="shared" ref="AM6:AM35" si="15">SUM(AL6*$Z$4)</f>
        <v>2190</v>
      </c>
      <c r="AN6" s="35">
        <f t="shared" ref="AN6:AN29" si="16">SUM(AO6/19600)</f>
        <v>0.78214285714285714</v>
      </c>
      <c r="AO6" s="36">
        <f t="shared" ref="AO6:AO29" si="17">SUM(AA6+AC6+AE6+AG6+AI6+AK6+AM6)</f>
        <v>15330</v>
      </c>
      <c r="AQ6" s="228">
        <f>SUM(AR6/92970)</f>
        <v>0.70968019513752267</v>
      </c>
      <c r="AR6" s="38">
        <f>SUM(AO6+Y6)</f>
        <v>65978.967741935485</v>
      </c>
      <c r="AS6" s="202">
        <f>SUM(AR6-AR5-AT6)</f>
        <v>236.67741935481899</v>
      </c>
      <c r="AT6" s="378"/>
      <c r="AU6" s="473"/>
      <c r="AV6" s="323">
        <f>IF(AT6&gt;0,AU6,AV5)</f>
        <v>0.53369999999999995</v>
      </c>
      <c r="AW6" s="303">
        <f>-SUM('B5'!AI5)</f>
        <v>-229</v>
      </c>
      <c r="AX6" s="303">
        <f>-SUM(AW6-AS6)</f>
        <v>465.67741935481899</v>
      </c>
      <c r="AY6" s="37">
        <f>SUM(AX6+AW6)</f>
        <v>236.67741935481899</v>
      </c>
      <c r="AZ6" s="101">
        <f>ELEC!A3</f>
        <v>0.1565</v>
      </c>
      <c r="BA6" s="119">
        <f>'General information '!D6</f>
        <v>17.5</v>
      </c>
      <c r="BB6" s="293">
        <f>SUM('General information '!E6)</f>
        <v>0.45</v>
      </c>
      <c r="BC6" s="3">
        <f>IF(AR3&gt;=AR6,0,1)</f>
        <v>0</v>
      </c>
      <c r="BD6" s="103">
        <v>19222</v>
      </c>
      <c r="BE6" s="14">
        <f>(305/1185)*ELEC!Q4</f>
        <v>558.00843881847925</v>
      </c>
      <c r="BF6" s="14"/>
      <c r="BG6" s="14" t="e">
        <f>#REF!-BE6</f>
        <v>#REF!</v>
      </c>
      <c r="BH6" s="11">
        <v>21</v>
      </c>
    </row>
    <row r="7" spans="1:61">
      <c r="A7" s="482">
        <f>ELEC!C4</f>
        <v>43801</v>
      </c>
      <c r="B7">
        <f>'B5'!B6</f>
        <v>210</v>
      </c>
      <c r="C7" s="208">
        <f t="shared" ref="C7:E35" si="18">B7*$B$4</f>
        <v>4518.3870967741932</v>
      </c>
      <c r="D7">
        <f t="shared" ref="D7:D29" si="19">SUM(B7)</f>
        <v>210</v>
      </c>
      <c r="E7" s="208">
        <f t="shared" si="18"/>
        <v>4518.3870967741932</v>
      </c>
      <c r="F7">
        <f t="shared" ref="F7:F29" si="20">SUM(D7)</f>
        <v>210</v>
      </c>
      <c r="G7" s="208">
        <f t="shared" si="1"/>
        <v>4518.3870967741932</v>
      </c>
      <c r="H7" s="208">
        <f t="shared" ref="H7:H29" si="21">SUM(F7)</f>
        <v>210</v>
      </c>
      <c r="I7" s="208">
        <f t="shared" si="2"/>
        <v>4518.3870967741932</v>
      </c>
      <c r="J7" s="208">
        <f t="shared" ref="J7:J29" si="22">SUM(H7)</f>
        <v>210</v>
      </c>
      <c r="K7" s="208">
        <f t="shared" si="3"/>
        <v>4518.3870967741932</v>
      </c>
      <c r="L7" s="208">
        <f t="shared" ref="L7:L29" si="23">SUM(J7)</f>
        <v>210</v>
      </c>
      <c r="M7" s="208">
        <f t="shared" si="4"/>
        <v>4518.3870967741932</v>
      </c>
      <c r="N7" s="208">
        <f t="shared" ref="N7:N29" si="24">SUM(L7)</f>
        <v>210</v>
      </c>
      <c r="O7" s="208">
        <f t="shared" si="5"/>
        <v>4518.3870967741932</v>
      </c>
      <c r="P7" s="208">
        <f t="shared" ref="P7:P29" si="25">SUM(N7)</f>
        <v>210</v>
      </c>
      <c r="Q7" s="208">
        <f t="shared" si="6"/>
        <v>4518.3870967741932</v>
      </c>
      <c r="R7" s="208">
        <f t="shared" ref="R7:R29" si="26">SUM(P7)</f>
        <v>210</v>
      </c>
      <c r="S7" s="208">
        <f t="shared" si="7"/>
        <v>4518.3870967741932</v>
      </c>
      <c r="T7" s="208">
        <f t="shared" ref="T7:T29" si="27">SUM(R7)</f>
        <v>210</v>
      </c>
      <c r="U7" s="208">
        <f t="shared" si="8"/>
        <v>4518.3870967741932</v>
      </c>
      <c r="V7" s="208">
        <f t="shared" ref="V7:V29" si="28">SUM(T7)</f>
        <v>210</v>
      </c>
      <c r="W7" s="208">
        <f t="shared" si="9"/>
        <v>4518.3870967741932</v>
      </c>
      <c r="X7" s="35">
        <f t="shared" si="10"/>
        <v>0.67741935483870974</v>
      </c>
      <c r="Y7" s="36">
        <f t="shared" ref="Y7:Y29" si="29">SUM(C7+E7+G7+I7+K7+M7+O7+Q7+S7+U7+W7)</f>
        <v>49702.258064516136</v>
      </c>
      <c r="Z7" s="208">
        <f>'B5'!C6</f>
        <v>216</v>
      </c>
      <c r="AA7" s="208">
        <f t="shared" ref="AA7:AC35" si="30">SUM(Z7*$Z$4)</f>
        <v>2160</v>
      </c>
      <c r="AB7" s="208">
        <f t="shared" ref="AB7:AB29" si="31">SUM(Z7)</f>
        <v>216</v>
      </c>
      <c r="AC7" s="208">
        <f t="shared" si="30"/>
        <v>2160</v>
      </c>
      <c r="AD7" s="208">
        <f t="shared" ref="AD7:AD29" si="32">SUM(AB7)</f>
        <v>216</v>
      </c>
      <c r="AE7" s="208">
        <f t="shared" si="11"/>
        <v>2160</v>
      </c>
      <c r="AF7" s="208">
        <f t="shared" ref="AF7:AF29" si="33">SUM(AD7)</f>
        <v>216</v>
      </c>
      <c r="AG7" s="208">
        <f t="shared" si="12"/>
        <v>2160</v>
      </c>
      <c r="AH7" s="208">
        <f t="shared" ref="AH7:AH29" si="34">SUM(AF7)</f>
        <v>216</v>
      </c>
      <c r="AI7" s="208">
        <f t="shared" si="13"/>
        <v>2160</v>
      </c>
      <c r="AJ7" s="208">
        <f t="shared" ref="AJ7:AJ29" si="35">SUM(AH7)</f>
        <v>216</v>
      </c>
      <c r="AK7" s="208">
        <f t="shared" si="14"/>
        <v>2160</v>
      </c>
      <c r="AL7" s="208">
        <f t="shared" ref="AL7:AL29" si="36">SUM(AJ7)</f>
        <v>216</v>
      </c>
      <c r="AM7" s="208">
        <f t="shared" si="15"/>
        <v>2160</v>
      </c>
      <c r="AN7" s="35">
        <f t="shared" si="16"/>
        <v>0.77142857142857146</v>
      </c>
      <c r="AO7" s="36">
        <f t="shared" si="17"/>
        <v>15120</v>
      </c>
      <c r="AQ7" s="228">
        <f t="shared" ref="AQ7:AQ33" si="37">SUM(AR7/92970)</f>
        <v>0.69723844320228179</v>
      </c>
      <c r="AR7" s="38">
        <f>SUM(AO7+Y7)</f>
        <v>64822.258064516136</v>
      </c>
      <c r="AS7" s="202">
        <f t="shared" ref="AS7:AS35" si="38">SUM(AR7-AR6-AT7)</f>
        <v>-1156.7096774193487</v>
      </c>
      <c r="AT7" s="279"/>
      <c r="AU7" s="540"/>
      <c r="AV7" s="323">
        <f>IF(AT7&gt;0,AU7,AV6)</f>
        <v>0.53369999999999995</v>
      </c>
      <c r="AW7" s="303">
        <f>-SUM('B5'!AI6)</f>
        <v>-329</v>
      </c>
      <c r="AX7" s="303">
        <f t="shared" ref="AX7:AX35" si="39">-SUM(AW7-AS7)</f>
        <v>-827.70967741934874</v>
      </c>
      <c r="AY7" s="37">
        <f t="shared" ref="AY7:AY35" si="40">SUM(AX7+AW7)</f>
        <v>-1156.7096774193487</v>
      </c>
      <c r="AZ7" s="101">
        <f>ELEC!A4</f>
        <v>0.13039999999999999</v>
      </c>
      <c r="BA7" s="119">
        <f>'General information '!D7</f>
        <v>18.5</v>
      </c>
      <c r="BB7" s="209">
        <f>SUM('General information '!E7)</f>
        <v>0.4</v>
      </c>
      <c r="BC7" s="3">
        <v>0</v>
      </c>
      <c r="BD7" s="103">
        <v>19222</v>
      </c>
      <c r="BE7" s="14">
        <f>(305/1185)*ELEC!Q5</f>
        <v>514.76793248945148</v>
      </c>
      <c r="BF7" s="14"/>
      <c r="BG7" s="14" t="e">
        <f>#REF!-BE7</f>
        <v>#REF!</v>
      </c>
      <c r="BH7" s="11">
        <v>19</v>
      </c>
    </row>
    <row r="8" spans="1:61">
      <c r="A8" s="482">
        <f>ELEC!C5</f>
        <v>43802</v>
      </c>
      <c r="B8">
        <f>'B5'!B7</f>
        <v>205</v>
      </c>
      <c r="C8" s="208">
        <f t="shared" si="18"/>
        <v>4410.8064516129034</v>
      </c>
      <c r="D8">
        <f t="shared" si="19"/>
        <v>205</v>
      </c>
      <c r="E8" s="208">
        <f t="shared" si="18"/>
        <v>4410.8064516129034</v>
      </c>
      <c r="F8">
        <f t="shared" si="20"/>
        <v>205</v>
      </c>
      <c r="G8" s="208">
        <f t="shared" si="1"/>
        <v>4410.8064516129034</v>
      </c>
      <c r="H8" s="208">
        <f t="shared" si="21"/>
        <v>205</v>
      </c>
      <c r="I8" s="208">
        <f t="shared" si="2"/>
        <v>4410.8064516129034</v>
      </c>
      <c r="J8" s="208">
        <f t="shared" si="22"/>
        <v>205</v>
      </c>
      <c r="K8" s="208">
        <f t="shared" si="3"/>
        <v>4410.8064516129034</v>
      </c>
      <c r="L8" s="208">
        <f t="shared" si="23"/>
        <v>205</v>
      </c>
      <c r="M8" s="208">
        <f t="shared" si="4"/>
        <v>4410.8064516129034</v>
      </c>
      <c r="N8" s="208">
        <f t="shared" si="24"/>
        <v>205</v>
      </c>
      <c r="O8" s="208">
        <f t="shared" si="5"/>
        <v>4410.8064516129034</v>
      </c>
      <c r="P8" s="208">
        <f t="shared" si="25"/>
        <v>205</v>
      </c>
      <c r="Q8" s="208">
        <f t="shared" si="6"/>
        <v>4410.8064516129034</v>
      </c>
      <c r="R8" s="208">
        <f t="shared" si="26"/>
        <v>205</v>
      </c>
      <c r="S8" s="208">
        <f t="shared" si="7"/>
        <v>4410.8064516129034</v>
      </c>
      <c r="T8" s="208">
        <f t="shared" si="27"/>
        <v>205</v>
      </c>
      <c r="U8" s="208">
        <f t="shared" si="8"/>
        <v>4410.8064516129034</v>
      </c>
      <c r="V8" s="208">
        <f t="shared" si="28"/>
        <v>205</v>
      </c>
      <c r="W8" s="208">
        <f t="shared" si="9"/>
        <v>4410.8064516129034</v>
      </c>
      <c r="X8" s="35">
        <f t="shared" si="10"/>
        <v>0.66129032258064502</v>
      </c>
      <c r="Y8" s="36">
        <f t="shared" si="29"/>
        <v>48518.870967741925</v>
      </c>
      <c r="Z8" s="208">
        <f>'B5'!C7</f>
        <v>210</v>
      </c>
      <c r="AA8" s="208">
        <f t="shared" si="30"/>
        <v>2100</v>
      </c>
      <c r="AB8" s="208">
        <f t="shared" si="31"/>
        <v>210</v>
      </c>
      <c r="AC8" s="208">
        <f t="shared" si="30"/>
        <v>2100</v>
      </c>
      <c r="AD8" s="208">
        <f t="shared" si="32"/>
        <v>210</v>
      </c>
      <c r="AE8" s="208">
        <f t="shared" si="11"/>
        <v>2100</v>
      </c>
      <c r="AF8" s="208">
        <f t="shared" si="33"/>
        <v>210</v>
      </c>
      <c r="AG8" s="208">
        <f t="shared" si="12"/>
        <v>2100</v>
      </c>
      <c r="AH8" s="208">
        <f t="shared" si="34"/>
        <v>210</v>
      </c>
      <c r="AI8" s="208">
        <f t="shared" si="13"/>
        <v>2100</v>
      </c>
      <c r="AJ8" s="208">
        <f t="shared" si="35"/>
        <v>210</v>
      </c>
      <c r="AK8" s="208">
        <f t="shared" si="14"/>
        <v>2100</v>
      </c>
      <c r="AL8" s="208">
        <f t="shared" si="36"/>
        <v>210</v>
      </c>
      <c r="AM8" s="208">
        <f t="shared" si="15"/>
        <v>2100</v>
      </c>
      <c r="AN8" s="35">
        <f t="shared" si="16"/>
        <v>0.75</v>
      </c>
      <c r="AO8" s="36">
        <f t="shared" si="17"/>
        <v>14700</v>
      </c>
      <c r="AQ8" s="228">
        <f t="shared" si="37"/>
        <v>0.67999215841391769</v>
      </c>
      <c r="AR8" s="38">
        <f>SUM(AO8+Y8)</f>
        <v>63218.870967741925</v>
      </c>
      <c r="AS8" s="202">
        <f t="shared" si="38"/>
        <v>-1603.3870967742114</v>
      </c>
      <c r="AT8" s="378"/>
      <c r="AU8" s="473"/>
      <c r="AV8" s="323">
        <f t="shared" ref="AV8:AV34" si="41">IF(AT8&gt;0,AU8,AV7)</f>
        <v>0.53369999999999995</v>
      </c>
      <c r="AW8" s="303">
        <f>-SUM('B5'!AI7)</f>
        <v>-624.70000000001164</v>
      </c>
      <c r="AX8" s="303">
        <f t="shared" si="39"/>
        <v>-978.68709677419974</v>
      </c>
      <c r="AY8" s="37">
        <f t="shared" si="40"/>
        <v>-1603.3870967742114</v>
      </c>
      <c r="AZ8" s="101">
        <f>ELEC!A5</f>
        <v>0.1522</v>
      </c>
      <c r="BA8" s="119">
        <f>'General information '!D8</f>
        <v>19</v>
      </c>
      <c r="BB8" s="209">
        <f>SUM('General information '!E8)</f>
        <v>0.43</v>
      </c>
      <c r="BC8" s="3">
        <f t="shared" ref="BC8:BC33" si="42">IF(AR7&gt;=AR8,0,1)</f>
        <v>0</v>
      </c>
      <c r="BD8" s="103">
        <v>19222</v>
      </c>
      <c r="BE8" s="14">
        <f>(305/1185)*ELEC!Q6</f>
        <v>661.99156118146459</v>
      </c>
      <c r="BF8" s="14"/>
      <c r="BG8" s="14" t="e">
        <f>#REF!-BE8</f>
        <v>#REF!</v>
      </c>
      <c r="BH8" s="11">
        <v>16</v>
      </c>
    </row>
    <row r="9" spans="1:61">
      <c r="A9" s="482">
        <f>ELEC!C6</f>
        <v>43803</v>
      </c>
      <c r="B9">
        <f>'B5'!B8</f>
        <v>201</v>
      </c>
      <c r="C9" s="208">
        <f t="shared" si="18"/>
        <v>4324.7419354838712</v>
      </c>
      <c r="D9">
        <f t="shared" si="19"/>
        <v>201</v>
      </c>
      <c r="E9" s="208">
        <f t="shared" si="18"/>
        <v>4324.7419354838712</v>
      </c>
      <c r="F9">
        <f t="shared" si="20"/>
        <v>201</v>
      </c>
      <c r="G9" s="208">
        <f t="shared" si="1"/>
        <v>4324.7419354838712</v>
      </c>
      <c r="H9" s="208">
        <f t="shared" si="21"/>
        <v>201</v>
      </c>
      <c r="I9" s="208">
        <f t="shared" si="2"/>
        <v>4324.7419354838712</v>
      </c>
      <c r="J9" s="208">
        <f t="shared" si="22"/>
        <v>201</v>
      </c>
      <c r="K9" s="208">
        <f t="shared" si="3"/>
        <v>4324.7419354838712</v>
      </c>
      <c r="L9" s="208">
        <f t="shared" si="23"/>
        <v>201</v>
      </c>
      <c r="M9" s="208">
        <f t="shared" si="4"/>
        <v>4324.7419354838712</v>
      </c>
      <c r="N9" s="208">
        <f t="shared" si="24"/>
        <v>201</v>
      </c>
      <c r="O9" s="208">
        <f t="shared" si="5"/>
        <v>4324.7419354838712</v>
      </c>
      <c r="P9" s="208">
        <f t="shared" si="25"/>
        <v>201</v>
      </c>
      <c r="Q9" s="208">
        <f t="shared" si="6"/>
        <v>4324.7419354838712</v>
      </c>
      <c r="R9" s="208">
        <f t="shared" si="26"/>
        <v>201</v>
      </c>
      <c r="S9" s="208">
        <f t="shared" si="7"/>
        <v>4324.7419354838712</v>
      </c>
      <c r="T9" s="208">
        <f t="shared" si="27"/>
        <v>201</v>
      </c>
      <c r="U9" s="208">
        <f t="shared" si="8"/>
        <v>4324.7419354838712</v>
      </c>
      <c r="V9" s="208">
        <f t="shared" si="28"/>
        <v>201</v>
      </c>
      <c r="W9" s="208">
        <f t="shared" si="9"/>
        <v>4324.7419354838712</v>
      </c>
      <c r="X9" s="35">
        <f t="shared" si="10"/>
        <v>0.64838709677419359</v>
      </c>
      <c r="Y9" s="36">
        <f t="shared" si="29"/>
        <v>47572.161290322583</v>
      </c>
      <c r="Z9" s="208">
        <f>'B5'!C8</f>
        <v>207</v>
      </c>
      <c r="AA9" s="208">
        <f t="shared" si="30"/>
        <v>2070</v>
      </c>
      <c r="AB9" s="208">
        <f t="shared" si="31"/>
        <v>207</v>
      </c>
      <c r="AC9" s="208">
        <f t="shared" si="30"/>
        <v>2070</v>
      </c>
      <c r="AD9" s="208">
        <f t="shared" si="32"/>
        <v>207</v>
      </c>
      <c r="AE9" s="208">
        <f t="shared" si="11"/>
        <v>2070</v>
      </c>
      <c r="AF9" s="208">
        <f t="shared" si="33"/>
        <v>207</v>
      </c>
      <c r="AG9" s="208">
        <f t="shared" si="12"/>
        <v>2070</v>
      </c>
      <c r="AH9" s="208">
        <f t="shared" si="34"/>
        <v>207</v>
      </c>
      <c r="AI9" s="208">
        <f t="shared" si="13"/>
        <v>2070</v>
      </c>
      <c r="AJ9" s="208">
        <f t="shared" si="35"/>
        <v>207</v>
      </c>
      <c r="AK9" s="208">
        <f t="shared" si="14"/>
        <v>2070</v>
      </c>
      <c r="AL9" s="208">
        <f t="shared" si="36"/>
        <v>207</v>
      </c>
      <c r="AM9" s="208">
        <f t="shared" si="15"/>
        <v>2070</v>
      </c>
      <c r="AN9" s="35">
        <f t="shared" si="16"/>
        <v>0.73928571428571432</v>
      </c>
      <c r="AO9" s="36">
        <f>SUM(AA9+AC9+AE9+AG9+AI9+AK9+AM9)</f>
        <v>14490</v>
      </c>
      <c r="AQ9" s="228">
        <f t="shared" si="37"/>
        <v>0.66755040647867681</v>
      </c>
      <c r="AR9" s="38">
        <f>SUM(AO9+Y9)</f>
        <v>62062.161290322583</v>
      </c>
      <c r="AS9" s="202">
        <f t="shared" si="38"/>
        <v>-1156.7096774193415</v>
      </c>
      <c r="AT9" s="378"/>
      <c r="AU9" s="473"/>
      <c r="AV9" s="323">
        <f t="shared" si="41"/>
        <v>0.53369999999999995</v>
      </c>
      <c r="AW9" s="303">
        <f>-SUM('B5'!AI8)</f>
        <v>-449.89999999999418</v>
      </c>
      <c r="AX9" s="303">
        <f>-SUM(AW9-AS9)</f>
        <v>-706.80967741934728</v>
      </c>
      <c r="AY9" s="37">
        <f t="shared" si="40"/>
        <v>-1156.7096774193415</v>
      </c>
      <c r="AZ9" s="101">
        <f>ELEC!A6</f>
        <v>0.17829999999999999</v>
      </c>
      <c r="BA9" s="119">
        <f>'General information '!D9</f>
        <v>15.5</v>
      </c>
      <c r="BB9" s="209">
        <f>SUM('General information '!E9)</f>
        <v>0.65</v>
      </c>
      <c r="BC9" s="3">
        <f t="shared" si="42"/>
        <v>0</v>
      </c>
      <c r="BD9" s="103">
        <v>19222</v>
      </c>
      <c r="BE9" s="14">
        <f>(305/1185)*ELEC!Q7</f>
        <v>642.9451476792201</v>
      </c>
      <c r="BF9" s="14"/>
      <c r="BG9" s="14" t="e">
        <f>#REF!-BE9</f>
        <v>#REF!</v>
      </c>
      <c r="BH9" s="11">
        <v>18</v>
      </c>
    </row>
    <row r="10" spans="1:61">
      <c r="A10" s="482">
        <f>ELEC!C7</f>
        <v>43804</v>
      </c>
      <c r="B10">
        <f>'B5'!B9</f>
        <v>196</v>
      </c>
      <c r="C10" s="208">
        <f t="shared" si="18"/>
        <v>4217.1612903225805</v>
      </c>
      <c r="D10">
        <f t="shared" si="19"/>
        <v>196</v>
      </c>
      <c r="E10" s="208">
        <f t="shared" si="18"/>
        <v>4217.1612903225805</v>
      </c>
      <c r="F10">
        <f t="shared" si="20"/>
        <v>196</v>
      </c>
      <c r="G10" s="208">
        <f t="shared" si="1"/>
        <v>4217.1612903225805</v>
      </c>
      <c r="H10" s="208">
        <f t="shared" si="21"/>
        <v>196</v>
      </c>
      <c r="I10" s="208">
        <f t="shared" si="2"/>
        <v>4217.1612903225805</v>
      </c>
      <c r="J10" s="208">
        <f t="shared" si="22"/>
        <v>196</v>
      </c>
      <c r="K10" s="208">
        <f t="shared" si="3"/>
        <v>4217.1612903225805</v>
      </c>
      <c r="L10" s="208">
        <f t="shared" si="23"/>
        <v>196</v>
      </c>
      <c r="M10" s="208">
        <f t="shared" si="4"/>
        <v>4217.1612903225805</v>
      </c>
      <c r="N10" s="208">
        <f t="shared" si="24"/>
        <v>196</v>
      </c>
      <c r="O10" s="208">
        <f t="shared" si="5"/>
        <v>4217.1612903225805</v>
      </c>
      <c r="P10" s="208">
        <f t="shared" si="25"/>
        <v>196</v>
      </c>
      <c r="Q10" s="208">
        <f t="shared" si="6"/>
        <v>4217.1612903225805</v>
      </c>
      <c r="R10" s="208">
        <f t="shared" si="26"/>
        <v>196</v>
      </c>
      <c r="S10" s="208">
        <f t="shared" si="7"/>
        <v>4217.1612903225805</v>
      </c>
      <c r="T10" s="208">
        <f t="shared" si="27"/>
        <v>196</v>
      </c>
      <c r="U10" s="208">
        <f t="shared" si="8"/>
        <v>4217.1612903225805</v>
      </c>
      <c r="V10" s="208">
        <f t="shared" si="28"/>
        <v>196</v>
      </c>
      <c r="W10" s="208">
        <f t="shared" si="9"/>
        <v>4217.1612903225805</v>
      </c>
      <c r="X10" s="35">
        <f t="shared" si="10"/>
        <v>0.63225806451612909</v>
      </c>
      <c r="Y10" s="36">
        <f t="shared" si="29"/>
        <v>46388.774193548394</v>
      </c>
      <c r="Z10" s="208">
        <f>'B5'!C9</f>
        <v>202</v>
      </c>
      <c r="AA10" s="208">
        <f t="shared" si="30"/>
        <v>2020</v>
      </c>
      <c r="AB10" s="208">
        <f t="shared" si="31"/>
        <v>202</v>
      </c>
      <c r="AC10" s="208">
        <f t="shared" si="30"/>
        <v>2020</v>
      </c>
      <c r="AD10" s="208">
        <f t="shared" si="32"/>
        <v>202</v>
      </c>
      <c r="AE10" s="208">
        <f t="shared" si="11"/>
        <v>2020</v>
      </c>
      <c r="AF10" s="208">
        <f t="shared" si="33"/>
        <v>202</v>
      </c>
      <c r="AG10" s="208">
        <f t="shared" si="12"/>
        <v>2020</v>
      </c>
      <c r="AH10" s="208">
        <f t="shared" si="34"/>
        <v>202</v>
      </c>
      <c r="AI10" s="208">
        <f t="shared" si="13"/>
        <v>2020</v>
      </c>
      <c r="AJ10" s="208">
        <f t="shared" si="35"/>
        <v>202</v>
      </c>
      <c r="AK10" s="208">
        <f t="shared" si="14"/>
        <v>2020</v>
      </c>
      <c r="AL10" s="208">
        <f t="shared" si="36"/>
        <v>202</v>
      </c>
      <c r="AM10" s="208">
        <f t="shared" si="15"/>
        <v>2020</v>
      </c>
      <c r="AN10" s="35">
        <f t="shared" si="16"/>
        <v>0.72142857142857142</v>
      </c>
      <c r="AO10" s="36">
        <f t="shared" si="17"/>
        <v>14140</v>
      </c>
      <c r="AQ10" s="228">
        <f t="shared" si="37"/>
        <v>0.6510570527433408</v>
      </c>
      <c r="AR10" s="38">
        <f t="shared" ref="AR10:AR28" si="43">SUM(AO10+Y10)</f>
        <v>60528.774193548394</v>
      </c>
      <c r="AS10" s="202">
        <f>SUM(AR10-AR9-AT10)</f>
        <v>-1533.3870967741896</v>
      </c>
      <c r="AT10" s="378"/>
      <c r="AU10" s="473"/>
      <c r="AV10" s="323">
        <f>IF(AT10&gt;0,AU10,AV9)</f>
        <v>0.53369999999999995</v>
      </c>
      <c r="AW10" s="303">
        <f>-SUM('B5'!AI9)</f>
        <v>-498</v>
      </c>
      <c r="AX10" s="303">
        <f>-SUM(AW10-AS10)</f>
        <v>-1035.3870967741896</v>
      </c>
      <c r="AY10" s="37">
        <f t="shared" si="40"/>
        <v>-1533.3870967741896</v>
      </c>
      <c r="AZ10" s="101">
        <f>ELEC!A7</f>
        <v>0.21299999999999999</v>
      </c>
      <c r="BA10" s="119">
        <f>'General information '!D10</f>
        <v>14.5</v>
      </c>
      <c r="BB10" s="209">
        <f>SUM('General information '!E10)</f>
        <v>0.65</v>
      </c>
      <c r="BC10" s="3">
        <f t="shared" si="42"/>
        <v>0</v>
      </c>
      <c r="BD10" s="103">
        <v>19222</v>
      </c>
      <c r="BE10" s="14">
        <f>(305/1185)*ELEC!Q8</f>
        <v>786.56540084400922</v>
      </c>
      <c r="BF10" s="14"/>
      <c r="BG10" s="14" t="e">
        <f>#REF!-BE10</f>
        <v>#REF!</v>
      </c>
      <c r="BH10" s="11">
        <v>16</v>
      </c>
    </row>
    <row r="11" spans="1:61">
      <c r="A11" s="482">
        <f>ELEC!C8</f>
        <v>43805</v>
      </c>
      <c r="B11">
        <f>'B5'!B10</f>
        <v>190</v>
      </c>
      <c r="C11" s="208">
        <f t="shared" si="18"/>
        <v>4088.0645161290322</v>
      </c>
      <c r="D11">
        <f>SUM(B11)</f>
        <v>190</v>
      </c>
      <c r="E11" s="208">
        <f t="shared" si="18"/>
        <v>4088.0645161290322</v>
      </c>
      <c r="F11">
        <f>SUM(D11)</f>
        <v>190</v>
      </c>
      <c r="G11" s="208">
        <f t="shared" si="1"/>
        <v>4088.0645161290322</v>
      </c>
      <c r="H11" s="208">
        <f>SUM(F11)</f>
        <v>190</v>
      </c>
      <c r="I11" s="208">
        <f t="shared" si="2"/>
        <v>4088.0645161290322</v>
      </c>
      <c r="J11" s="208">
        <f>SUM(H11)</f>
        <v>190</v>
      </c>
      <c r="K11" s="208">
        <f t="shared" si="3"/>
        <v>4088.0645161290322</v>
      </c>
      <c r="L11" s="208">
        <f>SUM(J11)</f>
        <v>190</v>
      </c>
      <c r="M11" s="208">
        <f t="shared" si="4"/>
        <v>4088.0645161290322</v>
      </c>
      <c r="N11" s="208">
        <f>SUM(L11)</f>
        <v>190</v>
      </c>
      <c r="O11" s="208">
        <f t="shared" si="5"/>
        <v>4088.0645161290322</v>
      </c>
      <c r="P11" s="208">
        <f>SUM(N11)</f>
        <v>190</v>
      </c>
      <c r="Q11" s="208">
        <f t="shared" si="6"/>
        <v>4088.0645161290322</v>
      </c>
      <c r="R11" s="208">
        <f>SUM(P11)</f>
        <v>190</v>
      </c>
      <c r="S11" s="208">
        <f t="shared" si="7"/>
        <v>4088.0645161290322</v>
      </c>
      <c r="T11" s="208">
        <f>SUM(R11)</f>
        <v>190</v>
      </c>
      <c r="U11" s="208">
        <f t="shared" si="8"/>
        <v>4088.0645161290322</v>
      </c>
      <c r="V11" s="208">
        <f>SUM(T11)</f>
        <v>190</v>
      </c>
      <c r="W11" s="208">
        <f t="shared" si="9"/>
        <v>4088.0645161290322</v>
      </c>
      <c r="X11" s="35">
        <f>SUM(Y11/73370)</f>
        <v>0.6129032258064514</v>
      </c>
      <c r="Y11" s="36">
        <f>SUM(C11+E11+G11+I11+K11+M11+O11+Q11+S11+U11+W11)</f>
        <v>44968.709677419341</v>
      </c>
      <c r="Z11" s="208">
        <f>'B5'!C10</f>
        <v>196</v>
      </c>
      <c r="AA11" s="208">
        <f t="shared" si="30"/>
        <v>1960</v>
      </c>
      <c r="AB11" s="208">
        <f>SUM(Z11)</f>
        <v>196</v>
      </c>
      <c r="AC11" s="208">
        <f t="shared" si="30"/>
        <v>1960</v>
      </c>
      <c r="AD11" s="208">
        <f>SUM(AB11)</f>
        <v>196</v>
      </c>
      <c r="AE11" s="208">
        <f t="shared" si="11"/>
        <v>1960</v>
      </c>
      <c r="AF11" s="208">
        <f>SUM(AD11)</f>
        <v>196</v>
      </c>
      <c r="AG11" s="208">
        <f t="shared" si="12"/>
        <v>1960</v>
      </c>
      <c r="AH11" s="208">
        <f>SUM(AF11)</f>
        <v>196</v>
      </c>
      <c r="AI11" s="208">
        <f t="shared" si="13"/>
        <v>1960</v>
      </c>
      <c r="AJ11" s="208">
        <f>SUM(AH11)</f>
        <v>196</v>
      </c>
      <c r="AK11" s="208">
        <f t="shared" si="14"/>
        <v>1960</v>
      </c>
      <c r="AL11" s="208">
        <f>SUM(AJ11)</f>
        <v>196</v>
      </c>
      <c r="AM11" s="208">
        <f t="shared" si="15"/>
        <v>1960</v>
      </c>
      <c r="AN11" s="35">
        <f>SUM(AO11/19600)</f>
        <v>0.7</v>
      </c>
      <c r="AO11" s="36">
        <f t="shared" si="17"/>
        <v>13720</v>
      </c>
      <c r="AQ11" s="228">
        <f t="shared" si="37"/>
        <v>0.63126502826093733</v>
      </c>
      <c r="AR11" s="38">
        <f t="shared" si="43"/>
        <v>58688.709677419341</v>
      </c>
      <c r="AS11" s="202">
        <f>SUM(AR11-AR10-AT11)</f>
        <v>-1840.0645161290522</v>
      </c>
      <c r="AT11" s="378"/>
      <c r="AU11" s="473"/>
      <c r="AV11" s="323">
        <f>IF(AT11&gt;0,AU11,AV10)</f>
        <v>0.53369999999999995</v>
      </c>
      <c r="AW11" s="303">
        <f>-SUM('B5'!AI10)</f>
        <v>-705.80000000000291</v>
      </c>
      <c r="AX11" s="303">
        <f>-SUM(AW11-AS11)</f>
        <v>-1134.2645161290493</v>
      </c>
      <c r="AY11" s="37">
        <f t="shared" si="40"/>
        <v>-1840.0645161290522</v>
      </c>
      <c r="AZ11" s="101">
        <f>ELEC!A8</f>
        <v>0.17799999999999999</v>
      </c>
      <c r="BA11" s="119">
        <f>'General information '!D11</f>
        <v>14.5</v>
      </c>
      <c r="BB11" s="209">
        <f>SUM('General information '!E11)</f>
        <v>0.65</v>
      </c>
      <c r="BC11" s="3">
        <f t="shared" si="42"/>
        <v>0</v>
      </c>
      <c r="BD11" s="103">
        <v>19222</v>
      </c>
      <c r="BE11" s="14">
        <f>(305/1185)*ELEC!Q9</f>
        <v>482.33755274256362</v>
      </c>
      <c r="BF11" s="14"/>
      <c r="BG11" s="14" t="e">
        <f>#REF!-BE11</f>
        <v>#REF!</v>
      </c>
      <c r="BH11" s="11">
        <v>16.5</v>
      </c>
    </row>
    <row r="12" spans="1:61">
      <c r="A12" s="482">
        <f>ELEC!C9</f>
        <v>43806</v>
      </c>
      <c r="B12">
        <f>'B5'!B11</f>
        <v>184</v>
      </c>
      <c r="C12" s="208">
        <f t="shared" si="18"/>
        <v>3958.9677419354839</v>
      </c>
      <c r="D12">
        <f t="shared" si="19"/>
        <v>184</v>
      </c>
      <c r="E12" s="208">
        <f t="shared" si="18"/>
        <v>3958.9677419354839</v>
      </c>
      <c r="F12">
        <f t="shared" si="20"/>
        <v>184</v>
      </c>
      <c r="G12" s="208">
        <f t="shared" si="1"/>
        <v>3958.9677419354839</v>
      </c>
      <c r="H12" s="208">
        <f t="shared" si="21"/>
        <v>184</v>
      </c>
      <c r="I12" s="208">
        <f t="shared" si="2"/>
        <v>3958.9677419354839</v>
      </c>
      <c r="J12" s="208">
        <f t="shared" si="22"/>
        <v>184</v>
      </c>
      <c r="K12" s="208">
        <f t="shared" si="3"/>
        <v>3958.9677419354839</v>
      </c>
      <c r="L12" s="208">
        <f t="shared" si="23"/>
        <v>184</v>
      </c>
      <c r="M12" s="208">
        <f t="shared" si="4"/>
        <v>3958.9677419354839</v>
      </c>
      <c r="N12" s="208">
        <f t="shared" si="24"/>
        <v>184</v>
      </c>
      <c r="O12" s="208">
        <f t="shared" si="5"/>
        <v>3958.9677419354839</v>
      </c>
      <c r="P12" s="208">
        <f t="shared" si="25"/>
        <v>184</v>
      </c>
      <c r="Q12" s="208">
        <f t="shared" si="6"/>
        <v>3958.9677419354839</v>
      </c>
      <c r="R12" s="208">
        <f t="shared" si="26"/>
        <v>184</v>
      </c>
      <c r="S12" s="208">
        <f t="shared" si="7"/>
        <v>3958.9677419354839</v>
      </c>
      <c r="T12" s="208">
        <f t="shared" si="27"/>
        <v>184</v>
      </c>
      <c r="U12" s="208">
        <f t="shared" si="8"/>
        <v>3958.9677419354839</v>
      </c>
      <c r="V12" s="208">
        <f t="shared" si="28"/>
        <v>184</v>
      </c>
      <c r="W12" s="208">
        <f t="shared" si="9"/>
        <v>3958.9677419354839</v>
      </c>
      <c r="X12" s="35">
        <f t="shared" si="10"/>
        <v>0.59354838709677427</v>
      </c>
      <c r="Y12" s="36">
        <f t="shared" si="29"/>
        <v>43548.645161290326</v>
      </c>
      <c r="Z12" s="208">
        <f>'B5'!C11</f>
        <v>190</v>
      </c>
      <c r="AA12" s="208">
        <f t="shared" si="30"/>
        <v>1900</v>
      </c>
      <c r="AB12" s="208">
        <f t="shared" si="31"/>
        <v>190</v>
      </c>
      <c r="AC12" s="208">
        <f t="shared" si="30"/>
        <v>1900</v>
      </c>
      <c r="AD12" s="208">
        <f t="shared" si="32"/>
        <v>190</v>
      </c>
      <c r="AE12" s="208">
        <f t="shared" si="11"/>
        <v>1900</v>
      </c>
      <c r="AF12" s="208">
        <f t="shared" si="33"/>
        <v>190</v>
      </c>
      <c r="AG12" s="208">
        <f t="shared" si="12"/>
        <v>1900</v>
      </c>
      <c r="AH12" s="208">
        <f t="shared" si="34"/>
        <v>190</v>
      </c>
      <c r="AI12" s="208">
        <f t="shared" si="13"/>
        <v>1900</v>
      </c>
      <c r="AJ12" s="208">
        <f t="shared" si="35"/>
        <v>190</v>
      </c>
      <c r="AK12" s="208">
        <f t="shared" si="14"/>
        <v>1900</v>
      </c>
      <c r="AL12" s="208">
        <f t="shared" si="36"/>
        <v>190</v>
      </c>
      <c r="AM12" s="208">
        <f t="shared" si="15"/>
        <v>1900</v>
      </c>
      <c r="AN12" s="35">
        <f t="shared" si="16"/>
        <v>0.6785714285714286</v>
      </c>
      <c r="AO12" s="36">
        <f t="shared" si="17"/>
        <v>13300</v>
      </c>
      <c r="AQ12" s="228">
        <f t="shared" si="37"/>
        <v>0.6114730037785342</v>
      </c>
      <c r="AR12" s="38">
        <f t="shared" si="43"/>
        <v>56848.645161290326</v>
      </c>
      <c r="AS12" s="202">
        <f t="shared" si="38"/>
        <v>-1840.0645161290158</v>
      </c>
      <c r="AT12" s="279"/>
      <c r="AU12" s="518"/>
      <c r="AV12" s="323">
        <f t="shared" si="41"/>
        <v>0.53369999999999995</v>
      </c>
      <c r="AW12" s="303">
        <f>-SUM('B5'!AI11)</f>
        <v>-960.30000000000291</v>
      </c>
      <c r="AX12" s="303">
        <f t="shared" si="39"/>
        <v>-879.76451612901292</v>
      </c>
      <c r="AY12" s="37">
        <f t="shared" si="40"/>
        <v>-1840.0645161290158</v>
      </c>
      <c r="AZ12" s="101">
        <f>ELEC!A9</f>
        <v>0.13900000000000001</v>
      </c>
      <c r="BA12" s="119">
        <f>'General information '!D12</f>
        <v>16.5</v>
      </c>
      <c r="BB12" s="209">
        <f>SUM('General information '!E12)</f>
        <v>0.65</v>
      </c>
      <c r="BC12" s="3">
        <f t="shared" si="42"/>
        <v>0</v>
      </c>
      <c r="BD12" s="103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82">
        <f>ELEC!C10</f>
        <v>43807</v>
      </c>
      <c r="B13">
        <f>'B5'!B12</f>
        <v>180</v>
      </c>
      <c r="C13" s="208">
        <f t="shared" si="18"/>
        <v>3872.9032258064517</v>
      </c>
      <c r="D13">
        <f t="shared" si="19"/>
        <v>180</v>
      </c>
      <c r="E13" s="208">
        <f t="shared" si="18"/>
        <v>3872.9032258064517</v>
      </c>
      <c r="F13">
        <f t="shared" si="20"/>
        <v>180</v>
      </c>
      <c r="G13" s="208">
        <f t="shared" si="1"/>
        <v>3872.9032258064517</v>
      </c>
      <c r="H13" s="208">
        <f t="shared" si="21"/>
        <v>180</v>
      </c>
      <c r="I13" s="208">
        <f t="shared" si="2"/>
        <v>3872.9032258064517</v>
      </c>
      <c r="J13" s="208">
        <f t="shared" si="22"/>
        <v>180</v>
      </c>
      <c r="K13" s="208">
        <f t="shared" si="3"/>
        <v>3872.9032258064517</v>
      </c>
      <c r="L13" s="208">
        <f t="shared" si="23"/>
        <v>180</v>
      </c>
      <c r="M13" s="208">
        <f t="shared" si="4"/>
        <v>3872.9032258064517</v>
      </c>
      <c r="N13" s="208">
        <f t="shared" si="24"/>
        <v>180</v>
      </c>
      <c r="O13" s="208">
        <f t="shared" si="5"/>
        <v>3872.9032258064517</v>
      </c>
      <c r="P13" s="208">
        <f t="shared" si="25"/>
        <v>180</v>
      </c>
      <c r="Q13" s="208">
        <f t="shared" si="6"/>
        <v>3872.9032258064517</v>
      </c>
      <c r="R13" s="208">
        <f t="shared" si="26"/>
        <v>180</v>
      </c>
      <c r="S13" s="208">
        <f t="shared" si="7"/>
        <v>3872.9032258064517</v>
      </c>
      <c r="T13" s="208">
        <f t="shared" si="27"/>
        <v>180</v>
      </c>
      <c r="U13" s="208">
        <f t="shared" si="8"/>
        <v>3872.9032258064517</v>
      </c>
      <c r="V13" s="208">
        <f t="shared" si="28"/>
        <v>180</v>
      </c>
      <c r="W13" s="208">
        <f t="shared" si="9"/>
        <v>3872.9032258064517</v>
      </c>
      <c r="X13" s="35">
        <f t="shared" si="10"/>
        <v>0.58064516129032262</v>
      </c>
      <c r="Y13" s="36">
        <f t="shared" si="29"/>
        <v>42601.93548387097</v>
      </c>
      <c r="Z13" s="208">
        <f>'B5'!C12</f>
        <v>186</v>
      </c>
      <c r="AA13" s="208">
        <f t="shared" si="30"/>
        <v>1860</v>
      </c>
      <c r="AB13" s="208">
        <f t="shared" si="31"/>
        <v>186</v>
      </c>
      <c r="AC13" s="208">
        <f t="shared" si="30"/>
        <v>1860</v>
      </c>
      <c r="AD13" s="208">
        <f t="shared" si="32"/>
        <v>186</v>
      </c>
      <c r="AE13" s="208">
        <f t="shared" si="11"/>
        <v>1860</v>
      </c>
      <c r="AF13" s="208">
        <f t="shared" si="33"/>
        <v>186</v>
      </c>
      <c r="AG13" s="208">
        <f t="shared" si="12"/>
        <v>1860</v>
      </c>
      <c r="AH13" s="208">
        <f t="shared" si="34"/>
        <v>186</v>
      </c>
      <c r="AI13" s="208">
        <f t="shared" si="13"/>
        <v>1860</v>
      </c>
      <c r="AJ13" s="208">
        <f t="shared" si="35"/>
        <v>186</v>
      </c>
      <c r="AK13" s="208">
        <f t="shared" si="14"/>
        <v>1860</v>
      </c>
      <c r="AL13" s="208">
        <f t="shared" si="36"/>
        <v>186</v>
      </c>
      <c r="AM13" s="208">
        <f t="shared" si="15"/>
        <v>1860</v>
      </c>
      <c r="AN13" s="35">
        <f t="shared" si="16"/>
        <v>0.66428571428571426</v>
      </c>
      <c r="AO13" s="36">
        <f t="shared" si="17"/>
        <v>13020</v>
      </c>
      <c r="AQ13" s="228">
        <f t="shared" si="37"/>
        <v>0.59827832079026533</v>
      </c>
      <c r="AR13" s="38">
        <f t="shared" si="43"/>
        <v>55621.93548387097</v>
      </c>
      <c r="AS13" s="202">
        <f t="shared" si="38"/>
        <v>-1226.709677419356</v>
      </c>
      <c r="AT13" s="279"/>
      <c r="AU13" s="473"/>
      <c r="AV13" s="323">
        <f t="shared" si="41"/>
        <v>0.53369999999999995</v>
      </c>
      <c r="AW13" s="303">
        <f>-SUM('B5'!AI12)</f>
        <v>-642</v>
      </c>
      <c r="AX13" s="303">
        <f t="shared" si="39"/>
        <v>-584.70967741935601</v>
      </c>
      <c r="AY13" s="37">
        <f t="shared" si="40"/>
        <v>-1226.709677419356</v>
      </c>
      <c r="AZ13" s="101">
        <f>ELEC!A10</f>
        <v>0.16220000000000001</v>
      </c>
      <c r="BA13" s="119">
        <f>'General information '!D13</f>
        <v>16</v>
      </c>
      <c r="BB13" s="209">
        <f>SUM('General information '!E13)</f>
        <v>0.94</v>
      </c>
      <c r="BC13" s="3">
        <f t="shared" si="42"/>
        <v>0</v>
      </c>
      <c r="BD13" s="103">
        <v>19222</v>
      </c>
      <c r="BE13" s="14">
        <f>(305/1185)*ELEC!Q11</f>
        <v>705.74683544308675</v>
      </c>
      <c r="BF13" s="14"/>
      <c r="BG13" s="14" t="e">
        <f>#REF!-BE13</f>
        <v>#REF!</v>
      </c>
      <c r="BH13" s="11"/>
    </row>
    <row r="14" spans="1:61">
      <c r="A14" s="482">
        <f>ELEC!C11</f>
        <v>43808</v>
      </c>
      <c r="B14">
        <f>'B5'!B13</f>
        <v>175</v>
      </c>
      <c r="C14" s="208">
        <f t="shared" si="18"/>
        <v>3765.322580645161</v>
      </c>
      <c r="D14">
        <f t="shared" si="19"/>
        <v>175</v>
      </c>
      <c r="E14" s="208">
        <f t="shared" si="18"/>
        <v>3765.322580645161</v>
      </c>
      <c r="F14">
        <f t="shared" si="20"/>
        <v>175</v>
      </c>
      <c r="G14" s="208">
        <f t="shared" si="1"/>
        <v>3765.322580645161</v>
      </c>
      <c r="H14" s="208">
        <f t="shared" si="21"/>
        <v>175</v>
      </c>
      <c r="I14" s="208">
        <f t="shared" si="2"/>
        <v>3765.322580645161</v>
      </c>
      <c r="J14" s="208">
        <f t="shared" si="22"/>
        <v>175</v>
      </c>
      <c r="K14" s="208">
        <f t="shared" si="3"/>
        <v>3765.322580645161</v>
      </c>
      <c r="L14" s="208">
        <f t="shared" si="23"/>
        <v>175</v>
      </c>
      <c r="M14" s="208">
        <f t="shared" si="4"/>
        <v>3765.322580645161</v>
      </c>
      <c r="N14" s="208">
        <f t="shared" si="24"/>
        <v>175</v>
      </c>
      <c r="O14" s="208">
        <f t="shared" si="5"/>
        <v>3765.322580645161</v>
      </c>
      <c r="P14" s="208">
        <f t="shared" si="25"/>
        <v>175</v>
      </c>
      <c r="Q14" s="208">
        <f t="shared" si="6"/>
        <v>3765.322580645161</v>
      </c>
      <c r="R14" s="208">
        <f t="shared" si="26"/>
        <v>175</v>
      </c>
      <c r="S14" s="208">
        <f t="shared" si="7"/>
        <v>3765.322580645161</v>
      </c>
      <c r="T14" s="208">
        <f t="shared" si="27"/>
        <v>175</v>
      </c>
      <c r="U14" s="208">
        <f t="shared" si="8"/>
        <v>3765.322580645161</v>
      </c>
      <c r="V14" s="208">
        <f t="shared" si="28"/>
        <v>175</v>
      </c>
      <c r="W14" s="208">
        <f t="shared" si="9"/>
        <v>3765.322580645161</v>
      </c>
      <c r="X14" s="35">
        <f t="shared" si="10"/>
        <v>0.5645161290322579</v>
      </c>
      <c r="Y14" s="36">
        <f t="shared" si="29"/>
        <v>41418.548387096758</v>
      </c>
      <c r="Z14" s="208">
        <f>'B5'!C13</f>
        <v>181</v>
      </c>
      <c r="AA14" s="208">
        <f t="shared" si="30"/>
        <v>1810</v>
      </c>
      <c r="AB14" s="208">
        <f t="shared" si="31"/>
        <v>181</v>
      </c>
      <c r="AC14" s="208">
        <f t="shared" si="30"/>
        <v>1810</v>
      </c>
      <c r="AD14" s="208">
        <f t="shared" si="32"/>
        <v>181</v>
      </c>
      <c r="AE14" s="208">
        <f t="shared" si="11"/>
        <v>1810</v>
      </c>
      <c r="AF14" s="208">
        <f t="shared" si="33"/>
        <v>181</v>
      </c>
      <c r="AG14" s="208">
        <f t="shared" si="12"/>
        <v>1810</v>
      </c>
      <c r="AH14" s="208">
        <f t="shared" si="34"/>
        <v>181</v>
      </c>
      <c r="AI14" s="208">
        <f t="shared" si="13"/>
        <v>1810</v>
      </c>
      <c r="AJ14" s="208">
        <f t="shared" si="35"/>
        <v>181</v>
      </c>
      <c r="AK14" s="208">
        <f t="shared" si="14"/>
        <v>1810</v>
      </c>
      <c r="AL14" s="208">
        <f t="shared" si="36"/>
        <v>181</v>
      </c>
      <c r="AM14" s="208">
        <f t="shared" si="15"/>
        <v>1810</v>
      </c>
      <c r="AN14" s="35">
        <f t="shared" si="16"/>
        <v>0.64642857142857146</v>
      </c>
      <c r="AO14" s="36">
        <f t="shared" si="17"/>
        <v>12670</v>
      </c>
      <c r="AQ14" s="228">
        <f t="shared" si="37"/>
        <v>0.5817849670549291</v>
      </c>
      <c r="AR14" s="38">
        <f t="shared" si="43"/>
        <v>54088.548387096758</v>
      </c>
      <c r="AS14" s="202">
        <f t="shared" si="38"/>
        <v>-1533.3870967742114</v>
      </c>
      <c r="AT14" s="279"/>
      <c r="AU14" s="473"/>
      <c r="AV14" s="323">
        <f t="shared" si="41"/>
        <v>0.53369999999999995</v>
      </c>
      <c r="AW14" s="303">
        <f>-SUM('B5'!AI13)</f>
        <v>-624</v>
      </c>
      <c r="AX14" s="303">
        <f t="shared" si="39"/>
        <v>-909.38709677421139</v>
      </c>
      <c r="AY14" s="37">
        <f t="shared" si="40"/>
        <v>-1533.3870967742114</v>
      </c>
      <c r="AZ14" s="101">
        <f>ELEC!A11</f>
        <v>0.1739</v>
      </c>
      <c r="BA14" s="119">
        <f>'General information '!D14</f>
        <v>16</v>
      </c>
      <c r="BB14" s="209">
        <f>SUM('General information '!E14)</f>
        <v>0.65</v>
      </c>
      <c r="BC14" s="3">
        <f t="shared" si="42"/>
        <v>0</v>
      </c>
      <c r="BD14" s="103">
        <v>19222</v>
      </c>
      <c r="BE14" s="14">
        <f>(305/1185)*ELEC!Q12</f>
        <v>516.82700421936067</v>
      </c>
      <c r="BF14" s="14"/>
      <c r="BG14" s="14" t="e">
        <f>#REF!-BE14</f>
        <v>#REF!</v>
      </c>
      <c r="BH14" s="11"/>
    </row>
    <row r="15" spans="1:61" ht="13.5" customHeight="1">
      <c r="A15" s="482">
        <f>ELEC!C12</f>
        <v>43809</v>
      </c>
      <c r="B15">
        <f>'B5'!B14</f>
        <v>170</v>
      </c>
      <c r="C15" s="208">
        <f t="shared" si="18"/>
        <v>3657.7419354838707</v>
      </c>
      <c r="D15">
        <f t="shared" si="19"/>
        <v>170</v>
      </c>
      <c r="E15" s="208">
        <f t="shared" si="18"/>
        <v>3657.7419354838707</v>
      </c>
      <c r="F15">
        <f t="shared" si="20"/>
        <v>170</v>
      </c>
      <c r="G15" s="208">
        <f t="shared" si="1"/>
        <v>3657.7419354838707</v>
      </c>
      <c r="H15" s="208">
        <f t="shared" si="21"/>
        <v>170</v>
      </c>
      <c r="I15" s="208">
        <f t="shared" si="2"/>
        <v>3657.7419354838707</v>
      </c>
      <c r="J15" s="208">
        <f t="shared" si="22"/>
        <v>170</v>
      </c>
      <c r="K15" s="208">
        <f t="shared" si="3"/>
        <v>3657.7419354838707</v>
      </c>
      <c r="L15" s="208">
        <f t="shared" si="23"/>
        <v>170</v>
      </c>
      <c r="M15" s="208">
        <f t="shared" si="4"/>
        <v>3657.7419354838707</v>
      </c>
      <c r="N15" s="208">
        <f t="shared" si="24"/>
        <v>170</v>
      </c>
      <c r="O15" s="208">
        <f t="shared" si="5"/>
        <v>3657.7419354838707</v>
      </c>
      <c r="P15" s="208">
        <f t="shared" si="25"/>
        <v>170</v>
      </c>
      <c r="Q15" s="208">
        <f t="shared" si="6"/>
        <v>3657.7419354838707</v>
      </c>
      <c r="R15" s="208">
        <f t="shared" si="26"/>
        <v>170</v>
      </c>
      <c r="S15" s="208">
        <f t="shared" si="7"/>
        <v>3657.7419354838707</v>
      </c>
      <c r="T15" s="208">
        <f t="shared" si="27"/>
        <v>170</v>
      </c>
      <c r="U15" s="208">
        <f t="shared" si="8"/>
        <v>3657.7419354838707</v>
      </c>
      <c r="V15" s="208">
        <f t="shared" si="28"/>
        <v>170</v>
      </c>
      <c r="W15" s="208">
        <f t="shared" si="9"/>
        <v>3657.7419354838707</v>
      </c>
      <c r="X15" s="35">
        <f t="shared" si="10"/>
        <v>0.54838709677419351</v>
      </c>
      <c r="Y15" s="36">
        <f t="shared" si="29"/>
        <v>40235.161290322576</v>
      </c>
      <c r="Z15" s="208">
        <f>'B5'!C14</f>
        <v>176</v>
      </c>
      <c r="AA15" s="208">
        <f t="shared" si="30"/>
        <v>1760</v>
      </c>
      <c r="AB15" s="208">
        <f t="shared" si="31"/>
        <v>176</v>
      </c>
      <c r="AC15" s="208">
        <f t="shared" si="30"/>
        <v>1760</v>
      </c>
      <c r="AD15" s="208">
        <f t="shared" si="32"/>
        <v>176</v>
      </c>
      <c r="AE15" s="208">
        <f t="shared" si="11"/>
        <v>1760</v>
      </c>
      <c r="AF15" s="208">
        <f t="shared" si="33"/>
        <v>176</v>
      </c>
      <c r="AG15" s="208">
        <f t="shared" si="12"/>
        <v>1760</v>
      </c>
      <c r="AH15" s="208">
        <f t="shared" si="34"/>
        <v>176</v>
      </c>
      <c r="AI15" s="208">
        <f t="shared" si="13"/>
        <v>1760</v>
      </c>
      <c r="AJ15" s="208">
        <f t="shared" si="35"/>
        <v>176</v>
      </c>
      <c r="AK15" s="208">
        <f t="shared" si="14"/>
        <v>1760</v>
      </c>
      <c r="AL15" s="208">
        <f t="shared" si="36"/>
        <v>176</v>
      </c>
      <c r="AM15" s="208">
        <f t="shared" si="15"/>
        <v>1760</v>
      </c>
      <c r="AN15" s="35">
        <f t="shared" si="16"/>
        <v>0.62857142857142856</v>
      </c>
      <c r="AO15" s="36">
        <f t="shared" si="17"/>
        <v>12320</v>
      </c>
      <c r="AQ15" s="228">
        <f t="shared" si="37"/>
        <v>0.56529161331959321</v>
      </c>
      <c r="AR15" s="38">
        <f t="shared" si="43"/>
        <v>52555.161290322576</v>
      </c>
      <c r="AS15" s="202">
        <f>SUM(AR15-AR14-AT15)</f>
        <v>-1533.3870967741823</v>
      </c>
      <c r="AT15" s="279"/>
      <c r="AU15" s="473"/>
      <c r="AV15" s="323">
        <f>IF(AT15&gt;0,AU15,AV14)</f>
        <v>0.53369999999999995</v>
      </c>
      <c r="AW15" s="303">
        <f>-SUM('B5'!AI14)</f>
        <v>-762.19999999999709</v>
      </c>
      <c r="AX15" s="303">
        <f t="shared" si="39"/>
        <v>-771.18709677418519</v>
      </c>
      <c r="AY15" s="37">
        <f t="shared" si="40"/>
        <v>-1533.3870967741823</v>
      </c>
      <c r="AZ15" s="101">
        <f>ELEC!A12</f>
        <v>0.187</v>
      </c>
      <c r="BA15" s="119">
        <f>'General information '!D15</f>
        <v>16</v>
      </c>
      <c r="BB15" s="209">
        <f>SUM('General information '!E15)</f>
        <v>0.63</v>
      </c>
      <c r="BC15" s="3">
        <f t="shared" si="42"/>
        <v>0</v>
      </c>
      <c r="BD15" s="103">
        <v>19222</v>
      </c>
      <c r="BE15" s="14">
        <f>(305/1185)*ELEC!Q13</f>
        <v>602.79324894529009</v>
      </c>
      <c r="BF15" s="14"/>
      <c r="BG15" s="14" t="e">
        <f>#REF!-BE15</f>
        <v>#REF!</v>
      </c>
      <c r="BH15" s="11"/>
    </row>
    <row r="16" spans="1:61">
      <c r="A16" s="482">
        <f>ELEC!C13</f>
        <v>43810</v>
      </c>
      <c r="B16">
        <f>'B5'!B15</f>
        <v>164</v>
      </c>
      <c r="C16" s="208">
        <f t="shared" si="18"/>
        <v>3528.6451612903224</v>
      </c>
      <c r="D16">
        <f t="shared" si="19"/>
        <v>164</v>
      </c>
      <c r="E16" s="208">
        <f t="shared" si="18"/>
        <v>3528.6451612903224</v>
      </c>
      <c r="F16">
        <f t="shared" si="20"/>
        <v>164</v>
      </c>
      <c r="G16" s="208">
        <f t="shared" si="1"/>
        <v>3528.6451612903224</v>
      </c>
      <c r="H16" s="208">
        <f t="shared" si="21"/>
        <v>164</v>
      </c>
      <c r="I16" s="208">
        <f t="shared" si="2"/>
        <v>3528.6451612903224</v>
      </c>
      <c r="J16" s="208">
        <f t="shared" si="22"/>
        <v>164</v>
      </c>
      <c r="K16" s="208">
        <f t="shared" si="3"/>
        <v>3528.6451612903224</v>
      </c>
      <c r="L16" s="208">
        <f t="shared" si="23"/>
        <v>164</v>
      </c>
      <c r="M16" s="208">
        <f t="shared" si="4"/>
        <v>3528.6451612903224</v>
      </c>
      <c r="N16" s="208">
        <f t="shared" si="24"/>
        <v>164</v>
      </c>
      <c r="O16" s="208">
        <f t="shared" si="5"/>
        <v>3528.6451612903224</v>
      </c>
      <c r="P16" s="208">
        <f t="shared" si="25"/>
        <v>164</v>
      </c>
      <c r="Q16" s="208">
        <f t="shared" si="6"/>
        <v>3528.6451612903224</v>
      </c>
      <c r="R16" s="208">
        <f t="shared" si="26"/>
        <v>164</v>
      </c>
      <c r="S16" s="208">
        <f t="shared" si="7"/>
        <v>3528.6451612903224</v>
      </c>
      <c r="T16" s="208">
        <f t="shared" si="27"/>
        <v>164</v>
      </c>
      <c r="U16" s="208">
        <f t="shared" si="8"/>
        <v>3528.6451612903224</v>
      </c>
      <c r="V16" s="208">
        <f t="shared" si="28"/>
        <v>164</v>
      </c>
      <c r="W16" s="208">
        <f t="shared" si="9"/>
        <v>3528.6451612903224</v>
      </c>
      <c r="X16" s="35">
        <f t="shared" si="10"/>
        <v>0.52903225806451615</v>
      </c>
      <c r="Y16" s="36">
        <f t="shared" si="29"/>
        <v>38815.096774193553</v>
      </c>
      <c r="Z16" s="208">
        <f>'B5'!C15</f>
        <v>170</v>
      </c>
      <c r="AA16" s="208">
        <f t="shared" si="30"/>
        <v>1700</v>
      </c>
      <c r="AB16" s="208">
        <f t="shared" si="31"/>
        <v>170</v>
      </c>
      <c r="AC16" s="208">
        <f t="shared" si="30"/>
        <v>1700</v>
      </c>
      <c r="AD16" s="208">
        <f t="shared" si="32"/>
        <v>170</v>
      </c>
      <c r="AE16" s="208">
        <f t="shared" si="11"/>
        <v>1700</v>
      </c>
      <c r="AF16" s="208">
        <f t="shared" si="33"/>
        <v>170</v>
      </c>
      <c r="AG16" s="208">
        <f t="shared" si="12"/>
        <v>1700</v>
      </c>
      <c r="AH16" s="208">
        <f t="shared" si="34"/>
        <v>170</v>
      </c>
      <c r="AI16" s="208">
        <f t="shared" si="13"/>
        <v>1700</v>
      </c>
      <c r="AJ16" s="208">
        <f t="shared" si="35"/>
        <v>170</v>
      </c>
      <c r="AK16" s="208">
        <f t="shared" si="14"/>
        <v>1700</v>
      </c>
      <c r="AL16" s="208">
        <f t="shared" si="36"/>
        <v>170</v>
      </c>
      <c r="AM16" s="208">
        <f t="shared" si="15"/>
        <v>1700</v>
      </c>
      <c r="AN16" s="35">
        <f t="shared" si="16"/>
        <v>0.6071428571428571</v>
      </c>
      <c r="AO16" s="36">
        <f t="shared" si="17"/>
        <v>11900</v>
      </c>
      <c r="AQ16" s="228">
        <f t="shared" si="37"/>
        <v>0.54549958883718996</v>
      </c>
      <c r="AR16" s="38">
        <f t="shared" si="43"/>
        <v>50715.096774193553</v>
      </c>
      <c r="AS16" s="202">
        <f>SUM(AR16-AR15-AT16)</f>
        <v>-1840.0645161290231</v>
      </c>
      <c r="AT16" s="279"/>
      <c r="AU16" s="473"/>
      <c r="AV16" s="323">
        <f>IF(AT16&gt;0,AU16,AV15)</f>
        <v>0.53369999999999995</v>
      </c>
      <c r="AW16" s="303">
        <f>-SUM('B5'!AI15)</f>
        <v>-838.19999999999709</v>
      </c>
      <c r="AX16" s="303">
        <f>-SUM(AW16-AS16)</f>
        <v>-1001.864516129026</v>
      </c>
      <c r="AY16" s="37">
        <f t="shared" si="40"/>
        <v>-1840.0645161290231</v>
      </c>
      <c r="AZ16" s="101">
        <f>ELEC!A13</f>
        <v>0.1565</v>
      </c>
      <c r="BA16" s="119">
        <f>'General information '!D16</f>
        <v>16.5</v>
      </c>
      <c r="BB16" s="209">
        <f>SUM('General information '!E16)</f>
        <v>0.6</v>
      </c>
      <c r="BC16" s="3">
        <f t="shared" si="42"/>
        <v>0</v>
      </c>
      <c r="BD16" s="103">
        <v>19222</v>
      </c>
      <c r="BE16" s="14">
        <f>(305/1185)*ELEC!Q14</f>
        <v>491.08860759479444</v>
      </c>
      <c r="BF16" s="14"/>
      <c r="BG16" s="14" t="e">
        <f>#REF!-BE16</f>
        <v>#REF!</v>
      </c>
      <c r="BH16" s="11"/>
    </row>
    <row r="17" spans="1:61">
      <c r="A17" s="482">
        <f>ELEC!C14</f>
        <v>43811</v>
      </c>
      <c r="B17">
        <f>'B5'!B16</f>
        <v>202</v>
      </c>
      <c r="C17" s="208">
        <f t="shared" si="18"/>
        <v>4346.2580645161288</v>
      </c>
      <c r="D17">
        <f t="shared" si="19"/>
        <v>202</v>
      </c>
      <c r="E17" s="208">
        <f t="shared" si="18"/>
        <v>4346.2580645161288</v>
      </c>
      <c r="F17">
        <f t="shared" si="20"/>
        <v>202</v>
      </c>
      <c r="G17" s="208">
        <f t="shared" si="1"/>
        <v>4346.2580645161288</v>
      </c>
      <c r="H17" s="208">
        <f t="shared" si="21"/>
        <v>202</v>
      </c>
      <c r="I17" s="208">
        <f t="shared" si="2"/>
        <v>4346.2580645161288</v>
      </c>
      <c r="J17" s="208">
        <f t="shared" si="22"/>
        <v>202</v>
      </c>
      <c r="K17" s="208">
        <f t="shared" si="3"/>
        <v>4346.2580645161288</v>
      </c>
      <c r="L17" s="208">
        <f t="shared" si="23"/>
        <v>202</v>
      </c>
      <c r="M17" s="208">
        <f t="shared" si="4"/>
        <v>4346.2580645161288</v>
      </c>
      <c r="N17" s="208">
        <f t="shared" si="24"/>
        <v>202</v>
      </c>
      <c r="O17" s="208">
        <f t="shared" si="5"/>
        <v>4346.2580645161288</v>
      </c>
      <c r="P17" s="208">
        <f t="shared" si="25"/>
        <v>202</v>
      </c>
      <c r="Q17" s="208">
        <f t="shared" si="6"/>
        <v>4346.2580645161288</v>
      </c>
      <c r="R17" s="208">
        <f t="shared" si="26"/>
        <v>202</v>
      </c>
      <c r="S17" s="208">
        <f t="shared" si="7"/>
        <v>4346.2580645161288</v>
      </c>
      <c r="T17" s="208">
        <f t="shared" si="27"/>
        <v>202</v>
      </c>
      <c r="U17" s="208">
        <f t="shared" si="8"/>
        <v>4346.2580645161288</v>
      </c>
      <c r="V17" s="208">
        <f t="shared" si="28"/>
        <v>202</v>
      </c>
      <c r="W17" s="208">
        <f t="shared" si="9"/>
        <v>4346.2580645161288</v>
      </c>
      <c r="X17" s="35">
        <f t="shared" si="10"/>
        <v>0.65161290322580645</v>
      </c>
      <c r="Y17" s="36">
        <f t="shared" si="29"/>
        <v>47808.838709677417</v>
      </c>
      <c r="Z17" s="208">
        <f>'B5'!C16</f>
        <v>208</v>
      </c>
      <c r="AA17" s="208">
        <f t="shared" si="30"/>
        <v>2080</v>
      </c>
      <c r="AB17" s="208">
        <f t="shared" si="31"/>
        <v>208</v>
      </c>
      <c r="AC17" s="208">
        <f t="shared" si="30"/>
        <v>2080</v>
      </c>
      <c r="AD17" s="208">
        <f t="shared" si="32"/>
        <v>208</v>
      </c>
      <c r="AE17" s="208">
        <f t="shared" si="11"/>
        <v>2080</v>
      </c>
      <c r="AF17" s="208">
        <f t="shared" si="33"/>
        <v>208</v>
      </c>
      <c r="AG17" s="208">
        <f t="shared" si="12"/>
        <v>2080</v>
      </c>
      <c r="AH17" s="208">
        <f t="shared" si="34"/>
        <v>208</v>
      </c>
      <c r="AI17" s="208">
        <f t="shared" si="13"/>
        <v>2080</v>
      </c>
      <c r="AJ17" s="208">
        <f t="shared" si="35"/>
        <v>208</v>
      </c>
      <c r="AK17" s="208">
        <f t="shared" si="14"/>
        <v>2080</v>
      </c>
      <c r="AL17" s="208">
        <f t="shared" si="36"/>
        <v>208</v>
      </c>
      <c r="AM17" s="208">
        <f t="shared" si="15"/>
        <v>2080</v>
      </c>
      <c r="AN17" s="35">
        <f t="shared" si="16"/>
        <v>0.74285714285714288</v>
      </c>
      <c r="AO17" s="36">
        <f>SUM(AA17+AC17+AE17+AG17+AI17+AK17+AM17)</f>
        <v>14560</v>
      </c>
      <c r="AQ17" s="228">
        <f t="shared" si="37"/>
        <v>0.67084907722574394</v>
      </c>
      <c r="AR17" s="38">
        <f t="shared" si="43"/>
        <v>62368.838709677417</v>
      </c>
      <c r="AS17" s="202">
        <f t="shared" si="38"/>
        <v>193.74193548386393</v>
      </c>
      <c r="AT17" s="378">
        <v>11460</v>
      </c>
      <c r="AU17" s="518">
        <v>0.52710000000000001</v>
      </c>
      <c r="AV17" s="323">
        <f t="shared" si="41"/>
        <v>0.52710000000000001</v>
      </c>
      <c r="AW17" s="303">
        <f>-SUM('B5'!AI16)</f>
        <v>-661</v>
      </c>
      <c r="AX17" s="303">
        <f t="shared" si="39"/>
        <v>854.74193548386393</v>
      </c>
      <c r="AY17" s="37">
        <f t="shared" si="40"/>
        <v>193.74193548386393</v>
      </c>
      <c r="AZ17" s="101">
        <f>ELEC!A14</f>
        <v>0.21740000000000001</v>
      </c>
      <c r="BA17" s="119">
        <f>'General information '!D17</f>
        <v>17.5</v>
      </c>
      <c r="BB17" s="209">
        <f>SUM('General information '!E17)</f>
        <v>0.6</v>
      </c>
      <c r="BC17" s="3">
        <f t="shared" si="42"/>
        <v>1</v>
      </c>
      <c r="BD17" s="103">
        <v>19222</v>
      </c>
      <c r="BE17" s="14">
        <f>(305/1185)*ELEC!Q15</f>
        <v>866.09704641344604</v>
      </c>
      <c r="BF17" s="14"/>
      <c r="BG17" s="14" t="e">
        <f>#REF!-BE17</f>
        <v>#REF!</v>
      </c>
      <c r="BH17" s="11"/>
    </row>
    <row r="18" spans="1:61">
      <c r="A18" s="482">
        <f>ELEC!C15</f>
        <v>43812</v>
      </c>
      <c r="B18">
        <f>'B5'!B17</f>
        <v>196</v>
      </c>
      <c r="C18" s="208">
        <f t="shared" si="18"/>
        <v>4217.1612903225805</v>
      </c>
      <c r="D18">
        <f t="shared" si="19"/>
        <v>196</v>
      </c>
      <c r="E18" s="208">
        <f t="shared" si="18"/>
        <v>4217.1612903225805</v>
      </c>
      <c r="F18">
        <f t="shared" si="20"/>
        <v>196</v>
      </c>
      <c r="G18" s="208">
        <f t="shared" si="1"/>
        <v>4217.1612903225805</v>
      </c>
      <c r="H18" s="208">
        <f t="shared" si="21"/>
        <v>196</v>
      </c>
      <c r="I18" s="208">
        <f t="shared" si="2"/>
        <v>4217.1612903225805</v>
      </c>
      <c r="J18" s="208">
        <f t="shared" si="22"/>
        <v>196</v>
      </c>
      <c r="K18" s="208">
        <f t="shared" si="3"/>
        <v>4217.1612903225805</v>
      </c>
      <c r="L18" s="208">
        <f t="shared" si="23"/>
        <v>196</v>
      </c>
      <c r="M18" s="208">
        <f t="shared" si="4"/>
        <v>4217.1612903225805</v>
      </c>
      <c r="N18" s="208">
        <f t="shared" si="24"/>
        <v>196</v>
      </c>
      <c r="O18" s="208">
        <f t="shared" si="5"/>
        <v>4217.1612903225805</v>
      </c>
      <c r="P18" s="208">
        <f t="shared" si="25"/>
        <v>196</v>
      </c>
      <c r="Q18" s="208">
        <f t="shared" si="6"/>
        <v>4217.1612903225805</v>
      </c>
      <c r="R18" s="208">
        <f t="shared" si="26"/>
        <v>196</v>
      </c>
      <c r="S18" s="208">
        <f t="shared" si="7"/>
        <v>4217.1612903225805</v>
      </c>
      <c r="T18" s="208">
        <f t="shared" si="27"/>
        <v>196</v>
      </c>
      <c r="U18" s="208">
        <f t="shared" si="8"/>
        <v>4217.1612903225805</v>
      </c>
      <c r="V18" s="208">
        <f t="shared" si="28"/>
        <v>196</v>
      </c>
      <c r="W18" s="208">
        <f t="shared" si="9"/>
        <v>4217.1612903225805</v>
      </c>
      <c r="X18" s="35">
        <f t="shared" si="10"/>
        <v>0.63225806451612909</v>
      </c>
      <c r="Y18" s="36">
        <f t="shared" si="29"/>
        <v>46388.774193548394</v>
      </c>
      <c r="Z18" s="208">
        <f>'B5'!C17</f>
        <v>203</v>
      </c>
      <c r="AA18" s="208">
        <f t="shared" si="30"/>
        <v>2030</v>
      </c>
      <c r="AB18" s="208">
        <f t="shared" si="31"/>
        <v>203</v>
      </c>
      <c r="AC18" s="208">
        <f t="shared" si="30"/>
        <v>2030</v>
      </c>
      <c r="AD18" s="208">
        <f t="shared" si="32"/>
        <v>203</v>
      </c>
      <c r="AE18" s="208">
        <f t="shared" si="11"/>
        <v>2030</v>
      </c>
      <c r="AF18" s="208">
        <f t="shared" si="33"/>
        <v>203</v>
      </c>
      <c r="AG18" s="208">
        <f t="shared" si="12"/>
        <v>2030</v>
      </c>
      <c r="AH18" s="208">
        <f t="shared" si="34"/>
        <v>203</v>
      </c>
      <c r="AI18" s="208">
        <f t="shared" si="13"/>
        <v>2030</v>
      </c>
      <c r="AJ18" s="208">
        <f t="shared" si="35"/>
        <v>203</v>
      </c>
      <c r="AK18" s="208">
        <f t="shared" si="14"/>
        <v>2030</v>
      </c>
      <c r="AL18" s="208">
        <f t="shared" si="36"/>
        <v>203</v>
      </c>
      <c r="AM18" s="208">
        <f t="shared" si="15"/>
        <v>2030</v>
      </c>
      <c r="AN18" s="35">
        <f t="shared" si="16"/>
        <v>0.72499999999999998</v>
      </c>
      <c r="AO18" s="36">
        <f t="shared" si="17"/>
        <v>14210</v>
      </c>
      <c r="AQ18" s="228">
        <f t="shared" si="37"/>
        <v>0.65180998379636867</v>
      </c>
      <c r="AR18" s="38">
        <f t="shared" si="43"/>
        <v>60598.774193548394</v>
      </c>
      <c r="AS18" s="202">
        <f t="shared" si="38"/>
        <v>-1770.0645161290231</v>
      </c>
      <c r="AT18" s="279"/>
      <c r="AU18" s="473"/>
      <c r="AV18" s="323">
        <f>IF(AT18&gt;0,AU18,AV17)</f>
        <v>0.52710000000000001</v>
      </c>
      <c r="AW18" s="303">
        <f>-SUM('B5'!AI17)</f>
        <v>-867</v>
      </c>
      <c r="AX18" s="303">
        <f t="shared" si="39"/>
        <v>-903.0645161290231</v>
      </c>
      <c r="AY18" s="37">
        <f t="shared" si="40"/>
        <v>-1770.0645161290231</v>
      </c>
      <c r="AZ18" s="101">
        <f>ELEC!A15</f>
        <v>0.23480000000000001</v>
      </c>
      <c r="BA18" s="119">
        <f>'General information '!D18</f>
        <v>16.5</v>
      </c>
      <c r="BB18" s="419">
        <f>SUM('General information '!E18)</f>
        <v>0.55000000000000004</v>
      </c>
      <c r="BC18" s="3">
        <f t="shared" si="42"/>
        <v>0</v>
      </c>
      <c r="BD18" s="103">
        <v>19222</v>
      </c>
      <c r="BE18" s="14">
        <f>(305/1185)*ELEC!Q16</f>
        <v>678.20675105490852</v>
      </c>
      <c r="BF18" s="14"/>
      <c r="BG18" s="14" t="e">
        <f>#REF!-BE18</f>
        <v>#REF!</v>
      </c>
      <c r="BH18" s="11"/>
    </row>
    <row r="19" spans="1:61">
      <c r="A19" s="482">
        <f>ELEC!C16</f>
        <v>43813</v>
      </c>
      <c r="B19">
        <f>'B5'!B18</f>
        <v>189</v>
      </c>
      <c r="C19" s="208">
        <f t="shared" si="18"/>
        <v>4066.5483870967741</v>
      </c>
      <c r="D19">
        <f t="shared" si="19"/>
        <v>189</v>
      </c>
      <c r="E19" s="208">
        <f t="shared" si="18"/>
        <v>4066.5483870967741</v>
      </c>
      <c r="F19">
        <f t="shared" si="20"/>
        <v>189</v>
      </c>
      <c r="G19" s="208">
        <f t="shared" si="1"/>
        <v>4066.5483870967741</v>
      </c>
      <c r="H19" s="208">
        <f t="shared" si="21"/>
        <v>189</v>
      </c>
      <c r="I19" s="208">
        <f t="shared" si="2"/>
        <v>4066.5483870967741</v>
      </c>
      <c r="J19" s="208">
        <f t="shared" si="22"/>
        <v>189</v>
      </c>
      <c r="K19" s="208">
        <f t="shared" si="3"/>
        <v>4066.5483870967741</v>
      </c>
      <c r="L19" s="208">
        <f t="shared" si="23"/>
        <v>189</v>
      </c>
      <c r="M19" s="208">
        <f t="shared" si="4"/>
        <v>4066.5483870967741</v>
      </c>
      <c r="N19" s="208">
        <f t="shared" si="24"/>
        <v>189</v>
      </c>
      <c r="O19" s="208">
        <f t="shared" si="5"/>
        <v>4066.5483870967741</v>
      </c>
      <c r="P19" s="208">
        <f t="shared" si="25"/>
        <v>189</v>
      </c>
      <c r="Q19" s="208">
        <f t="shared" si="6"/>
        <v>4066.5483870967741</v>
      </c>
      <c r="R19" s="208">
        <f t="shared" si="26"/>
        <v>189</v>
      </c>
      <c r="S19" s="208">
        <f t="shared" si="7"/>
        <v>4066.5483870967741</v>
      </c>
      <c r="T19" s="208">
        <f t="shared" si="27"/>
        <v>189</v>
      </c>
      <c r="U19" s="208">
        <f t="shared" si="8"/>
        <v>4066.5483870967741</v>
      </c>
      <c r="V19" s="208">
        <f t="shared" si="28"/>
        <v>189</v>
      </c>
      <c r="W19" s="208">
        <f t="shared" si="9"/>
        <v>4066.5483870967741</v>
      </c>
      <c r="X19" s="35">
        <f t="shared" si="10"/>
        <v>0.60967741935483855</v>
      </c>
      <c r="Y19" s="36">
        <f t="shared" si="29"/>
        <v>44732.032258064508</v>
      </c>
      <c r="Z19" s="208">
        <f>'B5'!C18</f>
        <v>195</v>
      </c>
      <c r="AA19" s="208">
        <f t="shared" si="30"/>
        <v>1950</v>
      </c>
      <c r="AB19" s="208">
        <f t="shared" si="31"/>
        <v>195</v>
      </c>
      <c r="AC19" s="208">
        <f t="shared" si="30"/>
        <v>1950</v>
      </c>
      <c r="AD19" s="208">
        <f t="shared" si="32"/>
        <v>195</v>
      </c>
      <c r="AE19" s="208">
        <f t="shared" si="11"/>
        <v>1950</v>
      </c>
      <c r="AF19" s="208">
        <f t="shared" si="33"/>
        <v>195</v>
      </c>
      <c r="AG19" s="208">
        <f t="shared" si="12"/>
        <v>1950</v>
      </c>
      <c r="AH19" s="208">
        <f t="shared" si="34"/>
        <v>195</v>
      </c>
      <c r="AI19" s="208">
        <f t="shared" si="13"/>
        <v>1950</v>
      </c>
      <c r="AJ19" s="208">
        <f t="shared" si="35"/>
        <v>195</v>
      </c>
      <c r="AK19" s="208">
        <f t="shared" si="14"/>
        <v>1950</v>
      </c>
      <c r="AL19" s="208">
        <f t="shared" si="36"/>
        <v>195</v>
      </c>
      <c r="AM19" s="208">
        <f t="shared" si="15"/>
        <v>1950</v>
      </c>
      <c r="AN19" s="35">
        <f t="shared" si="16"/>
        <v>0.6964285714285714</v>
      </c>
      <c r="AO19" s="36">
        <f t="shared" si="17"/>
        <v>13650</v>
      </c>
      <c r="AQ19" s="228">
        <f t="shared" si="37"/>
        <v>0.6279663575138702</v>
      </c>
      <c r="AR19" s="38">
        <f t="shared" si="43"/>
        <v>58382.032258064508</v>
      </c>
      <c r="AS19" s="202">
        <f t="shared" si="38"/>
        <v>-2216.7419354838858</v>
      </c>
      <c r="AT19" s="279"/>
      <c r="AU19" s="473"/>
      <c r="AV19" s="323">
        <f t="shared" si="41"/>
        <v>0.52710000000000001</v>
      </c>
      <c r="AW19" s="303">
        <f>-SUM('B5'!AI18)</f>
        <v>-918.40000000000873</v>
      </c>
      <c r="AX19" s="303">
        <f t="shared" si="39"/>
        <v>-1298.341935483877</v>
      </c>
      <c r="AY19" s="37">
        <f t="shared" si="40"/>
        <v>-2216.7419354838858</v>
      </c>
      <c r="AZ19" s="101">
        <f>ELEC!A16</f>
        <v>0.1696</v>
      </c>
      <c r="BA19" s="119">
        <f>'General information '!D19</f>
        <v>15</v>
      </c>
      <c r="BB19" s="209">
        <f>SUM('General information '!E19)</f>
        <v>0.57999999999999996</v>
      </c>
      <c r="BC19" s="3">
        <f t="shared" si="42"/>
        <v>0</v>
      </c>
      <c r="BD19" s="103">
        <v>19222</v>
      </c>
      <c r="BE19" s="14">
        <f>(305/1185)*ELEC!Q17</f>
        <v>811.01687763708969</v>
      </c>
      <c r="BF19" s="14"/>
      <c r="BG19" s="14" t="e">
        <f>#REF!-BE19</f>
        <v>#REF!</v>
      </c>
      <c r="BH19" s="11"/>
    </row>
    <row r="20" spans="1:61">
      <c r="A20" s="482">
        <f>ELEC!C17</f>
        <v>43814</v>
      </c>
      <c r="B20">
        <f>'B5'!B19</f>
        <v>183</v>
      </c>
      <c r="C20" s="208">
        <f t="shared" si="18"/>
        <v>3937.4516129032259</v>
      </c>
      <c r="D20">
        <f t="shared" si="19"/>
        <v>183</v>
      </c>
      <c r="E20" s="208">
        <f t="shared" si="18"/>
        <v>3937.4516129032259</v>
      </c>
      <c r="F20">
        <f t="shared" si="20"/>
        <v>183</v>
      </c>
      <c r="G20" s="208">
        <f t="shared" si="1"/>
        <v>3937.4516129032259</v>
      </c>
      <c r="H20" s="208">
        <f t="shared" si="21"/>
        <v>183</v>
      </c>
      <c r="I20" s="208">
        <f t="shared" si="2"/>
        <v>3937.4516129032259</v>
      </c>
      <c r="J20" s="208">
        <f t="shared" si="22"/>
        <v>183</v>
      </c>
      <c r="K20" s="208">
        <f t="shared" si="3"/>
        <v>3937.4516129032259</v>
      </c>
      <c r="L20" s="208">
        <f t="shared" si="23"/>
        <v>183</v>
      </c>
      <c r="M20" s="208">
        <f t="shared" si="4"/>
        <v>3937.4516129032259</v>
      </c>
      <c r="N20" s="208">
        <f t="shared" si="24"/>
        <v>183</v>
      </c>
      <c r="O20" s="208">
        <f t="shared" si="5"/>
        <v>3937.4516129032259</v>
      </c>
      <c r="P20" s="208">
        <f t="shared" si="25"/>
        <v>183</v>
      </c>
      <c r="Q20" s="208">
        <f t="shared" si="6"/>
        <v>3937.4516129032259</v>
      </c>
      <c r="R20" s="208">
        <f t="shared" si="26"/>
        <v>183</v>
      </c>
      <c r="S20" s="208">
        <f t="shared" si="7"/>
        <v>3937.4516129032259</v>
      </c>
      <c r="T20" s="208">
        <f t="shared" si="27"/>
        <v>183</v>
      </c>
      <c r="U20" s="208">
        <f t="shared" si="8"/>
        <v>3937.4516129032259</v>
      </c>
      <c r="V20" s="208">
        <f t="shared" si="28"/>
        <v>183</v>
      </c>
      <c r="W20" s="208">
        <f t="shared" si="9"/>
        <v>3937.4516129032259</v>
      </c>
      <c r="X20" s="35">
        <f t="shared" si="10"/>
        <v>0.59032258064516141</v>
      </c>
      <c r="Y20" s="36">
        <f t="shared" si="29"/>
        <v>43311.967741935492</v>
      </c>
      <c r="Z20" s="208">
        <f>'B5'!C19</f>
        <v>189</v>
      </c>
      <c r="AA20" s="208">
        <f t="shared" si="30"/>
        <v>1890</v>
      </c>
      <c r="AB20" s="208">
        <f t="shared" si="31"/>
        <v>189</v>
      </c>
      <c r="AC20" s="208">
        <f t="shared" si="30"/>
        <v>1890</v>
      </c>
      <c r="AD20" s="208">
        <f t="shared" si="32"/>
        <v>189</v>
      </c>
      <c r="AE20" s="208">
        <f t="shared" si="11"/>
        <v>1890</v>
      </c>
      <c r="AF20" s="208">
        <f t="shared" si="33"/>
        <v>189</v>
      </c>
      <c r="AG20" s="208">
        <f t="shared" si="12"/>
        <v>1890</v>
      </c>
      <c r="AH20" s="208">
        <f t="shared" si="34"/>
        <v>189</v>
      </c>
      <c r="AI20" s="208">
        <f t="shared" si="13"/>
        <v>1890</v>
      </c>
      <c r="AJ20" s="208">
        <f t="shared" si="35"/>
        <v>189</v>
      </c>
      <c r="AK20" s="208">
        <f t="shared" si="14"/>
        <v>1890</v>
      </c>
      <c r="AL20" s="208">
        <f t="shared" si="36"/>
        <v>189</v>
      </c>
      <c r="AM20" s="208">
        <f t="shared" si="15"/>
        <v>1890</v>
      </c>
      <c r="AN20" s="35">
        <f t="shared" si="16"/>
        <v>0.67500000000000004</v>
      </c>
      <c r="AO20" s="36">
        <f t="shared" si="17"/>
        <v>13230</v>
      </c>
      <c r="AQ20" s="228">
        <f t="shared" si="37"/>
        <v>0.60817433303146706</v>
      </c>
      <c r="AR20" s="38">
        <f t="shared" si="43"/>
        <v>56541.967741935492</v>
      </c>
      <c r="AS20" s="202">
        <f t="shared" si="38"/>
        <v>-1840.0645161290158</v>
      </c>
      <c r="AT20" s="279"/>
      <c r="AU20" s="473"/>
      <c r="AV20" s="323">
        <f t="shared" si="41"/>
        <v>0.52710000000000001</v>
      </c>
      <c r="AW20" s="303">
        <f>-SUM('B5'!AI19)</f>
        <v>-1163.3000000000029</v>
      </c>
      <c r="AX20" s="303">
        <f t="shared" si="39"/>
        <v>-676.76451612901292</v>
      </c>
      <c r="AY20" s="37">
        <f t="shared" si="40"/>
        <v>-1840.0645161290158</v>
      </c>
      <c r="AZ20" s="101">
        <f>ELEC!A17</f>
        <v>0.16520000000000001</v>
      </c>
      <c r="BA20" s="119">
        <f>'General information '!D20</f>
        <v>14.5</v>
      </c>
      <c r="BB20" s="209">
        <f>SUM('General information '!E20)</f>
        <v>0.55000000000000004</v>
      </c>
      <c r="BC20" s="3">
        <f t="shared" si="42"/>
        <v>0</v>
      </c>
      <c r="BD20" s="103">
        <v>19222</v>
      </c>
      <c r="BE20" s="14">
        <f>(305/1185)*ELEC!Q18</f>
        <v>475.90295358653913</v>
      </c>
      <c r="BF20" s="14"/>
      <c r="BG20" s="14" t="e">
        <f>#REF!-BE20</f>
        <v>#REF!</v>
      </c>
      <c r="BH20" s="11"/>
    </row>
    <row r="21" spans="1:61">
      <c r="A21" s="482">
        <f>ELEC!C18</f>
        <v>43815</v>
      </c>
      <c r="B21">
        <f>'B5'!B20</f>
        <v>177</v>
      </c>
      <c r="C21" s="208">
        <f t="shared" si="18"/>
        <v>3808.3548387096776</v>
      </c>
      <c r="D21">
        <f t="shared" si="19"/>
        <v>177</v>
      </c>
      <c r="E21" s="208">
        <f t="shared" si="18"/>
        <v>3808.3548387096776</v>
      </c>
      <c r="F21">
        <f t="shared" si="20"/>
        <v>177</v>
      </c>
      <c r="G21" s="208">
        <f t="shared" si="1"/>
        <v>3808.3548387096776</v>
      </c>
      <c r="H21" s="208">
        <f t="shared" si="21"/>
        <v>177</v>
      </c>
      <c r="I21" s="208">
        <f t="shared" si="2"/>
        <v>3808.3548387096776</v>
      </c>
      <c r="J21" s="208">
        <f t="shared" si="22"/>
        <v>177</v>
      </c>
      <c r="K21" s="208">
        <f t="shared" si="3"/>
        <v>3808.3548387096776</v>
      </c>
      <c r="L21" s="208">
        <f t="shared" si="23"/>
        <v>177</v>
      </c>
      <c r="M21" s="208">
        <f t="shared" si="4"/>
        <v>3808.3548387096776</v>
      </c>
      <c r="N21" s="208">
        <f t="shared" si="24"/>
        <v>177</v>
      </c>
      <c r="O21" s="208">
        <f t="shared" si="5"/>
        <v>3808.3548387096776</v>
      </c>
      <c r="P21" s="208">
        <f t="shared" si="25"/>
        <v>177</v>
      </c>
      <c r="Q21" s="208">
        <f t="shared" si="6"/>
        <v>3808.3548387096776</v>
      </c>
      <c r="R21" s="208">
        <f t="shared" si="26"/>
        <v>177</v>
      </c>
      <c r="S21" s="208">
        <f t="shared" si="7"/>
        <v>3808.3548387096776</v>
      </c>
      <c r="T21" s="208">
        <f t="shared" si="27"/>
        <v>177</v>
      </c>
      <c r="U21" s="208">
        <f t="shared" si="8"/>
        <v>3808.3548387096776</v>
      </c>
      <c r="V21" s="208">
        <f t="shared" si="28"/>
        <v>177</v>
      </c>
      <c r="W21" s="208">
        <f t="shared" si="9"/>
        <v>3808.3548387096776</v>
      </c>
      <c r="X21" s="35">
        <f t="shared" si="10"/>
        <v>0.57096774193548383</v>
      </c>
      <c r="Y21" s="36">
        <f t="shared" si="29"/>
        <v>41891.903225806447</v>
      </c>
      <c r="Z21" s="208">
        <f>'B5'!C20</f>
        <v>182</v>
      </c>
      <c r="AA21" s="208">
        <f t="shared" si="30"/>
        <v>1820</v>
      </c>
      <c r="AB21" s="208">
        <f t="shared" si="31"/>
        <v>182</v>
      </c>
      <c r="AC21" s="208">
        <f t="shared" si="30"/>
        <v>1820</v>
      </c>
      <c r="AD21" s="208">
        <f t="shared" si="32"/>
        <v>182</v>
      </c>
      <c r="AE21" s="208">
        <f t="shared" si="11"/>
        <v>1820</v>
      </c>
      <c r="AF21" s="208">
        <f t="shared" si="33"/>
        <v>182</v>
      </c>
      <c r="AG21" s="208">
        <f t="shared" si="12"/>
        <v>1820</v>
      </c>
      <c r="AH21" s="208">
        <f t="shared" si="34"/>
        <v>182</v>
      </c>
      <c r="AI21" s="208">
        <f t="shared" si="13"/>
        <v>1820</v>
      </c>
      <c r="AJ21" s="208">
        <f t="shared" si="35"/>
        <v>182</v>
      </c>
      <c r="AK21" s="208">
        <f t="shared" si="14"/>
        <v>1820</v>
      </c>
      <c r="AL21" s="208">
        <f t="shared" si="36"/>
        <v>182</v>
      </c>
      <c r="AM21" s="208">
        <f t="shared" si="15"/>
        <v>1820</v>
      </c>
      <c r="AN21" s="35">
        <f t="shared" si="16"/>
        <v>0.65</v>
      </c>
      <c r="AO21" s="36">
        <f t="shared" si="17"/>
        <v>12740</v>
      </c>
      <c r="AQ21" s="228">
        <f t="shared" si="37"/>
        <v>0.58762937749603583</v>
      </c>
      <c r="AR21" s="38">
        <f t="shared" si="43"/>
        <v>54631.903225806447</v>
      </c>
      <c r="AS21" s="202">
        <f t="shared" si="38"/>
        <v>-1910.0645161290449</v>
      </c>
      <c r="AT21" s="279"/>
      <c r="AU21" s="473"/>
      <c r="AV21" s="323">
        <f t="shared" si="41"/>
        <v>0.52710000000000001</v>
      </c>
      <c r="AW21" s="303">
        <f>-SUM('B5'!AI20)</f>
        <v>-840</v>
      </c>
      <c r="AX21" s="303">
        <f t="shared" si="39"/>
        <v>-1070.0645161290449</v>
      </c>
      <c r="AY21" s="37">
        <f t="shared" si="40"/>
        <v>-1910.0645161290449</v>
      </c>
      <c r="AZ21" s="101">
        <f>ELEC!A18</f>
        <v>0.13900000000000001</v>
      </c>
      <c r="BA21" s="119">
        <f>'General information '!D21</f>
        <v>16.5</v>
      </c>
      <c r="BB21" s="209">
        <f>SUM('General information '!E21)</f>
        <v>0.51</v>
      </c>
      <c r="BC21" s="3">
        <f t="shared" si="42"/>
        <v>0</v>
      </c>
      <c r="BD21" s="103">
        <v>19222</v>
      </c>
      <c r="BE21" s="14">
        <f>(305/1185)*ELEC!Q19</f>
        <v>826.97468354423643</v>
      </c>
      <c r="BF21" s="14"/>
      <c r="BG21" s="14" t="e">
        <f>#REF!-BE21</f>
        <v>#REF!</v>
      </c>
      <c r="BH21" s="11"/>
    </row>
    <row r="22" spans="1:61">
      <c r="A22" s="482">
        <f>ELEC!C19</f>
        <v>43816</v>
      </c>
      <c r="B22">
        <f>'B5'!B21</f>
        <v>187</v>
      </c>
      <c r="C22" s="208">
        <f t="shared" si="18"/>
        <v>4023.516129032258</v>
      </c>
      <c r="D22">
        <f t="shared" si="19"/>
        <v>187</v>
      </c>
      <c r="E22" s="208">
        <f t="shared" si="18"/>
        <v>4023.516129032258</v>
      </c>
      <c r="F22">
        <f t="shared" si="20"/>
        <v>187</v>
      </c>
      <c r="G22" s="208">
        <f t="shared" si="1"/>
        <v>4023.516129032258</v>
      </c>
      <c r="H22" s="208">
        <f t="shared" si="21"/>
        <v>187</v>
      </c>
      <c r="I22" s="208">
        <f t="shared" si="2"/>
        <v>4023.516129032258</v>
      </c>
      <c r="J22" s="208">
        <f t="shared" si="22"/>
        <v>187</v>
      </c>
      <c r="K22" s="208">
        <f t="shared" si="3"/>
        <v>4023.516129032258</v>
      </c>
      <c r="L22" s="208">
        <f t="shared" si="23"/>
        <v>187</v>
      </c>
      <c r="M22" s="208">
        <f t="shared" si="4"/>
        <v>4023.516129032258</v>
      </c>
      <c r="N22" s="208">
        <f t="shared" si="24"/>
        <v>187</v>
      </c>
      <c r="O22" s="208">
        <f t="shared" si="5"/>
        <v>4023.516129032258</v>
      </c>
      <c r="P22" s="208">
        <f t="shared" si="25"/>
        <v>187</v>
      </c>
      <c r="Q22" s="208">
        <f t="shared" si="6"/>
        <v>4023.516129032258</v>
      </c>
      <c r="R22" s="208">
        <f t="shared" si="26"/>
        <v>187</v>
      </c>
      <c r="S22" s="208">
        <f t="shared" si="7"/>
        <v>4023.516129032258</v>
      </c>
      <c r="T22" s="208">
        <f t="shared" si="27"/>
        <v>187</v>
      </c>
      <c r="U22" s="208">
        <f t="shared" si="8"/>
        <v>4023.516129032258</v>
      </c>
      <c r="V22" s="208">
        <f t="shared" si="28"/>
        <v>187</v>
      </c>
      <c r="W22" s="208">
        <f t="shared" si="9"/>
        <v>4023.516129032258</v>
      </c>
      <c r="X22" s="35">
        <f t="shared" si="10"/>
        <v>0.60322580645161294</v>
      </c>
      <c r="Y22" s="36">
        <f t="shared" si="29"/>
        <v>44258.677419354841</v>
      </c>
      <c r="Z22" s="208">
        <f>'B5'!C21</f>
        <v>193</v>
      </c>
      <c r="AA22" s="208">
        <f t="shared" si="30"/>
        <v>1930</v>
      </c>
      <c r="AB22" s="208">
        <f t="shared" si="31"/>
        <v>193</v>
      </c>
      <c r="AC22" s="208">
        <f t="shared" si="30"/>
        <v>1930</v>
      </c>
      <c r="AD22" s="208">
        <f t="shared" si="32"/>
        <v>193</v>
      </c>
      <c r="AE22" s="208">
        <f t="shared" si="11"/>
        <v>1930</v>
      </c>
      <c r="AF22" s="208">
        <f t="shared" si="33"/>
        <v>193</v>
      </c>
      <c r="AG22" s="208">
        <f t="shared" si="12"/>
        <v>1930</v>
      </c>
      <c r="AH22" s="208">
        <f t="shared" si="34"/>
        <v>193</v>
      </c>
      <c r="AI22" s="208">
        <f t="shared" si="13"/>
        <v>1930</v>
      </c>
      <c r="AJ22" s="208">
        <f t="shared" si="35"/>
        <v>193</v>
      </c>
      <c r="AK22" s="208">
        <f t="shared" si="14"/>
        <v>1930</v>
      </c>
      <c r="AL22" s="208">
        <f t="shared" si="36"/>
        <v>193</v>
      </c>
      <c r="AM22" s="208">
        <f t="shared" si="15"/>
        <v>1930</v>
      </c>
      <c r="AN22" s="35">
        <f t="shared" si="16"/>
        <v>0.68928571428571428</v>
      </c>
      <c r="AO22" s="36">
        <f t="shared" si="17"/>
        <v>13510</v>
      </c>
      <c r="AQ22" s="228">
        <f t="shared" si="37"/>
        <v>0.62136901601973582</v>
      </c>
      <c r="AR22" s="38">
        <f t="shared" si="43"/>
        <v>57768.677419354841</v>
      </c>
      <c r="AS22" s="202">
        <f t="shared" si="38"/>
        <v>-1263.2258064516063</v>
      </c>
      <c r="AT22" s="279">
        <v>4400</v>
      </c>
      <c r="AU22" s="473">
        <v>0.52700000000000002</v>
      </c>
      <c r="AV22" s="323">
        <f t="shared" si="41"/>
        <v>0.52700000000000002</v>
      </c>
      <c r="AW22" s="303">
        <f>-SUM('B5'!AI21)</f>
        <v>-787</v>
      </c>
      <c r="AX22" s="303">
        <f t="shared" si="39"/>
        <v>-476.22580645160633</v>
      </c>
      <c r="AY22" s="37">
        <f t="shared" si="40"/>
        <v>-1263.2258064516063</v>
      </c>
      <c r="AZ22" s="101">
        <f>ELEC!A19</f>
        <v>0.1522</v>
      </c>
      <c r="BA22" s="119">
        <f>'General information '!D22</f>
        <v>18</v>
      </c>
      <c r="BB22" s="209">
        <f>SUM('General information '!E22)</f>
        <v>0.55000000000000004</v>
      </c>
      <c r="BC22" s="3">
        <f t="shared" si="42"/>
        <v>1</v>
      </c>
      <c r="BD22" s="103">
        <v>19222</v>
      </c>
      <c r="BE22" s="14">
        <f>(305/1185)*ELEC!Q20</f>
        <v>580.40084388211881</v>
      </c>
      <c r="BF22" s="14"/>
      <c r="BG22" s="14" t="e">
        <f>#REF!-BE22</f>
        <v>#REF!</v>
      </c>
      <c r="BH22" s="11"/>
    </row>
    <row r="23" spans="1:61">
      <c r="A23" s="482">
        <f>ELEC!C20</f>
        <v>43817</v>
      </c>
      <c r="B23">
        <f>'B5'!B22</f>
        <v>225</v>
      </c>
      <c r="C23" s="208">
        <f t="shared" si="18"/>
        <v>4841.1290322580644</v>
      </c>
      <c r="D23">
        <f t="shared" si="19"/>
        <v>225</v>
      </c>
      <c r="E23" s="208">
        <f t="shared" si="18"/>
        <v>4841.1290322580644</v>
      </c>
      <c r="F23">
        <f t="shared" si="20"/>
        <v>225</v>
      </c>
      <c r="G23" s="208">
        <f t="shared" si="1"/>
        <v>4841.1290322580644</v>
      </c>
      <c r="H23" s="208">
        <f t="shared" si="21"/>
        <v>225</v>
      </c>
      <c r="I23" s="208">
        <f t="shared" si="2"/>
        <v>4841.1290322580644</v>
      </c>
      <c r="J23" s="208">
        <f t="shared" si="22"/>
        <v>225</v>
      </c>
      <c r="K23" s="208">
        <f t="shared" si="3"/>
        <v>4841.1290322580644</v>
      </c>
      <c r="L23" s="208">
        <f t="shared" si="23"/>
        <v>225</v>
      </c>
      <c r="M23" s="208">
        <f t="shared" si="4"/>
        <v>4841.1290322580644</v>
      </c>
      <c r="N23" s="208">
        <f t="shared" si="24"/>
        <v>225</v>
      </c>
      <c r="O23" s="208">
        <f t="shared" si="5"/>
        <v>4841.1290322580644</v>
      </c>
      <c r="P23" s="208">
        <f t="shared" si="25"/>
        <v>225</v>
      </c>
      <c r="Q23" s="208">
        <f t="shared" si="6"/>
        <v>4841.1290322580644</v>
      </c>
      <c r="R23" s="208">
        <f t="shared" si="26"/>
        <v>225</v>
      </c>
      <c r="S23" s="208">
        <f t="shared" si="7"/>
        <v>4841.1290322580644</v>
      </c>
      <c r="T23" s="208">
        <f t="shared" si="27"/>
        <v>225</v>
      </c>
      <c r="U23" s="208">
        <f t="shared" si="8"/>
        <v>4841.1290322580644</v>
      </c>
      <c r="V23" s="208">
        <f t="shared" si="28"/>
        <v>225</v>
      </c>
      <c r="W23" s="208">
        <f t="shared" si="9"/>
        <v>4841.1290322580644</v>
      </c>
      <c r="X23" s="35">
        <f t="shared" si="10"/>
        <v>0.72580645161290303</v>
      </c>
      <c r="Y23" s="36">
        <f t="shared" si="29"/>
        <v>53252.419354838697</v>
      </c>
      <c r="Z23" s="208">
        <f>'B5'!C22</f>
        <v>229</v>
      </c>
      <c r="AA23" s="208">
        <f t="shared" si="30"/>
        <v>2290</v>
      </c>
      <c r="AB23" s="208">
        <f t="shared" si="31"/>
        <v>229</v>
      </c>
      <c r="AC23" s="208">
        <f t="shared" si="30"/>
        <v>2290</v>
      </c>
      <c r="AD23" s="208">
        <f t="shared" si="32"/>
        <v>229</v>
      </c>
      <c r="AE23" s="208">
        <f t="shared" si="11"/>
        <v>2290</v>
      </c>
      <c r="AF23" s="208">
        <f t="shared" si="33"/>
        <v>229</v>
      </c>
      <c r="AG23" s="208">
        <f t="shared" si="12"/>
        <v>2290</v>
      </c>
      <c r="AH23" s="208">
        <f t="shared" si="34"/>
        <v>229</v>
      </c>
      <c r="AI23" s="208">
        <f t="shared" si="13"/>
        <v>2290</v>
      </c>
      <c r="AJ23" s="208">
        <f t="shared" si="35"/>
        <v>229</v>
      </c>
      <c r="AK23" s="208">
        <f t="shared" si="14"/>
        <v>2290</v>
      </c>
      <c r="AL23" s="208">
        <f t="shared" si="36"/>
        <v>229</v>
      </c>
      <c r="AM23" s="208">
        <f t="shared" si="15"/>
        <v>2290</v>
      </c>
      <c r="AN23" s="35">
        <f t="shared" si="16"/>
        <v>0.81785714285714284</v>
      </c>
      <c r="AO23" s="36">
        <f t="shared" si="17"/>
        <v>16030</v>
      </c>
      <c r="AQ23" s="228">
        <f t="shared" si="37"/>
        <v>0.74521264230223405</v>
      </c>
      <c r="AR23" s="38">
        <f t="shared" si="43"/>
        <v>69282.419354838697</v>
      </c>
      <c r="AS23" s="202">
        <f t="shared" si="38"/>
        <v>413.74193548385665</v>
      </c>
      <c r="AT23" s="279">
        <v>11100</v>
      </c>
      <c r="AU23" s="473">
        <v>0.53</v>
      </c>
      <c r="AV23" s="323">
        <f t="shared" si="41"/>
        <v>0.53</v>
      </c>
      <c r="AW23" s="303">
        <f>-SUM('B5'!AI22)</f>
        <v>-816.59999999999127</v>
      </c>
      <c r="AX23" s="303">
        <f t="shared" si="39"/>
        <v>1230.3419354838479</v>
      </c>
      <c r="AY23" s="37">
        <f t="shared" si="40"/>
        <v>413.74193548385665</v>
      </c>
      <c r="AZ23" s="101">
        <f>ELEC!A20</f>
        <v>0.1696</v>
      </c>
      <c r="BA23" s="119">
        <f>'General information '!D23</f>
        <v>18</v>
      </c>
      <c r="BB23" s="209">
        <f>SUM('General information '!E23)</f>
        <v>0.6</v>
      </c>
      <c r="BC23" s="3">
        <f t="shared" si="42"/>
        <v>1</v>
      </c>
      <c r="BD23" s="103">
        <v>19222</v>
      </c>
      <c r="BE23" s="14">
        <f>(305/1185)*ELEC!Q21</f>
        <v>538.70464134993756</v>
      </c>
      <c r="BF23" s="14"/>
      <c r="BG23" s="14" t="e">
        <f>#REF!-BE23</f>
        <v>#REF!</v>
      </c>
      <c r="BH23" s="11"/>
    </row>
    <row r="24" spans="1:61">
      <c r="A24" s="482">
        <f>ELEC!C21</f>
        <v>43818</v>
      </c>
      <c r="B24">
        <f>'B5'!B23</f>
        <v>222</v>
      </c>
      <c r="C24" s="208">
        <f t="shared" si="18"/>
        <v>4776.5806451612898</v>
      </c>
      <c r="D24">
        <f t="shared" si="19"/>
        <v>222</v>
      </c>
      <c r="E24" s="208">
        <f t="shared" si="18"/>
        <v>4776.5806451612898</v>
      </c>
      <c r="F24">
        <f t="shared" si="20"/>
        <v>222</v>
      </c>
      <c r="G24" s="208">
        <f t="shared" si="1"/>
        <v>4776.5806451612898</v>
      </c>
      <c r="H24" s="208">
        <f t="shared" si="21"/>
        <v>222</v>
      </c>
      <c r="I24" s="208">
        <f t="shared" si="2"/>
        <v>4776.5806451612898</v>
      </c>
      <c r="J24" s="208">
        <f t="shared" si="22"/>
        <v>222</v>
      </c>
      <c r="K24" s="208">
        <f t="shared" si="3"/>
        <v>4776.5806451612898</v>
      </c>
      <c r="L24" s="208">
        <f t="shared" si="23"/>
        <v>222</v>
      </c>
      <c r="M24" s="208">
        <f t="shared" si="4"/>
        <v>4776.5806451612898</v>
      </c>
      <c r="N24" s="208">
        <f t="shared" si="24"/>
        <v>222</v>
      </c>
      <c r="O24" s="208">
        <f t="shared" si="5"/>
        <v>4776.5806451612898</v>
      </c>
      <c r="P24" s="208">
        <f t="shared" si="25"/>
        <v>222</v>
      </c>
      <c r="Q24" s="208">
        <f t="shared" si="6"/>
        <v>4776.5806451612898</v>
      </c>
      <c r="R24" s="208">
        <f t="shared" si="26"/>
        <v>222</v>
      </c>
      <c r="S24" s="208">
        <f t="shared" si="7"/>
        <v>4776.5806451612898</v>
      </c>
      <c r="T24" s="208">
        <f t="shared" si="27"/>
        <v>222</v>
      </c>
      <c r="U24" s="208">
        <f t="shared" si="8"/>
        <v>4776.5806451612898</v>
      </c>
      <c r="V24" s="208">
        <f t="shared" si="28"/>
        <v>222</v>
      </c>
      <c r="W24" s="208">
        <f t="shared" si="9"/>
        <v>4776.5806451612898</v>
      </c>
      <c r="X24" s="35">
        <f t="shared" si="10"/>
        <v>0.71612903225806424</v>
      </c>
      <c r="Y24" s="36">
        <f t="shared" si="29"/>
        <v>52542.387096774175</v>
      </c>
      <c r="Z24" s="208">
        <f>'B5'!C23</f>
        <v>207</v>
      </c>
      <c r="AA24" s="208">
        <f t="shared" si="30"/>
        <v>2070</v>
      </c>
      <c r="AB24" s="208">
        <f t="shared" si="31"/>
        <v>207</v>
      </c>
      <c r="AC24" s="208">
        <f t="shared" si="30"/>
        <v>2070</v>
      </c>
      <c r="AD24" s="208">
        <f t="shared" si="32"/>
        <v>207</v>
      </c>
      <c r="AE24" s="208">
        <f t="shared" si="11"/>
        <v>2070</v>
      </c>
      <c r="AF24" s="208">
        <f t="shared" si="33"/>
        <v>207</v>
      </c>
      <c r="AG24" s="208">
        <f t="shared" si="12"/>
        <v>2070</v>
      </c>
      <c r="AH24" s="208">
        <f t="shared" si="34"/>
        <v>207</v>
      </c>
      <c r="AI24" s="208">
        <f t="shared" si="13"/>
        <v>2070</v>
      </c>
      <c r="AJ24" s="208">
        <f t="shared" si="35"/>
        <v>207</v>
      </c>
      <c r="AK24" s="208">
        <f t="shared" si="14"/>
        <v>2070</v>
      </c>
      <c r="AL24" s="208">
        <f t="shared" si="36"/>
        <v>207</v>
      </c>
      <c r="AM24" s="208">
        <f t="shared" si="15"/>
        <v>2070</v>
      </c>
      <c r="AN24" s="35">
        <f t="shared" si="16"/>
        <v>0.73928571428571432</v>
      </c>
      <c r="AO24" s="36">
        <f t="shared" si="17"/>
        <v>14490</v>
      </c>
      <c r="AQ24" s="228">
        <f t="shared" si="37"/>
        <v>0.72101094005350308</v>
      </c>
      <c r="AR24" s="38">
        <f t="shared" si="43"/>
        <v>67032.387096774182</v>
      </c>
      <c r="AS24" s="202">
        <f t="shared" si="38"/>
        <v>-2250.0322580645152</v>
      </c>
      <c r="AT24" s="279"/>
      <c r="AU24" s="473"/>
      <c r="AV24" s="323">
        <f t="shared" si="41"/>
        <v>0.53</v>
      </c>
      <c r="AW24" s="303">
        <f>-SUM('B5'!AI23)</f>
        <v>-1143.6999999999971</v>
      </c>
      <c r="AX24" s="303">
        <f t="shared" si="39"/>
        <v>-1106.3322580645181</v>
      </c>
      <c r="AY24" s="37">
        <f t="shared" si="40"/>
        <v>-2250.0322580645152</v>
      </c>
      <c r="AZ24" s="101">
        <f>ELEC!A21</f>
        <v>0.1739</v>
      </c>
      <c r="BA24" s="119">
        <f>'General information '!D24</f>
        <v>18.5</v>
      </c>
      <c r="BB24" s="209">
        <f>SUM('General information '!E24)</f>
        <v>0.6</v>
      </c>
      <c r="BC24" s="3">
        <f t="shared" si="42"/>
        <v>0</v>
      </c>
      <c r="BD24" s="103">
        <v>19222</v>
      </c>
      <c r="BE24" s="14">
        <f>(305/1185)*ELEC!Q22</f>
        <v>688.24472573862511</v>
      </c>
      <c r="BF24" s="14"/>
      <c r="BG24" s="14" t="e">
        <f>#REF!-BE24</f>
        <v>#REF!</v>
      </c>
      <c r="BH24" s="11"/>
      <c r="BI24" t="s">
        <v>326</v>
      </c>
    </row>
    <row r="25" spans="1:61">
      <c r="A25" s="482">
        <f>ELEC!C22</f>
        <v>43819</v>
      </c>
      <c r="B25">
        <f>'B5'!B24</f>
        <v>219</v>
      </c>
      <c r="C25" s="208">
        <f t="shared" si="18"/>
        <v>4712.0322580645161</v>
      </c>
      <c r="D25">
        <f t="shared" si="19"/>
        <v>219</v>
      </c>
      <c r="E25" s="208">
        <f t="shared" si="18"/>
        <v>4712.0322580645161</v>
      </c>
      <c r="F25">
        <f t="shared" si="20"/>
        <v>219</v>
      </c>
      <c r="G25" s="208">
        <f t="shared" si="1"/>
        <v>4712.0322580645161</v>
      </c>
      <c r="H25" s="208">
        <f t="shared" si="21"/>
        <v>219</v>
      </c>
      <c r="I25" s="208">
        <f t="shared" si="2"/>
        <v>4712.0322580645161</v>
      </c>
      <c r="J25" s="208">
        <f t="shared" si="22"/>
        <v>219</v>
      </c>
      <c r="K25" s="208">
        <f t="shared" si="3"/>
        <v>4712.0322580645161</v>
      </c>
      <c r="L25" s="208">
        <f t="shared" si="23"/>
        <v>219</v>
      </c>
      <c r="M25" s="208">
        <f t="shared" si="4"/>
        <v>4712.0322580645161</v>
      </c>
      <c r="N25" s="208">
        <f t="shared" si="24"/>
        <v>219</v>
      </c>
      <c r="O25" s="208">
        <f t="shared" si="5"/>
        <v>4712.0322580645161</v>
      </c>
      <c r="P25" s="208">
        <f t="shared" si="25"/>
        <v>219</v>
      </c>
      <c r="Q25" s="208">
        <f t="shared" si="6"/>
        <v>4712.0322580645161</v>
      </c>
      <c r="R25" s="208">
        <f t="shared" si="26"/>
        <v>219</v>
      </c>
      <c r="S25" s="208">
        <f t="shared" si="7"/>
        <v>4712.0322580645161</v>
      </c>
      <c r="T25" s="208">
        <f t="shared" si="27"/>
        <v>219</v>
      </c>
      <c r="U25" s="208">
        <f t="shared" si="8"/>
        <v>4712.0322580645161</v>
      </c>
      <c r="V25" s="208">
        <f t="shared" si="28"/>
        <v>219</v>
      </c>
      <c r="W25" s="208">
        <f t="shared" si="9"/>
        <v>4712.0322580645161</v>
      </c>
      <c r="X25" s="35">
        <f t="shared" si="10"/>
        <v>0.70645161290322578</v>
      </c>
      <c r="Y25" s="36">
        <f t="shared" si="29"/>
        <v>51832.354838709674</v>
      </c>
      <c r="Z25" s="208">
        <f>'B5'!C24</f>
        <v>193</v>
      </c>
      <c r="AA25" s="208">
        <f t="shared" si="30"/>
        <v>1930</v>
      </c>
      <c r="AB25" s="208">
        <f t="shared" si="31"/>
        <v>193</v>
      </c>
      <c r="AC25" s="208">
        <f t="shared" si="30"/>
        <v>1930</v>
      </c>
      <c r="AD25" s="208">
        <f t="shared" si="32"/>
        <v>193</v>
      </c>
      <c r="AE25" s="208">
        <f t="shared" si="11"/>
        <v>1930</v>
      </c>
      <c r="AF25" s="208">
        <f t="shared" si="33"/>
        <v>193</v>
      </c>
      <c r="AG25" s="208">
        <f t="shared" si="12"/>
        <v>1930</v>
      </c>
      <c r="AH25" s="208">
        <f t="shared" si="34"/>
        <v>193</v>
      </c>
      <c r="AI25" s="208">
        <f t="shared" si="13"/>
        <v>1930</v>
      </c>
      <c r="AJ25" s="208">
        <f t="shared" si="35"/>
        <v>193</v>
      </c>
      <c r="AK25" s="208">
        <f t="shared" si="14"/>
        <v>1930</v>
      </c>
      <c r="AL25" s="208">
        <f t="shared" si="36"/>
        <v>193</v>
      </c>
      <c r="AM25" s="208">
        <f t="shared" si="15"/>
        <v>1930</v>
      </c>
      <c r="AN25" s="35">
        <f t="shared" si="16"/>
        <v>0.68928571428571428</v>
      </c>
      <c r="AO25" s="36">
        <f t="shared" si="17"/>
        <v>13510</v>
      </c>
      <c r="AQ25" s="228">
        <f t="shared" si="37"/>
        <v>0.70283268622899508</v>
      </c>
      <c r="AR25" s="38">
        <f t="shared" si="43"/>
        <v>65342.354838709674</v>
      </c>
      <c r="AS25" s="202">
        <f t="shared" si="38"/>
        <v>-1690.0322580645079</v>
      </c>
      <c r="AT25" s="279"/>
      <c r="AU25" s="473"/>
      <c r="AV25" s="323">
        <f t="shared" si="41"/>
        <v>0.53</v>
      </c>
      <c r="AW25" s="303">
        <f>-SUM('B5'!AI24)</f>
        <v>-705</v>
      </c>
      <c r="AX25" s="303">
        <f t="shared" si="39"/>
        <v>-985.03225806450791</v>
      </c>
      <c r="AY25" s="37">
        <f t="shared" si="40"/>
        <v>-1690.0322580645079</v>
      </c>
      <c r="AZ25" s="101">
        <f>ELEC!A22</f>
        <v>0.24779999999999999</v>
      </c>
      <c r="BA25" s="119">
        <f>'General information '!D25</f>
        <v>17</v>
      </c>
      <c r="BB25" s="209">
        <f>SUM('General information '!E25)</f>
        <v>0.57999999999999996</v>
      </c>
      <c r="BC25" s="3">
        <f t="shared" si="42"/>
        <v>0</v>
      </c>
      <c r="BD25" s="103">
        <v>19222</v>
      </c>
      <c r="BE25" s="14">
        <f>(305/1185)*ELEC!Q23</f>
        <v>634.45147679328647</v>
      </c>
      <c r="BF25" s="14"/>
      <c r="BG25" s="14" t="e">
        <f>#REF!-BE25</f>
        <v>#REF!</v>
      </c>
      <c r="BH25" s="11"/>
    </row>
    <row r="26" spans="1:61">
      <c r="A26" s="482">
        <f>ELEC!C23</f>
        <v>43820</v>
      </c>
      <c r="B26">
        <f>'B5'!B25</f>
        <v>216</v>
      </c>
      <c r="C26" s="208">
        <f t="shared" si="18"/>
        <v>4647.4838709677415</v>
      </c>
      <c r="D26">
        <f t="shared" si="19"/>
        <v>216</v>
      </c>
      <c r="E26" s="208">
        <f t="shared" si="18"/>
        <v>4647.4838709677415</v>
      </c>
      <c r="F26">
        <f t="shared" si="20"/>
        <v>216</v>
      </c>
      <c r="G26" s="208">
        <f t="shared" si="1"/>
        <v>4647.4838709677415</v>
      </c>
      <c r="H26" s="208">
        <f t="shared" si="21"/>
        <v>216</v>
      </c>
      <c r="I26" s="208">
        <f t="shared" si="2"/>
        <v>4647.4838709677415</v>
      </c>
      <c r="J26" s="208">
        <f t="shared" si="22"/>
        <v>216</v>
      </c>
      <c r="K26" s="208">
        <f t="shared" si="3"/>
        <v>4647.4838709677415</v>
      </c>
      <c r="L26" s="208">
        <f t="shared" si="23"/>
        <v>216</v>
      </c>
      <c r="M26" s="208">
        <f t="shared" si="4"/>
        <v>4647.4838709677415</v>
      </c>
      <c r="N26" s="208">
        <f t="shared" si="24"/>
        <v>216</v>
      </c>
      <c r="O26" s="208">
        <f t="shared" si="5"/>
        <v>4647.4838709677415</v>
      </c>
      <c r="P26" s="208">
        <f t="shared" si="25"/>
        <v>216</v>
      </c>
      <c r="Q26" s="208">
        <f t="shared" si="6"/>
        <v>4647.4838709677415</v>
      </c>
      <c r="R26" s="208">
        <f t="shared" si="26"/>
        <v>216</v>
      </c>
      <c r="S26" s="208">
        <f t="shared" si="7"/>
        <v>4647.4838709677415</v>
      </c>
      <c r="T26" s="208">
        <f t="shared" si="27"/>
        <v>216</v>
      </c>
      <c r="U26" s="208">
        <f t="shared" si="8"/>
        <v>4647.4838709677415</v>
      </c>
      <c r="V26" s="208">
        <f t="shared" si="28"/>
        <v>216</v>
      </c>
      <c r="W26" s="208">
        <f t="shared" si="9"/>
        <v>4647.4838709677415</v>
      </c>
      <c r="X26" s="35">
        <f t="shared" si="10"/>
        <v>0.6967741935483871</v>
      </c>
      <c r="Y26" s="36">
        <f t="shared" si="29"/>
        <v>51122.322580645159</v>
      </c>
      <c r="Z26" s="208">
        <f>'B5'!C25</f>
        <v>179</v>
      </c>
      <c r="AA26" s="208">
        <f t="shared" si="30"/>
        <v>1790</v>
      </c>
      <c r="AB26" s="208">
        <f t="shared" si="31"/>
        <v>179</v>
      </c>
      <c r="AC26" s="208">
        <f t="shared" si="30"/>
        <v>1790</v>
      </c>
      <c r="AD26" s="208">
        <f t="shared" si="32"/>
        <v>179</v>
      </c>
      <c r="AE26" s="208">
        <f t="shared" si="11"/>
        <v>1790</v>
      </c>
      <c r="AF26" s="208">
        <f t="shared" si="33"/>
        <v>179</v>
      </c>
      <c r="AG26" s="208">
        <f t="shared" si="12"/>
        <v>1790</v>
      </c>
      <c r="AH26" s="208">
        <f t="shared" si="34"/>
        <v>179</v>
      </c>
      <c r="AI26" s="208">
        <f t="shared" si="13"/>
        <v>1790</v>
      </c>
      <c r="AJ26" s="208">
        <f t="shared" si="35"/>
        <v>179</v>
      </c>
      <c r="AK26" s="208">
        <f t="shared" si="14"/>
        <v>1790</v>
      </c>
      <c r="AL26" s="208">
        <f t="shared" si="36"/>
        <v>179</v>
      </c>
      <c r="AM26" s="208">
        <f t="shared" si="15"/>
        <v>1790</v>
      </c>
      <c r="AN26" s="35">
        <f t="shared" si="16"/>
        <v>0.63928571428571423</v>
      </c>
      <c r="AO26" s="36">
        <f t="shared" si="17"/>
        <v>12530</v>
      </c>
      <c r="AQ26" s="228">
        <f t="shared" si="37"/>
        <v>0.68465443240448698</v>
      </c>
      <c r="AR26" s="38">
        <f t="shared" si="43"/>
        <v>63652.322580645159</v>
      </c>
      <c r="AS26" s="202">
        <f t="shared" si="38"/>
        <v>-1690.0322580645152</v>
      </c>
      <c r="AT26" s="279"/>
      <c r="AU26" s="473"/>
      <c r="AV26" s="323">
        <f t="shared" si="41"/>
        <v>0.53</v>
      </c>
      <c r="AW26" s="303">
        <f>-SUM('B5'!AI25)</f>
        <v>-814</v>
      </c>
      <c r="AX26" s="303">
        <f t="shared" si="39"/>
        <v>-876.03225806451519</v>
      </c>
      <c r="AY26" s="37">
        <f t="shared" si="40"/>
        <v>-1690.0322580645152</v>
      </c>
      <c r="AZ26" s="101">
        <f>ELEC!A23</f>
        <v>0.18260000000000001</v>
      </c>
      <c r="BA26" s="119">
        <f>'General information '!D26</f>
        <v>17</v>
      </c>
      <c r="BB26" s="209">
        <f>SUM('General information '!E26)</f>
        <v>0.55000000000000004</v>
      </c>
      <c r="BC26" s="3">
        <f t="shared" si="42"/>
        <v>0</v>
      </c>
      <c r="BD26" s="103">
        <v>19222</v>
      </c>
      <c r="BE26" s="14">
        <f>(305/1185)*ELEC!Q24</f>
        <v>518.37130801667547</v>
      </c>
      <c r="BF26" s="14"/>
      <c r="BG26" s="14" t="e">
        <f>#REF!-BE26</f>
        <v>#REF!</v>
      </c>
      <c r="BH26" s="11"/>
    </row>
    <row r="27" spans="1:61">
      <c r="A27" s="482">
        <f>ELEC!C24</f>
        <v>43821</v>
      </c>
      <c r="B27">
        <f>'B5'!B26</f>
        <v>213</v>
      </c>
      <c r="C27" s="208">
        <f t="shared" si="18"/>
        <v>4582.9354838709678</v>
      </c>
      <c r="D27">
        <f t="shared" si="19"/>
        <v>213</v>
      </c>
      <c r="E27" s="208">
        <f t="shared" si="18"/>
        <v>4582.9354838709678</v>
      </c>
      <c r="F27">
        <f t="shared" si="20"/>
        <v>213</v>
      </c>
      <c r="G27" s="208">
        <f t="shared" si="1"/>
        <v>4582.9354838709678</v>
      </c>
      <c r="H27" s="208">
        <f t="shared" si="21"/>
        <v>213</v>
      </c>
      <c r="I27" s="208">
        <f t="shared" si="2"/>
        <v>4582.9354838709678</v>
      </c>
      <c r="J27" s="208">
        <f t="shared" si="22"/>
        <v>213</v>
      </c>
      <c r="K27" s="208">
        <f t="shared" si="3"/>
        <v>4582.9354838709678</v>
      </c>
      <c r="L27" s="208">
        <f t="shared" si="23"/>
        <v>213</v>
      </c>
      <c r="M27" s="208">
        <f t="shared" si="4"/>
        <v>4582.9354838709678</v>
      </c>
      <c r="N27" s="208">
        <f t="shared" si="24"/>
        <v>213</v>
      </c>
      <c r="O27" s="208">
        <f t="shared" si="5"/>
        <v>4582.9354838709678</v>
      </c>
      <c r="P27" s="208">
        <f t="shared" si="25"/>
        <v>213</v>
      </c>
      <c r="Q27" s="208">
        <f t="shared" si="6"/>
        <v>4582.9354838709678</v>
      </c>
      <c r="R27" s="208">
        <f t="shared" si="26"/>
        <v>213</v>
      </c>
      <c r="S27" s="208">
        <f t="shared" si="7"/>
        <v>4582.9354838709678</v>
      </c>
      <c r="T27" s="208">
        <f t="shared" si="27"/>
        <v>213</v>
      </c>
      <c r="U27" s="208">
        <f t="shared" si="8"/>
        <v>4582.9354838709678</v>
      </c>
      <c r="V27" s="208">
        <f t="shared" si="28"/>
        <v>213</v>
      </c>
      <c r="W27" s="208">
        <f t="shared" si="9"/>
        <v>4582.9354838709678</v>
      </c>
      <c r="X27" s="35">
        <f t="shared" si="10"/>
        <v>0.68709677419354853</v>
      </c>
      <c r="Y27" s="36">
        <f t="shared" si="29"/>
        <v>50412.290322580659</v>
      </c>
      <c r="Z27" s="208">
        <f>'B5'!C26</f>
        <v>166</v>
      </c>
      <c r="AA27" s="208">
        <f t="shared" si="30"/>
        <v>1660</v>
      </c>
      <c r="AB27" s="208">
        <f t="shared" si="31"/>
        <v>166</v>
      </c>
      <c r="AC27" s="208">
        <f t="shared" si="30"/>
        <v>1660</v>
      </c>
      <c r="AD27" s="208">
        <f t="shared" si="32"/>
        <v>166</v>
      </c>
      <c r="AE27" s="208">
        <f t="shared" si="11"/>
        <v>1660</v>
      </c>
      <c r="AF27" s="208">
        <f t="shared" si="33"/>
        <v>166</v>
      </c>
      <c r="AG27" s="208">
        <f t="shared" si="12"/>
        <v>1660</v>
      </c>
      <c r="AH27" s="208">
        <f t="shared" si="34"/>
        <v>166</v>
      </c>
      <c r="AI27" s="208">
        <f t="shared" si="13"/>
        <v>1660</v>
      </c>
      <c r="AJ27" s="208">
        <f t="shared" si="35"/>
        <v>166</v>
      </c>
      <c r="AK27" s="208">
        <f t="shared" si="14"/>
        <v>1660</v>
      </c>
      <c r="AL27" s="208">
        <f t="shared" si="36"/>
        <v>166</v>
      </c>
      <c r="AM27" s="208">
        <f t="shared" si="15"/>
        <v>1660</v>
      </c>
      <c r="AN27" s="35">
        <f t="shared" si="16"/>
        <v>0.59285714285714286</v>
      </c>
      <c r="AO27" s="36">
        <f t="shared" si="17"/>
        <v>11620</v>
      </c>
      <c r="AQ27" s="228">
        <f t="shared" si="37"/>
        <v>0.66722910963300697</v>
      </c>
      <c r="AR27" s="38">
        <f t="shared" si="43"/>
        <v>62032.290322580659</v>
      </c>
      <c r="AS27" s="202">
        <f t="shared" si="38"/>
        <v>-1620.0322580645006</v>
      </c>
      <c r="AT27" s="279"/>
      <c r="AU27" s="473"/>
      <c r="AV27" s="323">
        <f t="shared" si="41"/>
        <v>0.53</v>
      </c>
      <c r="AW27" s="303">
        <f>-SUM('B5'!AI26)</f>
        <v>-758.60000000000582</v>
      </c>
      <c r="AX27" s="303">
        <f t="shared" si="39"/>
        <v>-861.43225806449482</v>
      </c>
      <c r="AY27" s="37">
        <f t="shared" si="40"/>
        <v>-1620.0322580645006</v>
      </c>
      <c r="AZ27" s="101">
        <f>ELEC!A24</f>
        <v>0.26090000000000002</v>
      </c>
      <c r="BA27" s="119">
        <f>'General information '!D27</f>
        <v>17</v>
      </c>
      <c r="BB27" s="209">
        <f>SUM('General information '!E27)</f>
        <v>0.55000000000000004</v>
      </c>
      <c r="BC27" s="3">
        <f t="shared" si="42"/>
        <v>0</v>
      </c>
      <c r="BD27" s="103">
        <v>19222</v>
      </c>
      <c r="BE27" s="14">
        <f>(305/1185)*ELEC!Q25</f>
        <v>849.8818565400021</v>
      </c>
      <c r="BF27" s="14"/>
      <c r="BG27" s="14" t="e">
        <f>#REF!-BE27</f>
        <v>#REF!</v>
      </c>
      <c r="BH27" s="11"/>
    </row>
    <row r="28" spans="1:61">
      <c r="A28" s="482">
        <f>ELEC!C25</f>
        <v>43822</v>
      </c>
      <c r="B28">
        <f>'B5'!B27</f>
        <v>209</v>
      </c>
      <c r="C28" s="208">
        <f t="shared" si="18"/>
        <v>4496.8709677419356</v>
      </c>
      <c r="D28">
        <f t="shared" si="19"/>
        <v>209</v>
      </c>
      <c r="E28" s="208">
        <f t="shared" si="18"/>
        <v>4496.8709677419356</v>
      </c>
      <c r="F28">
        <f t="shared" si="20"/>
        <v>209</v>
      </c>
      <c r="G28" s="208">
        <f t="shared" si="1"/>
        <v>4496.8709677419356</v>
      </c>
      <c r="H28" s="208">
        <f t="shared" si="21"/>
        <v>209</v>
      </c>
      <c r="I28" s="208">
        <f t="shared" si="2"/>
        <v>4496.8709677419356</v>
      </c>
      <c r="J28" s="208">
        <f t="shared" si="22"/>
        <v>209</v>
      </c>
      <c r="K28" s="208">
        <f t="shared" si="3"/>
        <v>4496.8709677419356</v>
      </c>
      <c r="L28" s="208">
        <f t="shared" si="23"/>
        <v>209</v>
      </c>
      <c r="M28" s="208">
        <f t="shared" si="4"/>
        <v>4496.8709677419356</v>
      </c>
      <c r="N28" s="208">
        <f t="shared" si="24"/>
        <v>209</v>
      </c>
      <c r="O28" s="208">
        <f t="shared" si="5"/>
        <v>4496.8709677419356</v>
      </c>
      <c r="P28" s="208">
        <f t="shared" si="25"/>
        <v>209</v>
      </c>
      <c r="Q28" s="208">
        <f t="shared" si="6"/>
        <v>4496.8709677419356</v>
      </c>
      <c r="R28" s="208">
        <f t="shared" si="26"/>
        <v>209</v>
      </c>
      <c r="S28" s="208">
        <f t="shared" si="7"/>
        <v>4496.8709677419356</v>
      </c>
      <c r="T28" s="208">
        <f t="shared" si="27"/>
        <v>209</v>
      </c>
      <c r="U28" s="208">
        <f t="shared" si="8"/>
        <v>4496.8709677419356</v>
      </c>
      <c r="V28" s="208">
        <f t="shared" si="28"/>
        <v>209</v>
      </c>
      <c r="W28" s="208">
        <f t="shared" si="9"/>
        <v>4496.8709677419356</v>
      </c>
      <c r="X28" s="35">
        <f t="shared" si="10"/>
        <v>0.67419354838709689</v>
      </c>
      <c r="Y28" s="36">
        <f t="shared" si="29"/>
        <v>49465.580645161303</v>
      </c>
      <c r="Z28" s="208">
        <f>'B5'!C27</f>
        <v>145</v>
      </c>
      <c r="AA28" s="208">
        <f t="shared" si="30"/>
        <v>1450</v>
      </c>
      <c r="AB28" s="208">
        <f t="shared" si="31"/>
        <v>145</v>
      </c>
      <c r="AC28" s="208">
        <f t="shared" si="30"/>
        <v>1450</v>
      </c>
      <c r="AD28" s="208">
        <f t="shared" si="32"/>
        <v>145</v>
      </c>
      <c r="AE28" s="208">
        <f t="shared" si="11"/>
        <v>1450</v>
      </c>
      <c r="AF28" s="208">
        <f t="shared" si="33"/>
        <v>145</v>
      </c>
      <c r="AG28" s="208">
        <f t="shared" si="12"/>
        <v>1450</v>
      </c>
      <c r="AH28" s="208">
        <f t="shared" si="34"/>
        <v>145</v>
      </c>
      <c r="AI28" s="208">
        <f t="shared" si="13"/>
        <v>1450</v>
      </c>
      <c r="AJ28" s="208">
        <f t="shared" si="35"/>
        <v>145</v>
      </c>
      <c r="AK28" s="208">
        <f t="shared" si="14"/>
        <v>1450</v>
      </c>
      <c r="AL28" s="208">
        <f t="shared" si="36"/>
        <v>145</v>
      </c>
      <c r="AM28" s="208">
        <f t="shared" si="15"/>
        <v>1450</v>
      </c>
      <c r="AN28" s="35">
        <f t="shared" si="16"/>
        <v>0.5178571428571429</v>
      </c>
      <c r="AO28" s="36">
        <f t="shared" si="17"/>
        <v>10150</v>
      </c>
      <c r="AQ28" s="228">
        <f t="shared" si="37"/>
        <v>0.64123459874326449</v>
      </c>
      <c r="AR28" s="38">
        <f t="shared" si="43"/>
        <v>59615.580645161303</v>
      </c>
      <c r="AS28" s="202">
        <f t="shared" si="38"/>
        <v>-2416.709677419356</v>
      </c>
      <c r="AT28" s="378"/>
      <c r="AU28" s="473"/>
      <c r="AV28" s="323">
        <f t="shared" si="41"/>
        <v>0.53</v>
      </c>
      <c r="AW28" s="303">
        <f>-SUM('B5'!AI27)</f>
        <v>-1095.3000000000029</v>
      </c>
      <c r="AX28" s="303">
        <f t="shared" si="39"/>
        <v>-1321.4096774193531</v>
      </c>
      <c r="AY28" s="37">
        <f t="shared" si="40"/>
        <v>-2416.709677419356</v>
      </c>
      <c r="AZ28" s="101">
        <f>ELEC!A25</f>
        <v>0.25650000000000001</v>
      </c>
      <c r="BA28" s="119">
        <f>'General information '!D28</f>
        <v>17.5</v>
      </c>
      <c r="BB28" s="209">
        <f>SUM('General information '!E28)</f>
        <v>0.55000000000000004</v>
      </c>
      <c r="BC28" s="3">
        <f t="shared" si="42"/>
        <v>0</v>
      </c>
      <c r="BD28" s="103">
        <v>19222</v>
      </c>
      <c r="BE28" s="14">
        <f>(305/1185)*ELEC!Q26</f>
        <v>510.64978902963327</v>
      </c>
      <c r="BF28" s="14"/>
      <c r="BG28" s="14" t="e">
        <f>#REF!-BE28</f>
        <v>#REF!</v>
      </c>
      <c r="BH28" s="11"/>
    </row>
    <row r="29" spans="1:61">
      <c r="A29" s="482">
        <f>ELEC!C26</f>
        <v>43823</v>
      </c>
      <c r="B29">
        <f>'B5'!B28</f>
        <v>206</v>
      </c>
      <c r="C29" s="208">
        <f t="shared" si="18"/>
        <v>4432.322580645161</v>
      </c>
      <c r="D29">
        <f t="shared" si="19"/>
        <v>206</v>
      </c>
      <c r="E29" s="208">
        <f t="shared" si="18"/>
        <v>4432.322580645161</v>
      </c>
      <c r="F29">
        <f t="shared" si="20"/>
        <v>206</v>
      </c>
      <c r="G29" s="208">
        <f t="shared" si="1"/>
        <v>4432.322580645161</v>
      </c>
      <c r="H29" s="208">
        <f t="shared" si="21"/>
        <v>206</v>
      </c>
      <c r="I29" s="208">
        <f t="shared" si="2"/>
        <v>4432.322580645161</v>
      </c>
      <c r="J29" s="208">
        <f t="shared" si="22"/>
        <v>206</v>
      </c>
      <c r="K29" s="208">
        <f t="shared" si="3"/>
        <v>4432.322580645161</v>
      </c>
      <c r="L29" s="208">
        <f t="shared" si="23"/>
        <v>206</v>
      </c>
      <c r="M29" s="208">
        <f t="shared" si="4"/>
        <v>4432.322580645161</v>
      </c>
      <c r="N29" s="208">
        <f t="shared" si="24"/>
        <v>206</v>
      </c>
      <c r="O29" s="208">
        <f t="shared" si="5"/>
        <v>4432.322580645161</v>
      </c>
      <c r="P29" s="208">
        <f t="shared" si="25"/>
        <v>206</v>
      </c>
      <c r="Q29" s="208">
        <f t="shared" si="6"/>
        <v>4432.322580645161</v>
      </c>
      <c r="R29" s="208">
        <f t="shared" si="26"/>
        <v>206</v>
      </c>
      <c r="S29" s="208">
        <f t="shared" si="7"/>
        <v>4432.322580645161</v>
      </c>
      <c r="T29" s="208">
        <f t="shared" si="27"/>
        <v>206</v>
      </c>
      <c r="U29" s="208">
        <f t="shared" si="8"/>
        <v>4432.322580645161</v>
      </c>
      <c r="V29" s="208">
        <f t="shared" si="28"/>
        <v>206</v>
      </c>
      <c r="W29" s="208">
        <f t="shared" si="9"/>
        <v>4432.322580645161</v>
      </c>
      <c r="X29" s="35">
        <f t="shared" si="10"/>
        <v>0.66451612903225787</v>
      </c>
      <c r="Y29" s="36">
        <f t="shared" si="29"/>
        <v>48755.548387096758</v>
      </c>
      <c r="Z29" s="208">
        <f>'B5'!C28</f>
        <v>136</v>
      </c>
      <c r="AA29" s="208">
        <f t="shared" si="30"/>
        <v>1360</v>
      </c>
      <c r="AB29" s="208">
        <f t="shared" si="31"/>
        <v>136</v>
      </c>
      <c r="AC29" s="208">
        <f t="shared" si="30"/>
        <v>1360</v>
      </c>
      <c r="AD29" s="208">
        <f t="shared" si="32"/>
        <v>136</v>
      </c>
      <c r="AE29" s="208">
        <f t="shared" si="11"/>
        <v>1360</v>
      </c>
      <c r="AF29" s="208">
        <f t="shared" si="33"/>
        <v>136</v>
      </c>
      <c r="AG29" s="208">
        <f t="shared" si="12"/>
        <v>1360</v>
      </c>
      <c r="AH29" s="208">
        <f t="shared" si="34"/>
        <v>136</v>
      </c>
      <c r="AI29" s="208">
        <f t="shared" si="13"/>
        <v>1360</v>
      </c>
      <c r="AJ29" s="208">
        <f t="shared" si="35"/>
        <v>136</v>
      </c>
      <c r="AK29" s="208">
        <f t="shared" si="14"/>
        <v>1360</v>
      </c>
      <c r="AL29" s="208">
        <f t="shared" si="36"/>
        <v>136</v>
      </c>
      <c r="AM29" s="208">
        <f t="shared" si="15"/>
        <v>1360</v>
      </c>
      <c r="AN29" s="35">
        <f t="shared" si="16"/>
        <v>0.48571428571428571</v>
      </c>
      <c r="AO29" s="36">
        <f t="shared" si="17"/>
        <v>9520</v>
      </c>
      <c r="AQ29" s="228">
        <f t="shared" si="37"/>
        <v>0.62682100018389542</v>
      </c>
      <c r="AR29" s="38">
        <f t="shared" ref="AR29:AR36" si="44">SUM(AO29+Y29)</f>
        <v>58275.548387096758</v>
      </c>
      <c r="AS29" s="202">
        <f t="shared" si="38"/>
        <v>-1340.0322580645443</v>
      </c>
      <c r="AT29" s="378"/>
      <c r="AU29" s="473"/>
      <c r="AV29" s="323">
        <f t="shared" si="41"/>
        <v>0.53</v>
      </c>
      <c r="AW29" s="303">
        <f>-SUM('B5'!AI28)</f>
        <v>-548</v>
      </c>
      <c r="AX29" s="303">
        <f t="shared" si="39"/>
        <v>-792.03225806454429</v>
      </c>
      <c r="AY29" s="37">
        <f t="shared" si="40"/>
        <v>-1340.0322580645443</v>
      </c>
      <c r="AZ29" s="101">
        <f>ELEC!A26</f>
        <v>0.21740000000000001</v>
      </c>
      <c r="BA29" s="119">
        <f>'General information '!D29</f>
        <v>17</v>
      </c>
      <c r="BB29" s="209">
        <f>SUM('General information '!E29)</f>
        <v>0.54</v>
      </c>
      <c r="BC29" s="3">
        <f t="shared" si="42"/>
        <v>0</v>
      </c>
      <c r="BD29" s="103">
        <v>19222</v>
      </c>
      <c r="BE29" s="14">
        <f>(305/1185)*ELEC!Q27</f>
        <v>772.15189873417728</v>
      </c>
      <c r="BF29" s="14"/>
      <c r="BG29" s="14" t="e">
        <f>#REF!-BE29</f>
        <v>#REF!</v>
      </c>
      <c r="BH29" s="11"/>
    </row>
    <row r="30" spans="1:61">
      <c r="A30" s="482">
        <f>ELEC!C27</f>
        <v>43824</v>
      </c>
      <c r="B30">
        <f>'B5'!B29</f>
        <v>202</v>
      </c>
      <c r="C30" s="208">
        <f t="shared" si="18"/>
        <v>4346.2580645161288</v>
      </c>
      <c r="D30">
        <f t="shared" ref="D30:D35" si="45">SUM(B30)</f>
        <v>202</v>
      </c>
      <c r="E30" s="208">
        <f t="shared" si="18"/>
        <v>4346.2580645161288</v>
      </c>
      <c r="F30">
        <f t="shared" ref="F30:F35" si="46">SUM(D30)</f>
        <v>202</v>
      </c>
      <c r="G30" s="208">
        <f t="shared" si="1"/>
        <v>4346.2580645161288</v>
      </c>
      <c r="H30" s="208">
        <f t="shared" ref="H30:H35" si="47">SUM(F30)</f>
        <v>202</v>
      </c>
      <c r="I30" s="208">
        <f t="shared" si="2"/>
        <v>4346.2580645161288</v>
      </c>
      <c r="J30" s="208">
        <f t="shared" ref="J30:J35" si="48">SUM(H30)</f>
        <v>202</v>
      </c>
      <c r="K30" s="208">
        <f t="shared" si="3"/>
        <v>4346.2580645161288</v>
      </c>
      <c r="L30" s="208">
        <f t="shared" ref="L30:L35" si="49">SUM(J30)</f>
        <v>202</v>
      </c>
      <c r="M30" s="208">
        <f t="shared" si="4"/>
        <v>4346.2580645161288</v>
      </c>
      <c r="N30" s="208">
        <f t="shared" ref="N30:N35" si="50">SUM(L30)</f>
        <v>202</v>
      </c>
      <c r="O30" s="208">
        <f t="shared" si="5"/>
        <v>4346.2580645161288</v>
      </c>
      <c r="P30" s="208">
        <f t="shared" ref="P30:P35" si="51">SUM(N30)</f>
        <v>202</v>
      </c>
      <c r="Q30" s="208">
        <f t="shared" si="6"/>
        <v>4346.2580645161288</v>
      </c>
      <c r="R30" s="208">
        <f t="shared" ref="R30:R35" si="52">SUM(P30)</f>
        <v>202</v>
      </c>
      <c r="S30" s="208">
        <f t="shared" si="7"/>
        <v>4346.2580645161288</v>
      </c>
      <c r="T30" s="208">
        <f t="shared" ref="T30:T35" si="53">SUM(R30)</f>
        <v>202</v>
      </c>
      <c r="U30" s="208">
        <f t="shared" si="8"/>
        <v>4346.2580645161288</v>
      </c>
      <c r="V30" s="208">
        <f t="shared" ref="V30:V35" si="54">SUM(T30)</f>
        <v>202</v>
      </c>
      <c r="W30" s="208">
        <f t="shared" si="9"/>
        <v>4346.2580645161288</v>
      </c>
      <c r="X30" s="35">
        <f t="shared" ref="X30:X35" si="55">SUM(Y30/73370)</f>
        <v>0.65161290322580645</v>
      </c>
      <c r="Y30" s="36">
        <f t="shared" ref="Y30:Y35" si="56">SUM(C30+E30+G30+I30+K30+M30+O30+Q30+S30+U30+W30)</f>
        <v>47808.838709677417</v>
      </c>
      <c r="Z30" s="208">
        <f>'B5'!C29</f>
        <v>118</v>
      </c>
      <c r="AA30" s="208">
        <f t="shared" si="30"/>
        <v>1180</v>
      </c>
      <c r="AB30" s="208">
        <f t="shared" ref="AB30:AB35" si="57">SUM(Z30)</f>
        <v>118</v>
      </c>
      <c r="AC30" s="208">
        <f t="shared" si="30"/>
        <v>1180</v>
      </c>
      <c r="AD30" s="208">
        <f t="shared" ref="AD30:AD35" si="58">SUM(AB30)</f>
        <v>118</v>
      </c>
      <c r="AE30" s="208">
        <f t="shared" si="11"/>
        <v>1180</v>
      </c>
      <c r="AF30" s="208">
        <f t="shared" ref="AF30:AF35" si="59">SUM(AD30)</f>
        <v>118</v>
      </c>
      <c r="AG30" s="208">
        <f t="shared" si="12"/>
        <v>1180</v>
      </c>
      <c r="AH30" s="208">
        <f t="shared" ref="AH30:AH35" si="60">SUM(AF30)</f>
        <v>118</v>
      </c>
      <c r="AI30" s="208">
        <f t="shared" si="13"/>
        <v>1180</v>
      </c>
      <c r="AJ30" s="208">
        <f t="shared" ref="AJ30:AJ35" si="61">SUM(AH30)</f>
        <v>118</v>
      </c>
      <c r="AK30" s="208">
        <f t="shared" si="14"/>
        <v>1180</v>
      </c>
      <c r="AL30" s="208">
        <f t="shared" ref="AL30:AL35" si="62">SUM(AJ30)</f>
        <v>118</v>
      </c>
      <c r="AM30" s="208">
        <f t="shared" si="15"/>
        <v>1180</v>
      </c>
      <c r="AN30" s="35">
        <f t="shared" ref="AN30:AN35" si="63">SUM(AO30/19600)</f>
        <v>0.42142857142857143</v>
      </c>
      <c r="AO30" s="36">
        <f t="shared" ref="AO30:AO35" si="64">SUM(AA30+AC30+AE30+AG30+AI30+AK30+AM30)</f>
        <v>8260</v>
      </c>
      <c r="AQ30" s="228">
        <f t="shared" si="37"/>
        <v>0.60308528245323667</v>
      </c>
      <c r="AR30" s="38">
        <f t="shared" si="44"/>
        <v>56068.838709677417</v>
      </c>
      <c r="AS30" s="202">
        <f t="shared" si="38"/>
        <v>-2206.7096774193415</v>
      </c>
      <c r="AT30" s="378"/>
      <c r="AU30" s="473"/>
      <c r="AV30" s="323">
        <f t="shared" si="41"/>
        <v>0.53</v>
      </c>
      <c r="AW30" s="303">
        <f>-SUM('B5'!AI29)</f>
        <v>-952.39999999999418</v>
      </c>
      <c r="AX30" s="303">
        <f t="shared" si="39"/>
        <v>-1254.3096774193473</v>
      </c>
      <c r="AY30" s="37">
        <f t="shared" si="40"/>
        <v>-2206.7096774193415</v>
      </c>
      <c r="AZ30" s="101">
        <f>ELEC!A27</f>
        <v>0.20430000000000001</v>
      </c>
      <c r="BA30" s="119">
        <f>'General information '!D30</f>
        <v>16</v>
      </c>
      <c r="BB30" s="209">
        <f>SUM('General information '!E30)</f>
        <v>0.55000000000000004</v>
      </c>
      <c r="BC30" s="3">
        <f t="shared" si="42"/>
        <v>0</v>
      </c>
      <c r="BD30" s="103">
        <v>19222</v>
      </c>
      <c r="BE30" s="14">
        <f>(305/1185)*ELEC!Q28</f>
        <v>817.70886075941132</v>
      </c>
      <c r="BF30" s="14"/>
      <c r="BG30" s="14" t="e">
        <f>#REF!-BE30</f>
        <v>#REF!</v>
      </c>
      <c r="BH30" s="11"/>
    </row>
    <row r="31" spans="1:61">
      <c r="A31" s="482">
        <f>ELEC!C28</f>
        <v>43825</v>
      </c>
      <c r="B31">
        <f>'B5'!B30</f>
        <v>181</v>
      </c>
      <c r="C31" s="208">
        <f t="shared" si="18"/>
        <v>3894.4193548387098</v>
      </c>
      <c r="D31">
        <f t="shared" si="45"/>
        <v>181</v>
      </c>
      <c r="E31" s="208">
        <f t="shared" si="18"/>
        <v>3894.4193548387098</v>
      </c>
      <c r="F31">
        <f t="shared" si="46"/>
        <v>181</v>
      </c>
      <c r="G31" s="208">
        <f t="shared" si="1"/>
        <v>3894.4193548387098</v>
      </c>
      <c r="H31" s="208">
        <f t="shared" si="47"/>
        <v>181</v>
      </c>
      <c r="I31" s="208">
        <f t="shared" si="2"/>
        <v>3894.4193548387098</v>
      </c>
      <c r="J31" s="208">
        <f t="shared" si="48"/>
        <v>181</v>
      </c>
      <c r="K31" s="208">
        <f t="shared" si="3"/>
        <v>3894.4193548387098</v>
      </c>
      <c r="L31" s="208">
        <f t="shared" si="49"/>
        <v>181</v>
      </c>
      <c r="M31" s="208">
        <f t="shared" si="4"/>
        <v>3894.4193548387098</v>
      </c>
      <c r="N31" s="208">
        <f t="shared" si="50"/>
        <v>181</v>
      </c>
      <c r="O31" s="208">
        <f t="shared" si="5"/>
        <v>3894.4193548387098</v>
      </c>
      <c r="P31" s="208">
        <f t="shared" si="51"/>
        <v>181</v>
      </c>
      <c r="Q31" s="208">
        <f t="shared" si="6"/>
        <v>3894.4193548387098</v>
      </c>
      <c r="R31" s="208">
        <f t="shared" si="52"/>
        <v>181</v>
      </c>
      <c r="S31" s="208">
        <f t="shared" si="7"/>
        <v>3894.4193548387098</v>
      </c>
      <c r="T31" s="208">
        <f t="shared" si="53"/>
        <v>181</v>
      </c>
      <c r="U31" s="208">
        <f t="shared" si="8"/>
        <v>3894.4193548387098</v>
      </c>
      <c r="V31" s="208">
        <f t="shared" si="54"/>
        <v>181</v>
      </c>
      <c r="W31" s="208">
        <f t="shared" si="9"/>
        <v>3894.4193548387098</v>
      </c>
      <c r="X31" s="35">
        <f t="shared" si="55"/>
        <v>0.58387096774193559</v>
      </c>
      <c r="Y31" s="36">
        <f t="shared" si="56"/>
        <v>42838.61290322581</v>
      </c>
      <c r="Z31" s="208">
        <f>'B5'!C30</f>
        <v>162</v>
      </c>
      <c r="AA31" s="208">
        <f t="shared" si="30"/>
        <v>1620</v>
      </c>
      <c r="AB31" s="208">
        <f t="shared" si="57"/>
        <v>162</v>
      </c>
      <c r="AC31" s="208">
        <f t="shared" si="30"/>
        <v>1620</v>
      </c>
      <c r="AD31" s="208">
        <f t="shared" si="58"/>
        <v>162</v>
      </c>
      <c r="AE31" s="208">
        <f t="shared" si="11"/>
        <v>1620</v>
      </c>
      <c r="AF31" s="208">
        <f t="shared" si="59"/>
        <v>162</v>
      </c>
      <c r="AG31" s="208">
        <f t="shared" si="12"/>
        <v>1620</v>
      </c>
      <c r="AH31" s="208">
        <f t="shared" si="60"/>
        <v>162</v>
      </c>
      <c r="AI31" s="208">
        <f t="shared" si="13"/>
        <v>1620</v>
      </c>
      <c r="AJ31" s="208">
        <f t="shared" si="61"/>
        <v>162</v>
      </c>
      <c r="AK31" s="208">
        <f t="shared" si="14"/>
        <v>1620</v>
      </c>
      <c r="AL31" s="208">
        <f t="shared" si="62"/>
        <v>162</v>
      </c>
      <c r="AM31" s="208">
        <f t="shared" si="15"/>
        <v>1620</v>
      </c>
      <c r="AN31" s="35">
        <f t="shared" si="63"/>
        <v>0.57857142857142863</v>
      </c>
      <c r="AO31" s="36">
        <f t="shared" si="64"/>
        <v>11340</v>
      </c>
      <c r="AQ31" s="228">
        <f t="shared" si="37"/>
        <v>0.5827537152116361</v>
      </c>
      <c r="AR31" s="38">
        <f t="shared" si="44"/>
        <v>54178.61290322581</v>
      </c>
      <c r="AS31" s="202">
        <f t="shared" si="38"/>
        <v>-1890.2258064516063</v>
      </c>
      <c r="AT31" s="378"/>
      <c r="AU31" s="473"/>
      <c r="AV31" s="323">
        <f t="shared" si="41"/>
        <v>0.53</v>
      </c>
      <c r="AW31" s="303">
        <f>-SUM('B5'!AI30)</f>
        <v>-1017.6000000000058</v>
      </c>
      <c r="AX31" s="303">
        <f t="shared" si="39"/>
        <v>-872.62580645160051</v>
      </c>
      <c r="AY31" s="37">
        <f t="shared" si="40"/>
        <v>-1890.2258064516063</v>
      </c>
      <c r="AZ31" s="101">
        <f>ELEC!A28</f>
        <v>0.21740000000000001</v>
      </c>
      <c r="BA31" s="119">
        <f>'General information '!D31</f>
        <v>15.5</v>
      </c>
      <c r="BB31" s="209">
        <f>SUM('General information '!E32)</f>
        <v>0.77</v>
      </c>
      <c r="BC31" s="3">
        <f t="shared" si="42"/>
        <v>0</v>
      </c>
      <c r="BD31" s="103">
        <v>19222</v>
      </c>
      <c r="BE31" s="14">
        <f>(305/1185)*ELEC!Q29</f>
        <v>983.97890295366892</v>
      </c>
      <c r="BF31" s="14"/>
      <c r="BG31" s="14" t="e">
        <f>#REF!-BE31</f>
        <v>#REF!</v>
      </c>
      <c r="BH31" s="11"/>
    </row>
    <row r="32" spans="1:61">
      <c r="A32" s="482">
        <f>ELEC!C29</f>
        <v>43826</v>
      </c>
      <c r="B32">
        <f>'B5'!B31</f>
        <v>213</v>
      </c>
      <c r="C32" s="208">
        <f t="shared" si="18"/>
        <v>4582.9354838709678</v>
      </c>
      <c r="D32">
        <f t="shared" si="45"/>
        <v>213</v>
      </c>
      <c r="E32" s="208">
        <f t="shared" si="18"/>
        <v>4582.9354838709678</v>
      </c>
      <c r="F32">
        <f t="shared" si="46"/>
        <v>213</v>
      </c>
      <c r="G32" s="208">
        <f t="shared" si="1"/>
        <v>4582.9354838709678</v>
      </c>
      <c r="H32" s="208">
        <f t="shared" si="47"/>
        <v>213</v>
      </c>
      <c r="I32" s="208">
        <f t="shared" si="2"/>
        <v>4582.9354838709678</v>
      </c>
      <c r="J32" s="208">
        <f t="shared" si="48"/>
        <v>213</v>
      </c>
      <c r="K32" s="208">
        <f t="shared" si="3"/>
        <v>4582.9354838709678</v>
      </c>
      <c r="L32" s="208">
        <f t="shared" si="49"/>
        <v>213</v>
      </c>
      <c r="M32" s="208">
        <f t="shared" si="4"/>
        <v>4582.9354838709678</v>
      </c>
      <c r="N32" s="208">
        <f t="shared" si="50"/>
        <v>213</v>
      </c>
      <c r="O32" s="208">
        <f t="shared" si="5"/>
        <v>4582.9354838709678</v>
      </c>
      <c r="P32" s="208">
        <f t="shared" si="51"/>
        <v>213</v>
      </c>
      <c r="Q32" s="208">
        <f t="shared" si="6"/>
        <v>4582.9354838709678</v>
      </c>
      <c r="R32" s="208">
        <f t="shared" si="52"/>
        <v>213</v>
      </c>
      <c r="S32" s="208">
        <f t="shared" si="7"/>
        <v>4582.9354838709678</v>
      </c>
      <c r="T32" s="208">
        <f t="shared" si="53"/>
        <v>213</v>
      </c>
      <c r="U32" s="208">
        <f t="shared" si="8"/>
        <v>4582.9354838709678</v>
      </c>
      <c r="V32" s="208">
        <f t="shared" si="54"/>
        <v>213</v>
      </c>
      <c r="W32" s="208">
        <f t="shared" si="9"/>
        <v>4582.9354838709678</v>
      </c>
      <c r="X32" s="35">
        <f t="shared" si="55"/>
        <v>0.68709677419354853</v>
      </c>
      <c r="Y32" s="36">
        <f t="shared" si="56"/>
        <v>50412.290322580659</v>
      </c>
      <c r="Z32" s="208">
        <f>'B5'!C31</f>
        <v>139</v>
      </c>
      <c r="AA32" s="208">
        <f t="shared" si="30"/>
        <v>1390</v>
      </c>
      <c r="AB32" s="208">
        <f t="shared" si="57"/>
        <v>139</v>
      </c>
      <c r="AC32" s="208">
        <f t="shared" si="30"/>
        <v>1390</v>
      </c>
      <c r="AD32" s="208">
        <f t="shared" si="58"/>
        <v>139</v>
      </c>
      <c r="AE32" s="208">
        <f t="shared" si="11"/>
        <v>1390</v>
      </c>
      <c r="AF32" s="208">
        <f t="shared" si="59"/>
        <v>139</v>
      </c>
      <c r="AG32" s="208">
        <f t="shared" si="12"/>
        <v>1390</v>
      </c>
      <c r="AH32" s="208">
        <f t="shared" si="60"/>
        <v>139</v>
      </c>
      <c r="AI32" s="208">
        <f t="shared" si="13"/>
        <v>1390</v>
      </c>
      <c r="AJ32" s="208">
        <f t="shared" si="61"/>
        <v>139</v>
      </c>
      <c r="AK32" s="208">
        <f t="shared" si="14"/>
        <v>1390</v>
      </c>
      <c r="AL32" s="208">
        <f t="shared" si="62"/>
        <v>139</v>
      </c>
      <c r="AM32" s="208">
        <f t="shared" si="15"/>
        <v>1390</v>
      </c>
      <c r="AN32" s="35">
        <f t="shared" si="63"/>
        <v>0.49642857142857144</v>
      </c>
      <c r="AO32" s="36">
        <f t="shared" si="64"/>
        <v>9730</v>
      </c>
      <c r="AQ32" s="228">
        <f t="shared" si="37"/>
        <v>0.64689997120125475</v>
      </c>
      <c r="AR32" s="38">
        <f t="shared" si="44"/>
        <v>60142.290322580659</v>
      </c>
      <c r="AS32" s="202">
        <f t="shared" si="38"/>
        <v>-2916.3225806451519</v>
      </c>
      <c r="AT32" s="378">
        <v>8880</v>
      </c>
      <c r="AU32" s="473">
        <v>0.56340000000000001</v>
      </c>
      <c r="AV32" s="323">
        <f>IF(AT32&gt;0,AU32,AV31)</f>
        <v>0.56340000000000001</v>
      </c>
      <c r="AW32" s="303">
        <f>-SUM('B5'!AI31)</f>
        <v>-1203.6999999999971</v>
      </c>
      <c r="AX32" s="303">
        <f t="shared" si="39"/>
        <v>-1712.6225806451548</v>
      </c>
      <c r="AY32" s="37">
        <f t="shared" si="40"/>
        <v>-2916.3225806451519</v>
      </c>
      <c r="AZ32" s="101">
        <f>ELEC!A29</f>
        <v>0.2913</v>
      </c>
      <c r="BA32" s="119">
        <f>'General information '!D32</f>
        <v>14.5</v>
      </c>
      <c r="BB32" s="293">
        <f>SUM('General information '!E33)</f>
        <v>0.55000000000000004</v>
      </c>
      <c r="BC32" s="3">
        <f t="shared" si="42"/>
        <v>1</v>
      </c>
      <c r="BD32" s="103">
        <v>19222</v>
      </c>
      <c r="BE32" s="14">
        <f>(305/1185)*ELEC!Q30</f>
        <v>772.15189873417728</v>
      </c>
      <c r="BF32" s="14"/>
      <c r="BG32" s="14" t="e">
        <f>#REF!-BE32</f>
        <v>#REF!</v>
      </c>
      <c r="BH32" s="11"/>
    </row>
    <row r="33" spans="1:60">
      <c r="A33" s="482">
        <f>ELEC!C30</f>
        <v>43827</v>
      </c>
      <c r="B33">
        <f>'B5'!B32</f>
        <v>209</v>
      </c>
      <c r="C33" s="208">
        <f t="shared" si="18"/>
        <v>4496.8709677419356</v>
      </c>
      <c r="D33">
        <f t="shared" si="45"/>
        <v>209</v>
      </c>
      <c r="E33" s="208">
        <f t="shared" si="18"/>
        <v>4496.8709677419356</v>
      </c>
      <c r="F33">
        <f t="shared" si="46"/>
        <v>209</v>
      </c>
      <c r="G33" s="208">
        <f t="shared" si="1"/>
        <v>4496.8709677419356</v>
      </c>
      <c r="H33" s="208">
        <f t="shared" si="47"/>
        <v>209</v>
      </c>
      <c r="I33" s="208">
        <f t="shared" si="2"/>
        <v>4496.8709677419356</v>
      </c>
      <c r="J33" s="208">
        <f t="shared" si="48"/>
        <v>209</v>
      </c>
      <c r="K33" s="208">
        <f t="shared" si="3"/>
        <v>4496.8709677419356</v>
      </c>
      <c r="L33" s="208">
        <f t="shared" si="49"/>
        <v>209</v>
      </c>
      <c r="M33" s="208">
        <f t="shared" si="4"/>
        <v>4496.8709677419356</v>
      </c>
      <c r="N33" s="208">
        <f t="shared" si="50"/>
        <v>209</v>
      </c>
      <c r="O33" s="208">
        <f t="shared" si="5"/>
        <v>4496.8709677419356</v>
      </c>
      <c r="P33" s="208">
        <f t="shared" si="51"/>
        <v>209</v>
      </c>
      <c r="Q33" s="208">
        <f t="shared" si="6"/>
        <v>4496.8709677419356</v>
      </c>
      <c r="R33" s="208">
        <f t="shared" si="52"/>
        <v>209</v>
      </c>
      <c r="S33" s="208">
        <f t="shared" si="7"/>
        <v>4496.8709677419356</v>
      </c>
      <c r="T33" s="208">
        <f t="shared" si="53"/>
        <v>209</v>
      </c>
      <c r="U33" s="208">
        <f t="shared" si="8"/>
        <v>4496.8709677419356</v>
      </c>
      <c r="V33" s="208">
        <f t="shared" si="54"/>
        <v>209</v>
      </c>
      <c r="W33" s="208">
        <f t="shared" si="9"/>
        <v>4496.8709677419356</v>
      </c>
      <c r="X33" s="35">
        <f t="shared" si="55"/>
        <v>0.67419354838709689</v>
      </c>
      <c r="Y33" s="36">
        <f t="shared" si="56"/>
        <v>49465.580645161303</v>
      </c>
      <c r="Z33" s="208">
        <f>'B5'!C32</f>
        <v>120</v>
      </c>
      <c r="AA33" s="208">
        <f t="shared" si="30"/>
        <v>1200</v>
      </c>
      <c r="AB33" s="208">
        <f t="shared" si="57"/>
        <v>120</v>
      </c>
      <c r="AC33" s="208">
        <f t="shared" si="30"/>
        <v>1200</v>
      </c>
      <c r="AD33" s="208">
        <f t="shared" si="58"/>
        <v>120</v>
      </c>
      <c r="AE33" s="208">
        <f t="shared" si="11"/>
        <v>1200</v>
      </c>
      <c r="AF33" s="208">
        <f t="shared" si="59"/>
        <v>120</v>
      </c>
      <c r="AG33" s="208">
        <f t="shared" si="12"/>
        <v>1200</v>
      </c>
      <c r="AH33" s="208">
        <f t="shared" si="60"/>
        <v>120</v>
      </c>
      <c r="AI33" s="208">
        <f t="shared" si="13"/>
        <v>1200</v>
      </c>
      <c r="AJ33" s="208">
        <f t="shared" si="61"/>
        <v>120</v>
      </c>
      <c r="AK33" s="208">
        <f t="shared" si="14"/>
        <v>1200</v>
      </c>
      <c r="AL33" s="208">
        <f t="shared" si="62"/>
        <v>120</v>
      </c>
      <c r="AM33" s="208">
        <f t="shared" si="15"/>
        <v>1200</v>
      </c>
      <c r="AN33" s="35">
        <f t="shared" si="63"/>
        <v>0.42857142857142855</v>
      </c>
      <c r="AO33" s="36">
        <f t="shared" si="64"/>
        <v>8400</v>
      </c>
      <c r="AQ33" s="228">
        <f t="shared" si="37"/>
        <v>0.62241132241756802</v>
      </c>
      <c r="AR33" s="38">
        <f t="shared" si="44"/>
        <v>57865.580645161303</v>
      </c>
      <c r="AS33" s="202">
        <f t="shared" si="38"/>
        <v>-2276.709677419356</v>
      </c>
      <c r="AT33" s="378"/>
      <c r="AU33" s="473"/>
      <c r="AV33" s="323">
        <f>IF(AT33&gt;0,AU33,AV32)</f>
        <v>0.56340000000000001</v>
      </c>
      <c r="AW33" s="303">
        <f>-SUM('B5'!AI32)</f>
        <v>-1073.8999999999651</v>
      </c>
      <c r="AX33" s="303">
        <f t="shared" si="39"/>
        <v>-1202.8096774193909</v>
      </c>
      <c r="AY33" s="37">
        <f t="shared" si="40"/>
        <v>-2276.709677419356</v>
      </c>
      <c r="AZ33" s="101">
        <f>ELEC!A30</f>
        <v>0.2913</v>
      </c>
      <c r="BA33" s="119">
        <f>'General information '!D33</f>
        <v>15</v>
      </c>
      <c r="BB33" s="209">
        <f>SUM('General information '!E33)</f>
        <v>0.55000000000000004</v>
      </c>
      <c r="BC33" s="3">
        <f t="shared" si="42"/>
        <v>0</v>
      </c>
      <c r="BD33" s="103">
        <v>19222</v>
      </c>
      <c r="BE33" s="14">
        <f>(305/1185)*ELEC!Q31</f>
        <v>946.65822784807142</v>
      </c>
      <c r="BF33" s="14"/>
      <c r="BG33" s="14" t="e">
        <f>#REF!-BE33</f>
        <v>#REF!</v>
      </c>
      <c r="BH33" s="11"/>
    </row>
    <row r="34" spans="1:60">
      <c r="A34" s="482">
        <f>ELEC!C31</f>
        <v>43828</v>
      </c>
      <c r="B34">
        <f>'B5'!B33</f>
        <v>205</v>
      </c>
      <c r="C34" s="208">
        <f t="shared" si="18"/>
        <v>4410.8064516129034</v>
      </c>
      <c r="D34">
        <f t="shared" si="45"/>
        <v>205</v>
      </c>
      <c r="E34" s="208">
        <f t="shared" si="18"/>
        <v>4410.8064516129034</v>
      </c>
      <c r="F34">
        <f t="shared" si="46"/>
        <v>205</v>
      </c>
      <c r="G34" s="208">
        <f t="shared" si="1"/>
        <v>4410.8064516129034</v>
      </c>
      <c r="H34" s="208">
        <f t="shared" si="47"/>
        <v>205</v>
      </c>
      <c r="I34" s="208">
        <f t="shared" si="2"/>
        <v>4410.8064516129034</v>
      </c>
      <c r="J34" s="208">
        <f t="shared" si="48"/>
        <v>205</v>
      </c>
      <c r="K34" s="208">
        <f t="shared" si="3"/>
        <v>4410.8064516129034</v>
      </c>
      <c r="L34" s="208">
        <f t="shared" si="49"/>
        <v>205</v>
      </c>
      <c r="M34" s="208">
        <f t="shared" si="4"/>
        <v>4410.8064516129034</v>
      </c>
      <c r="N34" s="208">
        <f t="shared" si="50"/>
        <v>205</v>
      </c>
      <c r="O34" s="208">
        <f t="shared" si="5"/>
        <v>4410.8064516129034</v>
      </c>
      <c r="P34" s="208">
        <f t="shared" si="51"/>
        <v>205</v>
      </c>
      <c r="Q34" s="208">
        <f t="shared" si="6"/>
        <v>4410.8064516129034</v>
      </c>
      <c r="R34" s="208">
        <f t="shared" si="52"/>
        <v>205</v>
      </c>
      <c r="S34" s="208">
        <f t="shared" si="7"/>
        <v>4410.8064516129034</v>
      </c>
      <c r="T34" s="208">
        <f t="shared" si="53"/>
        <v>205</v>
      </c>
      <c r="U34" s="208">
        <f t="shared" si="8"/>
        <v>4410.8064516129034</v>
      </c>
      <c r="V34" s="208">
        <f t="shared" si="54"/>
        <v>205</v>
      </c>
      <c r="W34" s="208">
        <f t="shared" si="9"/>
        <v>4410.8064516129034</v>
      </c>
      <c r="X34" s="35">
        <f t="shared" si="55"/>
        <v>0.66129032258064502</v>
      </c>
      <c r="Y34" s="36">
        <f t="shared" si="56"/>
        <v>48518.870967741925</v>
      </c>
      <c r="Z34" s="208">
        <f>'B5'!C33</f>
        <v>99</v>
      </c>
      <c r="AA34" s="208">
        <f t="shared" si="30"/>
        <v>990</v>
      </c>
      <c r="AB34" s="208">
        <f t="shared" si="57"/>
        <v>99</v>
      </c>
      <c r="AC34" s="208">
        <f t="shared" si="30"/>
        <v>990</v>
      </c>
      <c r="AD34" s="208">
        <f t="shared" si="58"/>
        <v>99</v>
      </c>
      <c r="AE34" s="208">
        <f t="shared" si="11"/>
        <v>990</v>
      </c>
      <c r="AF34" s="208">
        <f t="shared" si="59"/>
        <v>99</v>
      </c>
      <c r="AG34" s="208">
        <f t="shared" si="12"/>
        <v>990</v>
      </c>
      <c r="AH34" s="208">
        <f t="shared" si="60"/>
        <v>99</v>
      </c>
      <c r="AI34" s="208">
        <f t="shared" si="13"/>
        <v>990</v>
      </c>
      <c r="AJ34" s="208">
        <f t="shared" si="61"/>
        <v>99</v>
      </c>
      <c r="AK34" s="208">
        <f t="shared" si="14"/>
        <v>990</v>
      </c>
      <c r="AL34" s="208">
        <f t="shared" si="62"/>
        <v>99</v>
      </c>
      <c r="AM34" s="208">
        <f t="shared" si="15"/>
        <v>990</v>
      </c>
      <c r="AN34" s="35">
        <f t="shared" si="63"/>
        <v>0.35357142857142859</v>
      </c>
      <c r="AO34" s="36">
        <f t="shared" si="64"/>
        <v>6930</v>
      </c>
      <c r="AQ34" s="228">
        <f>SUM(AR34/92970)</f>
        <v>0.59641681152782533</v>
      </c>
      <c r="AR34" s="38">
        <f t="shared" si="44"/>
        <v>55448.870967741925</v>
      </c>
      <c r="AS34" s="202">
        <f t="shared" si="38"/>
        <v>-2416.7096774193778</v>
      </c>
      <c r="AT34" s="378"/>
      <c r="AU34" s="473"/>
      <c r="AV34" s="323">
        <f t="shared" si="41"/>
        <v>0.56340000000000001</v>
      </c>
      <c r="AW34" s="303">
        <f>-SUM('B5'!AI33)</f>
        <v>-1142.2000000000116</v>
      </c>
      <c r="AX34" s="303">
        <f t="shared" si="39"/>
        <v>-1274.5096774193662</v>
      </c>
      <c r="AY34" s="37">
        <f t="shared" si="40"/>
        <v>-2416.7096774193778</v>
      </c>
      <c r="AZ34" s="101">
        <f>ELEC!A31</f>
        <v>0.34499999999999997</v>
      </c>
      <c r="BA34" s="119">
        <f>'General information '!D34</f>
        <v>14.5</v>
      </c>
      <c r="BB34" s="209">
        <f>SUM('General information '!E34)</f>
        <v>0.55000000000000004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82">
        <f>ELEC!C32</f>
        <v>43829</v>
      </c>
      <c r="B35">
        <f>'B5'!B34</f>
        <v>190</v>
      </c>
      <c r="C35" s="208">
        <f t="shared" si="18"/>
        <v>4088.0645161290322</v>
      </c>
      <c r="D35">
        <f t="shared" si="45"/>
        <v>190</v>
      </c>
      <c r="E35" s="208">
        <f t="shared" si="18"/>
        <v>4088.0645161290322</v>
      </c>
      <c r="F35">
        <f t="shared" si="46"/>
        <v>190</v>
      </c>
      <c r="G35" s="208">
        <f t="shared" si="1"/>
        <v>4088.0645161290322</v>
      </c>
      <c r="H35" s="208">
        <f t="shared" si="47"/>
        <v>190</v>
      </c>
      <c r="I35" s="208">
        <f t="shared" si="2"/>
        <v>4088.0645161290322</v>
      </c>
      <c r="J35" s="208">
        <f t="shared" si="48"/>
        <v>190</v>
      </c>
      <c r="K35" s="208">
        <f t="shared" si="3"/>
        <v>4088.0645161290322</v>
      </c>
      <c r="L35" s="208">
        <f t="shared" si="49"/>
        <v>190</v>
      </c>
      <c r="M35" s="208">
        <f t="shared" si="4"/>
        <v>4088.0645161290322</v>
      </c>
      <c r="N35" s="208">
        <f t="shared" si="50"/>
        <v>190</v>
      </c>
      <c r="O35" s="208">
        <f t="shared" si="5"/>
        <v>4088.0645161290322</v>
      </c>
      <c r="P35" s="208">
        <f t="shared" si="51"/>
        <v>190</v>
      </c>
      <c r="Q35" s="208">
        <f t="shared" si="6"/>
        <v>4088.0645161290322</v>
      </c>
      <c r="R35" s="208">
        <f t="shared" si="52"/>
        <v>190</v>
      </c>
      <c r="S35" s="208">
        <f t="shared" si="7"/>
        <v>4088.0645161290322</v>
      </c>
      <c r="T35" s="208">
        <f t="shared" si="53"/>
        <v>190</v>
      </c>
      <c r="U35" s="208">
        <f t="shared" si="8"/>
        <v>4088.0645161290322</v>
      </c>
      <c r="V35" s="208">
        <f t="shared" si="54"/>
        <v>190</v>
      </c>
      <c r="W35" s="208">
        <f t="shared" si="9"/>
        <v>4088.0645161290322</v>
      </c>
      <c r="X35" s="35">
        <f t="shared" si="55"/>
        <v>0.6129032258064514</v>
      </c>
      <c r="Y35" s="36">
        <f t="shared" si="56"/>
        <v>44968.709677419341</v>
      </c>
      <c r="Z35" s="208">
        <f>'B5'!C34</f>
        <v>123</v>
      </c>
      <c r="AA35" s="208">
        <f t="shared" si="30"/>
        <v>1230</v>
      </c>
      <c r="AB35" s="208">
        <f t="shared" si="57"/>
        <v>123</v>
      </c>
      <c r="AC35" s="208">
        <f t="shared" si="30"/>
        <v>1230</v>
      </c>
      <c r="AD35" s="208">
        <f t="shared" si="58"/>
        <v>123</v>
      </c>
      <c r="AE35" s="208">
        <f t="shared" si="11"/>
        <v>1230</v>
      </c>
      <c r="AF35" s="208">
        <f t="shared" si="59"/>
        <v>123</v>
      </c>
      <c r="AG35" s="208">
        <f t="shared" si="12"/>
        <v>1230</v>
      </c>
      <c r="AH35" s="208">
        <f t="shared" si="60"/>
        <v>123</v>
      </c>
      <c r="AI35" s="208">
        <f t="shared" si="13"/>
        <v>1230</v>
      </c>
      <c r="AJ35" s="208">
        <f t="shared" si="61"/>
        <v>123</v>
      </c>
      <c r="AK35" s="208">
        <f t="shared" si="14"/>
        <v>1230</v>
      </c>
      <c r="AL35" s="208">
        <f t="shared" si="62"/>
        <v>123</v>
      </c>
      <c r="AM35" s="208">
        <f t="shared" si="15"/>
        <v>1230</v>
      </c>
      <c r="AN35" s="35">
        <f t="shared" si="63"/>
        <v>0.43928571428571428</v>
      </c>
      <c r="AO35" s="36">
        <f t="shared" si="64"/>
        <v>8610</v>
      </c>
      <c r="AQ35" s="228">
        <f>SUM(AR35/92970)</f>
        <v>0.57630106138990367</v>
      </c>
      <c r="AR35" s="38">
        <f>SUM(AO35+Y35)</f>
        <v>53578.709677419341</v>
      </c>
      <c r="AS35" s="202">
        <f t="shared" si="38"/>
        <v>-13720.161290322583</v>
      </c>
      <c r="AT35" s="378">
        <v>11850</v>
      </c>
      <c r="AU35" s="473">
        <v>0.56340000000000001</v>
      </c>
      <c r="AV35" s="323">
        <f>IF(AT35&gt;0,AU35,AV34)</f>
        <v>0.56340000000000001</v>
      </c>
      <c r="AW35" s="303">
        <f>-SUM('B5'!AI34)</f>
        <v>-971.40000000002328</v>
      </c>
      <c r="AX35" s="303">
        <f t="shared" si="39"/>
        <v>-12748.76129032256</v>
      </c>
      <c r="AY35" s="37">
        <f t="shared" si="40"/>
        <v>-13720.161290322583</v>
      </c>
      <c r="AZ35" s="101">
        <f>ELEC!A32</f>
        <v>0.34499999999999997</v>
      </c>
      <c r="BA35" s="119">
        <f>'General information '!D35</f>
        <v>14</v>
      </c>
      <c r="BB35" s="209">
        <f>SUM('General information '!E35)</f>
        <v>0.85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82">
        <f>ELEC!C33</f>
        <v>43830</v>
      </c>
      <c r="B36">
        <f>'B5'!B35</f>
        <v>238</v>
      </c>
      <c r="C36" s="208">
        <f>B36*$B$4</f>
        <v>5120.8387096774195</v>
      </c>
      <c r="D36">
        <f>SUM(B36)</f>
        <v>238</v>
      </c>
      <c r="E36" s="208">
        <f>D36*$B$4</f>
        <v>5120.8387096774195</v>
      </c>
      <c r="F36">
        <f>SUM(D36)</f>
        <v>238</v>
      </c>
      <c r="G36" s="208">
        <f>F36*$B$4</f>
        <v>5120.8387096774195</v>
      </c>
      <c r="H36" s="208">
        <f>SUM(F36)</f>
        <v>238</v>
      </c>
      <c r="I36" s="208">
        <f>H36*$B$4</f>
        <v>5120.8387096774195</v>
      </c>
      <c r="J36" s="208">
        <f>SUM(H36)</f>
        <v>238</v>
      </c>
      <c r="K36" s="208">
        <f>J36*$B$4</f>
        <v>5120.8387096774195</v>
      </c>
      <c r="L36" s="208">
        <f>SUM(J36)</f>
        <v>238</v>
      </c>
      <c r="M36" s="208">
        <f>L36*$B$4</f>
        <v>5120.8387096774195</v>
      </c>
      <c r="N36" s="208">
        <f>SUM(L36)</f>
        <v>238</v>
      </c>
      <c r="O36" s="208">
        <f>N36*$B$4</f>
        <v>5120.8387096774195</v>
      </c>
      <c r="P36" s="208">
        <f>SUM(N36)</f>
        <v>238</v>
      </c>
      <c r="Q36" s="208">
        <f>P36*$B$4</f>
        <v>5120.8387096774195</v>
      </c>
      <c r="R36" s="208">
        <f>SUM(P36)</f>
        <v>238</v>
      </c>
      <c r="S36" s="208">
        <f>R36*$B$4</f>
        <v>5120.8387096774195</v>
      </c>
      <c r="T36" s="208">
        <f>SUM(R36)</f>
        <v>238</v>
      </c>
      <c r="U36" s="208">
        <f>T36*$B$4</f>
        <v>5120.8387096774195</v>
      </c>
      <c r="V36" s="208">
        <f>SUM(T36)</f>
        <v>238</v>
      </c>
      <c r="W36" s="208">
        <f>V36*$B$4</f>
        <v>5120.8387096774195</v>
      </c>
      <c r="X36" s="35">
        <f>SUM(Y36/73370)</f>
        <v>0.76774193548387093</v>
      </c>
      <c r="Y36" s="36">
        <f>SUM(C36+E36+G36+I36+K36+M36+O36+Q36+S36+U36+W36)</f>
        <v>56329.225806451606</v>
      </c>
      <c r="Z36" s="208">
        <f>'B5'!C35</f>
        <v>98</v>
      </c>
      <c r="AA36" s="208">
        <f>SUM(Z36*$Z$4)</f>
        <v>980</v>
      </c>
      <c r="AB36" s="208">
        <f>SUM(Z36)</f>
        <v>98</v>
      </c>
      <c r="AC36" s="208">
        <f>SUM(AB36*$Z$4)</f>
        <v>980</v>
      </c>
      <c r="AD36" s="208">
        <f>SUM(AB36)</f>
        <v>98</v>
      </c>
      <c r="AE36" s="208">
        <f>SUM(AD36*$Z$4)</f>
        <v>980</v>
      </c>
      <c r="AF36" s="208">
        <f>SUM(AD36)</f>
        <v>98</v>
      </c>
      <c r="AG36" s="208">
        <f>SUM(AF36*$Z$4)</f>
        <v>980</v>
      </c>
      <c r="AH36" s="208">
        <f>SUM(AF36)</f>
        <v>98</v>
      </c>
      <c r="AI36" s="208">
        <f>SUM(AH36*$Z$4)</f>
        <v>980</v>
      </c>
      <c r="AJ36" s="208">
        <f>SUM(AH36)</f>
        <v>98</v>
      </c>
      <c r="AK36" s="208">
        <f>SUM(AJ36*$Z$4)</f>
        <v>980</v>
      </c>
      <c r="AL36" s="208">
        <f>SUM(AJ36)</f>
        <v>98</v>
      </c>
      <c r="AM36" s="208">
        <f>SUM(AL36*$Z$4)</f>
        <v>980</v>
      </c>
      <c r="AN36" s="35">
        <f>SUM(AO36/19600)</f>
        <v>0.35</v>
      </c>
      <c r="AO36" s="36">
        <f>SUM(AA36+AC36+AE36+AG36+AI36+AK36+AM36)</f>
        <v>6860</v>
      </c>
      <c r="AP36" s="260"/>
      <c r="AQ36" s="228">
        <f>SUM(AR36/92970)</f>
        <v>0.67967329037809621</v>
      </c>
      <c r="AR36" s="38">
        <f t="shared" si="44"/>
        <v>63189.225806451606</v>
      </c>
      <c r="AS36" s="202">
        <f>AR36-AR35+AS35</f>
        <v>-4109.6451612903184</v>
      </c>
      <c r="AT36" s="378"/>
      <c r="AU36" s="473"/>
      <c r="AV36" s="323">
        <f>IF(AT36&gt;0,AU36,AV35)</f>
        <v>0.56340000000000001</v>
      </c>
      <c r="AW36" s="303">
        <f>-SUM('B5'!AI35)</f>
        <v>-1284.7999999999884</v>
      </c>
      <c r="AX36" s="303">
        <f>-SUM(AW36-AS36)</f>
        <v>-2824.84516129033</v>
      </c>
      <c r="AY36" s="37">
        <f>SUM(AX36+AW36)</f>
        <v>-4109.6451612903184</v>
      </c>
      <c r="AZ36" s="101">
        <f>ELEC!A33</f>
        <v>0.5</v>
      </c>
      <c r="BA36" s="119">
        <f>'General information '!D36</f>
        <v>13.5</v>
      </c>
      <c r="BB36" s="419">
        <f>SUM('General information '!E36)</f>
        <v>0.67</v>
      </c>
      <c r="BC36" s="17"/>
      <c r="BD36" s="525"/>
      <c r="BE36" s="526"/>
      <c r="BF36" s="526"/>
      <c r="BG36" s="526"/>
      <c r="BH36" s="527"/>
    </row>
    <row r="37" spans="1:60">
      <c r="AQ37" s="20"/>
      <c r="AR37" s="519" t="s">
        <v>226</v>
      </c>
      <c r="AS37" s="528">
        <f>COUNT(AT6:AT36)</f>
        <v>5</v>
      </c>
      <c r="AT37" s="208">
        <f>SUM(AT6:AT36)</f>
        <v>47690</v>
      </c>
      <c r="AU37">
        <f>SUM(AU6:AU36)/AS37</f>
        <v>0.54218</v>
      </c>
      <c r="AX37" s="208">
        <f>SUM(AX6:AX36)</f>
        <v>-38536.225806451643</v>
      </c>
      <c r="AY37" s="208">
        <f>SUM(AY6:AY36)</f>
        <v>-63963.225806451643</v>
      </c>
    </row>
    <row r="38" spans="1:60">
      <c r="AS38" s="211"/>
      <c r="AT38">
        <f>+AT37*AU37</f>
        <v>25856.564200000001</v>
      </c>
    </row>
    <row r="40" spans="1:60">
      <c r="AS40" s="167">
        <f>SUM(AS6:AS36)/'EDl log'!A36</f>
        <v>-2063.3298647242464</v>
      </c>
      <c r="AT40" s="208"/>
    </row>
  </sheetData>
  <mergeCells count="3">
    <mergeCell ref="AT3:AU3"/>
    <mergeCell ref="AS3:AS4"/>
    <mergeCell ref="AR3:AR4"/>
  </mergeCells>
  <conditionalFormatting sqref="AW6:AX36">
    <cfRule type="cellIs" dxfId="2" priority="3" stopIfTrue="1" operator="greaterThan">
      <formula>0</formula>
    </cfRule>
  </conditionalFormatting>
  <conditionalFormatting sqref="AT6:AU36">
    <cfRule type="cellIs" dxfId="1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F44"/>
  <sheetViews>
    <sheetView topLeftCell="H13" zoomScale="80" zoomScaleNormal="80" workbookViewId="0">
      <selection activeCell="J34" sqref="J3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6" customWidth="1"/>
    <col min="20" max="20" width="10.28515625" style="357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6" t="s">
        <v>51</v>
      </c>
      <c r="B1" s="166" t="s">
        <v>196</v>
      </c>
      <c r="C1" s="166" t="s">
        <v>200</v>
      </c>
      <c r="D1" s="166"/>
      <c r="E1" s="166"/>
      <c r="F1" s="166" t="s">
        <v>197</v>
      </c>
      <c r="G1" s="166">
        <v>320</v>
      </c>
      <c r="H1" s="166" t="s">
        <v>198</v>
      </c>
      <c r="I1" s="166">
        <v>112</v>
      </c>
      <c r="J1" s="166" t="s">
        <v>199</v>
      </c>
      <c r="K1" s="166">
        <v>80</v>
      </c>
      <c r="L1" s="166"/>
      <c r="M1" s="166"/>
      <c r="N1" s="166"/>
      <c r="O1" s="166"/>
      <c r="P1" s="166"/>
      <c r="Q1" s="166"/>
      <c r="R1" s="166"/>
      <c r="S1" s="316"/>
      <c r="T1" s="354"/>
    </row>
    <row r="2" spans="1:30">
      <c r="A2" s="166"/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 t="s">
        <v>365</v>
      </c>
      <c r="M2" s="166" t="s">
        <v>366</v>
      </c>
      <c r="N2" s="166" t="s">
        <v>367</v>
      </c>
      <c r="O2" s="166" t="s">
        <v>368</v>
      </c>
      <c r="P2" s="166" t="s">
        <v>369</v>
      </c>
      <c r="Q2" s="166" t="s">
        <v>370</v>
      </c>
      <c r="R2" s="166" t="s">
        <v>371</v>
      </c>
      <c r="S2" s="316"/>
      <c r="T2" s="354"/>
    </row>
    <row r="3" spans="1:30" ht="15.75" thickBot="1">
      <c r="A3" s="165">
        <v>43769</v>
      </c>
      <c r="B3" s="272">
        <f>'[1]EDl log'!B33</f>
        <v>49071422</v>
      </c>
      <c r="C3" s="272">
        <f>'[1]EDl log'!C33</f>
        <v>6435</v>
      </c>
      <c r="D3" s="272">
        <f>'[1]EDl log'!D33</f>
        <v>6336</v>
      </c>
      <c r="E3" s="272">
        <f>'[1]EDl log'!E33</f>
        <v>49071323</v>
      </c>
      <c r="F3" s="272">
        <f>'[1]EDl log'!F33</f>
        <v>7882582</v>
      </c>
      <c r="G3" s="272">
        <f>'[1]EDl log'!G33</f>
        <v>1139</v>
      </c>
      <c r="H3" s="272">
        <f>'[1]EDl log'!H33</f>
        <v>24173587</v>
      </c>
      <c r="I3" s="272">
        <f>'[1]EDl log'!I33</f>
        <v>3279</v>
      </c>
      <c r="J3" s="272">
        <f>'[1]EDl log'!J33</f>
        <v>17015254</v>
      </c>
      <c r="K3" s="272">
        <f>'[1]EDl log'!K33</f>
        <v>1918</v>
      </c>
      <c r="L3" s="272">
        <f>'[1]EDl log'!L33</f>
        <v>241.77777777777777</v>
      </c>
      <c r="M3" s="272">
        <f>'[1]EDl log'!M33</f>
        <v>243.61393034825872</v>
      </c>
      <c r="N3" s="272">
        <f>'[1]EDl log'!N33</f>
        <v>101.78441127694859</v>
      </c>
      <c r="O3" s="272">
        <f>'[1]EDl log'!O33</f>
        <v>159.96313985627418</v>
      </c>
      <c r="P3" s="272">
        <f>'[1]EDl log'!P33</f>
        <v>747.13925925925935</v>
      </c>
      <c r="Q3" s="272">
        <f>'[1]EDl log'!Q33</f>
        <v>360.82941935483819</v>
      </c>
      <c r="R3" s="272">
        <f>'[1]EDl log'!R33</f>
        <v>1107.9686786140976</v>
      </c>
      <c r="S3" s="272">
        <f>'[1]EDl log'!S33</f>
        <v>14417.599999999627</v>
      </c>
      <c r="T3" s="272">
        <f>'[1]EDl log'!T33</f>
        <v>7.6848343594920529E-2</v>
      </c>
      <c r="Z3" t="s">
        <v>214</v>
      </c>
      <c r="AA3">
        <v>0.1</v>
      </c>
    </row>
    <row r="4" spans="1:30">
      <c r="A4" s="165">
        <f>ELEC!C3</f>
        <v>43800</v>
      </c>
      <c r="B4" s="415">
        <v>49077501</v>
      </c>
      <c r="C4" s="281">
        <f>SUM(B4-B3)</f>
        <v>6079</v>
      </c>
      <c r="D4" s="327">
        <f>SUM(G4+I4+K4)</f>
        <v>6079</v>
      </c>
      <c r="E4" s="327">
        <f>B3+D4</f>
        <v>49077501</v>
      </c>
      <c r="F4" s="557">
        <v>7883793</v>
      </c>
      <c r="G4" s="162">
        <f t="shared" ref="G4:G32" si="0">F4-F3</f>
        <v>1211</v>
      </c>
      <c r="H4" s="557">
        <v>24176603</v>
      </c>
      <c r="I4" s="163">
        <f t="shared" ref="I4:I33" si="1">H4-H3</f>
        <v>3016</v>
      </c>
      <c r="J4" s="557">
        <v>17017106</v>
      </c>
      <c r="K4" s="164">
        <f t="shared" ref="K4:K33" si="2">J4-J3</f>
        <v>1852</v>
      </c>
      <c r="L4" s="313">
        <f>SUM(G4*$Y$28)/1507.5</f>
        <v>257.06135986733</v>
      </c>
      <c r="M4" s="313">
        <f>SUM(I4*$Y$27)/1507.5</f>
        <v>224.07429519071309</v>
      </c>
      <c r="N4" s="313">
        <f>SUM(K4*$Y$26)/1507.5</f>
        <v>98.281923714759529</v>
      </c>
      <c r="O4" s="313">
        <f>($AC$31/$A$38)/1507.5</f>
        <v>154.80303857058792</v>
      </c>
      <c r="P4" s="314">
        <f>SUM(L4:O4)</f>
        <v>734.22061734339047</v>
      </c>
      <c r="Q4" s="314">
        <f>SUM(-tanks!AX6*tanks!$AU$37)</f>
        <v>-252.48098322579577</v>
      </c>
      <c r="R4" s="314">
        <f>SUM(P4:Q4)</f>
        <v>481.73963411759473</v>
      </c>
      <c r="S4" s="317">
        <f>SUM(ELEC!N3)</f>
        <v>14340.200000000186</v>
      </c>
      <c r="T4" s="355">
        <f>IF(S4&gt;0,R4/S4,0)</f>
        <v>3.3593648213943214E-2</v>
      </c>
      <c r="U4" s="257"/>
      <c r="V4" s="258" t="str">
        <f>'[3]EDl log'!V21</f>
        <v xml:space="preserve">EDL </v>
      </c>
      <c r="W4" s="169">
        <v>43770</v>
      </c>
      <c r="X4" s="171"/>
      <c r="Y4" s="171"/>
      <c r="Z4" s="171" t="s">
        <v>202</v>
      </c>
      <c r="AA4" s="171"/>
      <c r="AB4" s="622"/>
      <c r="AC4" s="623"/>
    </row>
    <row r="5" spans="1:30">
      <c r="A5" s="165">
        <f>ELEC!C4</f>
        <v>43801</v>
      </c>
      <c r="B5" s="557">
        <v>49084001</v>
      </c>
      <c r="C5" s="272">
        <f t="shared" ref="C5:C33" si="3">SUM(B5-B4)</f>
        <v>6500</v>
      </c>
      <c r="D5" s="327">
        <f t="shared" ref="D5:D33" si="4">SUM(G5+I5+K5)</f>
        <v>6501</v>
      </c>
      <c r="E5" s="327">
        <f>B4+D5</f>
        <v>49084002</v>
      </c>
      <c r="F5" s="557">
        <v>7885037</v>
      </c>
      <c r="G5" s="162">
        <f t="shared" si="0"/>
        <v>1244</v>
      </c>
      <c r="H5" s="557">
        <v>24180013</v>
      </c>
      <c r="I5" s="163">
        <f t="shared" si="1"/>
        <v>3410</v>
      </c>
      <c r="J5" s="557">
        <v>17018953</v>
      </c>
      <c r="K5" s="164">
        <f t="shared" si="2"/>
        <v>1847</v>
      </c>
      <c r="L5" s="313">
        <f t="shared" ref="L5:L32" si="5">SUM(G5*$Y$28)/1507.5</f>
        <v>264.06633499170812</v>
      </c>
      <c r="M5" s="313">
        <f t="shared" ref="M5:M33" si="6">SUM(I5*$Y$27)/1507.5</f>
        <v>253.34660033167495</v>
      </c>
      <c r="N5" s="313">
        <f t="shared" ref="N5:N33" si="7">SUM(K5*$Y$26)/1507.5</f>
        <v>98.016583747927029</v>
      </c>
      <c r="O5" s="313">
        <f t="shared" ref="O5:O34" si="8">($AC$31/$A$38)/1507.5</f>
        <v>154.80303857058792</v>
      </c>
      <c r="P5" s="314">
        <f t="shared" ref="P5:P32" si="9">SUM(L5:O5)</f>
        <v>770.23255764189798</v>
      </c>
      <c r="Q5" s="314">
        <f>SUM(-tanks!AX7*tanks!$AU$37)</f>
        <v>448.76763290322248</v>
      </c>
      <c r="R5" s="314">
        <f t="shared" ref="R5:R32" si="10">SUM(P5:Q5)</f>
        <v>1219.0001905451204</v>
      </c>
      <c r="S5" s="317">
        <f>SUM(ELEC!N4)</f>
        <v>14840</v>
      </c>
      <c r="T5" s="355">
        <f>IF(S5&gt;0,R5/S5,0)</f>
        <v>8.2142869982824829E-2</v>
      </c>
      <c r="U5" s="257"/>
      <c r="V5" s="616"/>
      <c r="W5" s="617"/>
      <c r="X5" s="617"/>
      <c r="Y5" s="618"/>
      <c r="Z5" s="26" t="s">
        <v>203</v>
      </c>
      <c r="AA5" s="272">
        <f>'[4]EDl log'!AA5</f>
        <v>5000</v>
      </c>
      <c r="AB5" s="624"/>
      <c r="AC5" s="625"/>
    </row>
    <row r="6" spans="1:30">
      <c r="A6" s="165">
        <f>ELEC!C5</f>
        <v>43802</v>
      </c>
      <c r="B6" s="557">
        <v>49090634</v>
      </c>
      <c r="C6" s="272">
        <f t="shared" si="3"/>
        <v>6633</v>
      </c>
      <c r="D6" s="327">
        <f t="shared" si="4"/>
        <v>6631</v>
      </c>
      <c r="E6" s="327">
        <f t="shared" ref="E6:E33" si="11">B5+D6</f>
        <v>49090632</v>
      </c>
      <c r="F6" s="557">
        <v>7885850</v>
      </c>
      <c r="G6" s="162">
        <f t="shared" si="0"/>
        <v>813</v>
      </c>
      <c r="H6" s="557">
        <v>24183526</v>
      </c>
      <c r="I6" s="163">
        <f t="shared" si="1"/>
        <v>3513</v>
      </c>
      <c r="J6" s="557">
        <v>17021258</v>
      </c>
      <c r="K6" s="164">
        <f t="shared" si="2"/>
        <v>2305</v>
      </c>
      <c r="L6" s="313">
        <f t="shared" si="5"/>
        <v>172.57711442786069</v>
      </c>
      <c r="M6" s="313">
        <f t="shared" si="6"/>
        <v>260.99900497512436</v>
      </c>
      <c r="N6" s="313">
        <f t="shared" si="7"/>
        <v>122.32172470978441</v>
      </c>
      <c r="O6" s="313">
        <f t="shared" si="8"/>
        <v>154.80303857058792</v>
      </c>
      <c r="P6" s="314">
        <f t="shared" si="9"/>
        <v>710.70088268335735</v>
      </c>
      <c r="Q6" s="314">
        <f>SUM(-tanks!AX8*tanks!$AU$37)</f>
        <v>530.62457012903565</v>
      </c>
      <c r="R6" s="314">
        <f t="shared" si="10"/>
        <v>1241.325452812393</v>
      </c>
      <c r="S6" s="317">
        <f>SUM(ELEC!N5)</f>
        <v>15111</v>
      </c>
      <c r="T6" s="355">
        <f t="shared" ref="T6:T32" si="12">IF(S6&gt;0,R6/S6,0)</f>
        <v>8.2147141341565283E-2</v>
      </c>
      <c r="V6" s="619"/>
      <c r="W6" s="620"/>
      <c r="X6" s="620"/>
      <c r="Y6" s="621"/>
      <c r="Z6" s="3"/>
      <c r="AA6" s="3"/>
      <c r="AB6" s="624"/>
      <c r="AC6" s="625"/>
    </row>
    <row r="7" spans="1:30" ht="15" customHeight="1">
      <c r="A7" s="165">
        <f>ELEC!C6</f>
        <v>43803</v>
      </c>
      <c r="B7" s="557">
        <v>49097640</v>
      </c>
      <c r="C7" s="272">
        <f t="shared" si="3"/>
        <v>7006</v>
      </c>
      <c r="D7" s="327">
        <f t="shared" si="4"/>
        <v>7006</v>
      </c>
      <c r="E7" s="327">
        <f t="shared" si="11"/>
        <v>49097640</v>
      </c>
      <c r="F7" s="557">
        <v>7887125</v>
      </c>
      <c r="G7" s="162">
        <f t="shared" si="0"/>
        <v>1275</v>
      </c>
      <c r="H7" s="557">
        <v>24186918</v>
      </c>
      <c r="I7" s="163">
        <f t="shared" si="1"/>
        <v>3392</v>
      </c>
      <c r="J7" s="557">
        <v>17023597</v>
      </c>
      <c r="K7" s="164">
        <f t="shared" si="2"/>
        <v>2339</v>
      </c>
      <c r="L7" s="313">
        <f t="shared" si="5"/>
        <v>270.6467661691542</v>
      </c>
      <c r="M7" s="313">
        <f t="shared" si="6"/>
        <v>252.00928689883915</v>
      </c>
      <c r="N7" s="313">
        <f t="shared" si="7"/>
        <v>124.12603648424545</v>
      </c>
      <c r="O7" s="313">
        <f t="shared" si="8"/>
        <v>154.80303857058792</v>
      </c>
      <c r="P7" s="314">
        <f t="shared" si="9"/>
        <v>801.58512812282663</v>
      </c>
      <c r="Q7" s="314">
        <f>SUM(-tanks!AX9*tanks!$AU$37)</f>
        <v>383.2180709032217</v>
      </c>
      <c r="R7" s="314">
        <f t="shared" si="10"/>
        <v>1184.8031990260483</v>
      </c>
      <c r="S7" s="317">
        <f>SUM(ELEC!N6)</f>
        <v>15739</v>
      </c>
      <c r="T7" s="355">
        <f t="shared" si="12"/>
        <v>7.5278175171614989E-2</v>
      </c>
      <c r="V7" s="612" t="s">
        <v>204</v>
      </c>
      <c r="W7" s="613"/>
      <c r="X7" s="614" t="s">
        <v>205</v>
      </c>
      <c r="Y7" s="615"/>
      <c r="Z7" s="613"/>
      <c r="AA7" s="26"/>
      <c r="AB7" s="626"/>
      <c r="AC7" s="627"/>
    </row>
    <row r="8" spans="1:30" ht="15.75" customHeight="1">
      <c r="A8" s="165">
        <f>ELEC!C7</f>
        <v>43804</v>
      </c>
      <c r="B8" s="557">
        <v>49103310</v>
      </c>
      <c r="C8" s="272">
        <f t="shared" si="3"/>
        <v>5670</v>
      </c>
      <c r="D8" s="327">
        <f t="shared" si="4"/>
        <v>5673</v>
      </c>
      <c r="E8" s="327">
        <f t="shared" si="11"/>
        <v>49103313</v>
      </c>
      <c r="F8" s="557">
        <v>7888346</v>
      </c>
      <c r="G8" s="162">
        <f t="shared" si="0"/>
        <v>1221</v>
      </c>
      <c r="H8" s="557">
        <v>24189452</v>
      </c>
      <c r="I8" s="163">
        <f t="shared" si="1"/>
        <v>2534</v>
      </c>
      <c r="J8" s="557">
        <v>17025515</v>
      </c>
      <c r="K8" s="164">
        <f>J8-J7</f>
        <v>1918</v>
      </c>
      <c r="L8" s="313">
        <f>SUM(G8*$Y$28)/1507.5</f>
        <v>259.18407960199005</v>
      </c>
      <c r="M8" s="313">
        <f>SUM(I8*$Y$27)/1507.5</f>
        <v>188.26401326699835</v>
      </c>
      <c r="N8" s="313">
        <f>SUM(K8*$Y$26)/1507.5</f>
        <v>101.78441127694859</v>
      </c>
      <c r="O8" s="313">
        <f t="shared" si="8"/>
        <v>154.80303857058792</v>
      </c>
      <c r="P8" s="314">
        <f t="shared" si="9"/>
        <v>704.0355427165249</v>
      </c>
      <c r="Q8" s="314">
        <f>SUM(-tanks!AX10*tanks!$AU$37)</f>
        <v>561.36617612903012</v>
      </c>
      <c r="R8" s="314">
        <f t="shared" si="10"/>
        <v>1265.401718845555</v>
      </c>
      <c r="S8" s="317">
        <f>SUM(ELEC!N7)</f>
        <v>13473</v>
      </c>
      <c r="T8" s="355">
        <f>IF(S8&gt;0,R8/S8,0)</f>
        <v>9.39213032617498E-2</v>
      </c>
      <c r="V8" s="262" t="s">
        <v>206</v>
      </c>
      <c r="W8" s="263" t="s">
        <v>207</v>
      </c>
      <c r="X8" s="263"/>
      <c r="Y8" s="263" t="s">
        <v>208</v>
      </c>
      <c r="Z8" s="26" t="s">
        <v>209</v>
      </c>
      <c r="AA8" s="26" t="s">
        <v>210</v>
      </c>
      <c r="AB8" s="26" t="s">
        <v>211</v>
      </c>
      <c r="AC8" s="259" t="s">
        <v>212</v>
      </c>
    </row>
    <row r="9" spans="1:30">
      <c r="A9" s="165">
        <f>ELEC!C8</f>
        <v>43805</v>
      </c>
      <c r="B9" s="557">
        <v>49108999</v>
      </c>
      <c r="C9" s="272">
        <f t="shared" si="3"/>
        <v>5689</v>
      </c>
      <c r="D9" s="327">
        <f t="shared" si="4"/>
        <v>5688</v>
      </c>
      <c r="E9" s="327">
        <f t="shared" si="11"/>
        <v>49108998</v>
      </c>
      <c r="F9" s="557">
        <v>7889461</v>
      </c>
      <c r="G9" s="162">
        <f t="shared" si="0"/>
        <v>1115</v>
      </c>
      <c r="H9" s="557">
        <v>24192554</v>
      </c>
      <c r="I9" s="163">
        <f t="shared" si="1"/>
        <v>3102</v>
      </c>
      <c r="J9" s="557">
        <v>17026986</v>
      </c>
      <c r="K9" s="164">
        <f>J9-J8</f>
        <v>1471</v>
      </c>
      <c r="L9" s="313">
        <f>SUM(G9*$Y$28)/1507.5</f>
        <v>236.68325041459369</v>
      </c>
      <c r="M9" s="313">
        <f>SUM(I9*$Y$27)/1507.5</f>
        <v>230.46368159203979</v>
      </c>
      <c r="N9" s="313">
        <f>SUM(K9*$Y$26)/1507.5</f>
        <v>78.063018242122723</v>
      </c>
      <c r="O9" s="313">
        <f t="shared" si="8"/>
        <v>154.80303857058792</v>
      </c>
      <c r="P9" s="314">
        <f t="shared" si="9"/>
        <v>700.01298881934417</v>
      </c>
      <c r="Q9" s="314">
        <f>SUM(-tanks!AX11*tanks!$AU$37)</f>
        <v>614.97553535484792</v>
      </c>
      <c r="R9" s="314">
        <f>SUM(P9:Q9)</f>
        <v>1314.9885241741922</v>
      </c>
      <c r="S9" s="317">
        <f>SUM(ELEC!N8)</f>
        <v>14010.399999999907</v>
      </c>
      <c r="T9" s="355">
        <f t="shared" si="12"/>
        <v>9.3858028619753966E-2</v>
      </c>
      <c r="V9" s="272">
        <f>'[1]EDl log'!V26</f>
        <v>16947420</v>
      </c>
      <c r="W9" s="272">
        <f>'[1]EDl log'!W26</f>
        <v>17015254</v>
      </c>
      <c r="X9" s="272" t="str">
        <f>'[5]EDl log'!X26</f>
        <v>Night</v>
      </c>
      <c r="Y9" s="272">
        <f>'[1]EDl log'!Y26</f>
        <v>80</v>
      </c>
      <c r="Z9" s="272">
        <f>'[1]EDl log'!Z26</f>
        <v>1</v>
      </c>
      <c r="AA9" s="272">
        <f>'[1]EDl log'!AA26</f>
        <v>67834</v>
      </c>
      <c r="AB9" s="272">
        <f>'[1]EDl log'!AB26</f>
        <v>5426720</v>
      </c>
      <c r="AC9" s="272">
        <f>'[1]EDl log'!AC26</f>
        <v>1033333</v>
      </c>
      <c r="AD9" s="558">
        <f>'[1]EDl log'!AD26</f>
        <v>0.34115380940167073</v>
      </c>
    </row>
    <row r="10" spans="1:30">
      <c r="A10" s="165">
        <f>ELEC!C9</f>
        <v>43806</v>
      </c>
      <c r="B10" s="557">
        <v>49115808</v>
      </c>
      <c r="C10" s="272">
        <f t="shared" si="3"/>
        <v>6809</v>
      </c>
      <c r="D10" s="327">
        <f t="shared" si="4"/>
        <v>6810</v>
      </c>
      <c r="E10" s="327">
        <f t="shared" si="11"/>
        <v>49115809</v>
      </c>
      <c r="F10" s="557">
        <v>7890693</v>
      </c>
      <c r="G10" s="162">
        <f t="shared" si="0"/>
        <v>1232</v>
      </c>
      <c r="H10" s="557">
        <v>24196086</v>
      </c>
      <c r="I10" s="163">
        <f t="shared" si="1"/>
        <v>3532</v>
      </c>
      <c r="J10" s="557">
        <v>17029032</v>
      </c>
      <c r="K10" s="164">
        <f t="shared" si="2"/>
        <v>2046</v>
      </c>
      <c r="L10" s="313">
        <f t="shared" si="5"/>
        <v>261.51907131011609</v>
      </c>
      <c r="M10" s="313">
        <f t="shared" si="6"/>
        <v>262.41061359867331</v>
      </c>
      <c r="N10" s="313">
        <f t="shared" si="7"/>
        <v>108.57711442786069</v>
      </c>
      <c r="O10" s="313">
        <f t="shared" si="8"/>
        <v>154.80303857058792</v>
      </c>
      <c r="P10" s="314">
        <f t="shared" si="9"/>
        <v>787.30983790723792</v>
      </c>
      <c r="Q10" s="314">
        <f>SUM(-tanks!AX12*tanks!$AU$37)</f>
        <v>476.99072535482821</v>
      </c>
      <c r="R10" s="314">
        <f t="shared" si="10"/>
        <v>1264.3005632620661</v>
      </c>
      <c r="S10" s="317">
        <f>SUM(ELEC!N9)</f>
        <v>15285.600000000093</v>
      </c>
      <c r="T10" s="355">
        <f t="shared" si="12"/>
        <v>8.2711870208696969E-2</v>
      </c>
      <c r="V10" s="272">
        <f>'[1]EDl log'!V27</f>
        <v>24072356</v>
      </c>
      <c r="W10" s="272">
        <f>'[1]EDl log'!W27</f>
        <v>24173587</v>
      </c>
      <c r="X10" s="272" t="str">
        <f>'[5]EDl log'!X27</f>
        <v>day</v>
      </c>
      <c r="Y10" s="272">
        <f>'[1]EDl log'!Y27</f>
        <v>112</v>
      </c>
      <c r="Z10" s="272">
        <f>'[1]EDl log'!Z27</f>
        <v>1</v>
      </c>
      <c r="AA10" s="272">
        <f>'[1]EDl log'!AA27</f>
        <v>101231</v>
      </c>
      <c r="AB10" s="272">
        <f>'[1]EDl log'!AB27</f>
        <v>11337872</v>
      </c>
      <c r="AC10" s="272">
        <f>'[1]EDl log'!AC27</f>
        <v>6200000</v>
      </c>
      <c r="AD10" s="558">
        <f>'[1]EDl log'!AD27</f>
        <v>0.50911550667129357</v>
      </c>
    </row>
    <row r="11" spans="1:30">
      <c r="A11" s="165">
        <f>ELEC!C10</f>
        <v>43807</v>
      </c>
      <c r="B11" s="557">
        <v>49123243</v>
      </c>
      <c r="C11" s="272">
        <f t="shared" si="3"/>
        <v>7435</v>
      </c>
      <c r="D11" s="327">
        <f>SUM(G11+I11+K11)</f>
        <v>7432</v>
      </c>
      <c r="E11" s="327">
        <f t="shared" si="11"/>
        <v>49123240</v>
      </c>
      <c r="F11" s="557">
        <v>7891631</v>
      </c>
      <c r="G11" s="162">
        <f t="shared" si="0"/>
        <v>938</v>
      </c>
      <c r="H11" s="557">
        <v>24199601</v>
      </c>
      <c r="I11" s="163">
        <f t="shared" si="1"/>
        <v>3515</v>
      </c>
      <c r="J11" s="557">
        <v>17032011</v>
      </c>
      <c r="K11" s="164">
        <f t="shared" si="2"/>
        <v>2979</v>
      </c>
      <c r="L11" s="313">
        <f t="shared" si="5"/>
        <v>199.11111111111111</v>
      </c>
      <c r="M11" s="313">
        <f t="shared" si="6"/>
        <v>261.1475953565506</v>
      </c>
      <c r="N11" s="313">
        <f t="shared" si="7"/>
        <v>158.08955223880596</v>
      </c>
      <c r="O11" s="313">
        <f t="shared" si="8"/>
        <v>154.80303857058792</v>
      </c>
      <c r="P11" s="314">
        <f t="shared" si="9"/>
        <v>773.15129727705551</v>
      </c>
      <c r="Q11" s="314">
        <f>SUM(-tanks!AX13*tanks!$AU$37)</f>
        <v>317.01789290322643</v>
      </c>
      <c r="R11" s="314">
        <f t="shared" si="10"/>
        <v>1090.1691901802819</v>
      </c>
      <c r="S11" s="317">
        <f>SUM(ELEC!N10)</f>
        <v>16664</v>
      </c>
      <c r="T11" s="355">
        <f t="shared" si="12"/>
        <v>6.5420618709810488E-2</v>
      </c>
      <c r="V11" s="272">
        <f>'[1]EDl log'!V28</f>
        <v>7852809</v>
      </c>
      <c r="W11" s="272">
        <f>'[1]EDl log'!W28</f>
        <v>7882582</v>
      </c>
      <c r="X11" s="272" t="str">
        <f>'[5]EDl log'!X28</f>
        <v>Peak</v>
      </c>
      <c r="Y11" s="272">
        <f>'[1]EDl log'!Y28</f>
        <v>320</v>
      </c>
      <c r="Z11" s="272">
        <f>'[1]EDl log'!Z28</f>
        <v>1</v>
      </c>
      <c r="AA11" s="272">
        <f>'[1]EDl log'!AA28</f>
        <v>29773</v>
      </c>
      <c r="AB11" s="272">
        <f>'[1]EDl log'!AB28</f>
        <v>9527360</v>
      </c>
      <c r="AC11" s="272">
        <f>'[1]EDl log'!AC28</f>
        <v>1000</v>
      </c>
      <c r="AD11" s="558">
        <f>'[1]EDl log'!AD28</f>
        <v>0.14973571317209575</v>
      </c>
    </row>
    <row r="12" spans="1:30">
      <c r="A12" s="165">
        <f>ELEC!C11</f>
        <v>43808</v>
      </c>
      <c r="B12" s="557">
        <v>49129110</v>
      </c>
      <c r="C12" s="272">
        <f t="shared" si="3"/>
        <v>5867</v>
      </c>
      <c r="D12" s="327">
        <f t="shared" si="4"/>
        <v>5867</v>
      </c>
      <c r="E12" s="327">
        <f t="shared" si="11"/>
        <v>49129110</v>
      </c>
      <c r="F12" s="557">
        <v>7892656</v>
      </c>
      <c r="G12" s="162">
        <f t="shared" si="0"/>
        <v>1025</v>
      </c>
      <c r="H12" s="557">
        <v>24202380</v>
      </c>
      <c r="I12" s="163">
        <f t="shared" si="1"/>
        <v>2779</v>
      </c>
      <c r="J12" s="557">
        <v>17034074</v>
      </c>
      <c r="K12" s="164">
        <f t="shared" si="2"/>
        <v>2063</v>
      </c>
      <c r="L12" s="313">
        <f t="shared" si="5"/>
        <v>217.57877280265339</v>
      </c>
      <c r="M12" s="313">
        <f t="shared" si="6"/>
        <v>206.46633499170812</v>
      </c>
      <c r="N12" s="313">
        <f t="shared" si="7"/>
        <v>109.47927031509121</v>
      </c>
      <c r="O12" s="313">
        <f t="shared" si="8"/>
        <v>154.80303857058792</v>
      </c>
      <c r="P12" s="314">
        <f t="shared" si="9"/>
        <v>688.32741668004064</v>
      </c>
      <c r="Q12" s="314">
        <f>SUM(-tanks!AX14*tanks!$AU$37)</f>
        <v>493.05149612904194</v>
      </c>
      <c r="R12" s="314">
        <f t="shared" si="10"/>
        <v>1181.3789128090825</v>
      </c>
      <c r="S12" s="317">
        <f>SUM(ELEC!N11)</f>
        <v>13515</v>
      </c>
      <c r="T12" s="355">
        <f t="shared" si="12"/>
        <v>8.7412424181212173E-2</v>
      </c>
      <c r="V12" s="272">
        <f>'[6]EDl log'!V29</f>
        <v>0</v>
      </c>
      <c r="W12" s="272">
        <f>'[6]EDl log'!W29</f>
        <v>0</v>
      </c>
      <c r="X12" s="3"/>
      <c r="Y12" s="272">
        <f>'[1]EDl log'!Y29</f>
        <v>0</v>
      </c>
      <c r="Z12" s="28"/>
      <c r="AA12" s="272">
        <f>'[1]EDl log'!AA29</f>
        <v>198838</v>
      </c>
      <c r="AB12" s="272">
        <f>'[6]EDl log'!AB29</f>
        <v>0</v>
      </c>
      <c r="AC12" s="272">
        <f>'[6]EDl log'!AC29</f>
        <v>0</v>
      </c>
    </row>
    <row r="13" spans="1:30">
      <c r="A13" s="165">
        <f>ELEC!C12</f>
        <v>43809</v>
      </c>
      <c r="B13" s="557">
        <v>49136049</v>
      </c>
      <c r="C13" s="272">
        <f t="shared" si="3"/>
        <v>6939</v>
      </c>
      <c r="D13" s="327">
        <f t="shared" si="4"/>
        <v>6936</v>
      </c>
      <c r="E13" s="327">
        <f t="shared" si="11"/>
        <v>49136046</v>
      </c>
      <c r="F13" s="557">
        <v>7893637</v>
      </c>
      <c r="G13" s="162">
        <f t="shared" si="0"/>
        <v>981</v>
      </c>
      <c r="H13" s="557">
        <v>24205940</v>
      </c>
      <c r="I13" s="163">
        <f t="shared" si="1"/>
        <v>3560</v>
      </c>
      <c r="J13" s="557">
        <v>17036469</v>
      </c>
      <c r="K13" s="164">
        <f t="shared" si="2"/>
        <v>2395</v>
      </c>
      <c r="L13" s="313">
        <f t="shared" si="5"/>
        <v>208.23880597014926</v>
      </c>
      <c r="M13" s="313">
        <f t="shared" si="6"/>
        <v>264.49087893864015</v>
      </c>
      <c r="N13" s="313">
        <f t="shared" si="7"/>
        <v>127.09784411276948</v>
      </c>
      <c r="O13" s="313">
        <f t="shared" si="8"/>
        <v>154.80303857058792</v>
      </c>
      <c r="P13" s="314">
        <f t="shared" si="9"/>
        <v>754.6305675921468</v>
      </c>
      <c r="Q13" s="314">
        <f>SUM(-tanks!AX15*tanks!$AU$37)</f>
        <v>418.12222012902771</v>
      </c>
      <c r="R13" s="314">
        <f t="shared" si="10"/>
        <v>1172.7527877211746</v>
      </c>
      <c r="S13" s="317">
        <f>SUM(ELEC!N12)</f>
        <v>15465</v>
      </c>
      <c r="T13" s="355">
        <f t="shared" si="12"/>
        <v>7.5832705316597138E-2</v>
      </c>
      <c r="V13" s="272" t="str">
        <f>'[5]EDl log'!V30</f>
        <v>Occ %</v>
      </c>
      <c r="W13" s="558">
        <f>'[1]EDl log'!W30</f>
        <v>0.10532333333333334</v>
      </c>
      <c r="X13" s="272">
        <f>'[7]EDl log'!X30</f>
        <v>0</v>
      </c>
      <c r="Y13" s="272" t="str">
        <f>'[1]EDl log'!Y30</f>
        <v>Per G</v>
      </c>
      <c r="Z13" s="3"/>
      <c r="AA13" s="3"/>
      <c r="AB13" s="272">
        <f>'[1]EDl log'!AB30</f>
        <v>26291952</v>
      </c>
      <c r="AC13" s="272">
        <f>'[1]EDl log'!AC30</f>
        <v>7234333</v>
      </c>
    </row>
    <row r="14" spans="1:30">
      <c r="A14" s="165">
        <f>ELEC!C13</f>
        <v>43810</v>
      </c>
      <c r="B14" s="557">
        <v>49141974</v>
      </c>
      <c r="C14" s="272">
        <f t="shared" si="3"/>
        <v>5925</v>
      </c>
      <c r="D14" s="327">
        <f t="shared" si="4"/>
        <v>5928</v>
      </c>
      <c r="E14" s="327">
        <f t="shared" si="11"/>
        <v>49141977</v>
      </c>
      <c r="F14" s="557">
        <v>7894342</v>
      </c>
      <c r="G14" s="162">
        <f t="shared" si="0"/>
        <v>705</v>
      </c>
      <c r="H14" s="557">
        <v>24209292</v>
      </c>
      <c r="I14" s="163">
        <f t="shared" si="1"/>
        <v>3352</v>
      </c>
      <c r="J14" s="557">
        <v>17038340</v>
      </c>
      <c r="K14" s="164">
        <f t="shared" si="2"/>
        <v>1871</v>
      </c>
      <c r="L14" s="313">
        <f t="shared" si="5"/>
        <v>149.65174129353233</v>
      </c>
      <c r="M14" s="313">
        <f t="shared" si="6"/>
        <v>249.03747927031509</v>
      </c>
      <c r="N14" s="313">
        <f t="shared" si="7"/>
        <v>99.290215588723058</v>
      </c>
      <c r="O14" s="313">
        <f t="shared" si="8"/>
        <v>154.80303857058792</v>
      </c>
      <c r="P14" s="314">
        <f t="shared" si="9"/>
        <v>652.78247472315843</v>
      </c>
      <c r="Q14" s="314">
        <f>SUM(-tanks!AX16*tanks!$AU$37)</f>
        <v>543.19090335483531</v>
      </c>
      <c r="R14" s="314">
        <f>SUM(P14:Q14)</f>
        <v>1195.9733780779939</v>
      </c>
      <c r="S14" s="317">
        <f>SUM(ELEC!N13)</f>
        <v>13877</v>
      </c>
      <c r="T14" s="355">
        <f t="shared" si="12"/>
        <v>8.6183856602867606E-2</v>
      </c>
      <c r="V14" s="272" t="str">
        <f>'[5]EDl log'!V31</f>
        <v>Gen RH</v>
      </c>
      <c r="W14" s="272">
        <f>'[1]EDl log'!W31</f>
        <v>97.190000000000509</v>
      </c>
      <c r="X14" s="272">
        <f>'[1]EDl log'!X31</f>
        <v>3.2396666666666838</v>
      </c>
      <c r="Y14" s="272">
        <f>'[1]EDl log'!Y31</f>
        <v>1.6198333333333419</v>
      </c>
      <c r="Z14" s="3"/>
      <c r="AA14" s="3"/>
      <c r="AB14" s="272">
        <f>'[1]EDl log'!AB31</f>
        <v>33526285</v>
      </c>
      <c r="AC14" s="272">
        <f>'[1]EDl log'!AC31</f>
        <v>7234333</v>
      </c>
    </row>
    <row r="15" spans="1:30">
      <c r="A15" s="165">
        <f>ELEC!C14</f>
        <v>43811</v>
      </c>
      <c r="B15" s="557">
        <v>49148088</v>
      </c>
      <c r="C15" s="272">
        <f t="shared" si="3"/>
        <v>6114</v>
      </c>
      <c r="D15" s="327">
        <f t="shared" si="4"/>
        <v>6116</v>
      </c>
      <c r="E15" s="327">
        <f t="shared" si="11"/>
        <v>49148090</v>
      </c>
      <c r="F15" s="557">
        <v>7895413</v>
      </c>
      <c r="G15" s="162">
        <f t="shared" si="0"/>
        <v>1071</v>
      </c>
      <c r="H15" s="557">
        <v>24211988</v>
      </c>
      <c r="I15" s="163">
        <f t="shared" si="1"/>
        <v>2696</v>
      </c>
      <c r="J15" s="557">
        <v>17040689</v>
      </c>
      <c r="K15" s="164">
        <f t="shared" si="2"/>
        <v>2349</v>
      </c>
      <c r="L15" s="313">
        <f t="shared" si="5"/>
        <v>227.34328358208955</v>
      </c>
      <c r="M15" s="313">
        <f t="shared" si="6"/>
        <v>200.29983416252074</v>
      </c>
      <c r="N15" s="313">
        <f t="shared" si="7"/>
        <v>124.65671641791045</v>
      </c>
      <c r="O15" s="313">
        <f t="shared" si="8"/>
        <v>154.80303857058792</v>
      </c>
      <c r="P15" s="314">
        <f t="shared" si="9"/>
        <v>707.1028727331086</v>
      </c>
      <c r="Q15" s="314">
        <f>SUM(-tanks!AX17*tanks!$AU$37)</f>
        <v>-463.42398258064134</v>
      </c>
      <c r="R15" s="314">
        <f t="shared" si="10"/>
        <v>243.67889015246726</v>
      </c>
      <c r="S15" s="317">
        <f>SUM(ELEC!N14)</f>
        <v>14595</v>
      </c>
      <c r="T15" s="355">
        <f t="shared" si="12"/>
        <v>1.6696052768240304E-2</v>
      </c>
      <c r="V15" s="272" t="str">
        <f>'[5]EDl log'!V32</f>
        <v>H Deg</v>
      </c>
      <c r="W15" s="272">
        <f>'[1]EDl log'!W32</f>
        <v>0</v>
      </c>
      <c r="X15" s="272">
        <f>'[1]EDl log'!X32</f>
        <v>0</v>
      </c>
      <c r="Y15" s="272">
        <f>'[1]EDl log'!Y32</f>
        <v>0</v>
      </c>
      <c r="Z15" s="3"/>
      <c r="AA15" s="3"/>
      <c r="AB15" s="272">
        <f>'[6]EDl log'!AB32</f>
        <v>0</v>
      </c>
      <c r="AC15" s="272">
        <f>'[6]EDl log'!AC32</f>
        <v>0</v>
      </c>
    </row>
    <row r="16" spans="1:30">
      <c r="A16" s="165">
        <f>ELEC!C15</f>
        <v>43812</v>
      </c>
      <c r="B16" s="557">
        <v>49154804</v>
      </c>
      <c r="C16" s="272">
        <f t="shared" si="3"/>
        <v>6716</v>
      </c>
      <c r="D16" s="327">
        <f t="shared" si="4"/>
        <v>6713</v>
      </c>
      <c r="E16" s="327">
        <f t="shared" si="11"/>
        <v>49154801</v>
      </c>
      <c r="F16" s="557">
        <v>7896602</v>
      </c>
      <c r="G16" s="162">
        <f t="shared" si="0"/>
        <v>1189</v>
      </c>
      <c r="H16" s="557">
        <v>24215080</v>
      </c>
      <c r="I16" s="163">
        <f t="shared" si="1"/>
        <v>3092</v>
      </c>
      <c r="J16" s="557">
        <v>17043121</v>
      </c>
      <c r="K16" s="164">
        <f t="shared" si="2"/>
        <v>2432</v>
      </c>
      <c r="L16" s="313">
        <f t="shared" si="5"/>
        <v>252.39137645107795</v>
      </c>
      <c r="M16" s="313">
        <f t="shared" si="6"/>
        <v>229.72072968490878</v>
      </c>
      <c r="N16" s="313">
        <f t="shared" si="7"/>
        <v>129.06135986733003</v>
      </c>
      <c r="O16" s="313">
        <f t="shared" si="8"/>
        <v>154.80303857058792</v>
      </c>
      <c r="P16" s="314">
        <f t="shared" si="9"/>
        <v>765.97650457390466</v>
      </c>
      <c r="Q16" s="314">
        <f>SUM(-tanks!AX18*tanks!$AU$37)</f>
        <v>489.62351935483372</v>
      </c>
      <c r="R16" s="314">
        <f t="shared" si="10"/>
        <v>1255.6000239287384</v>
      </c>
      <c r="S16" s="317">
        <f>SUM(ELEC!N15)</f>
        <v>15369</v>
      </c>
      <c r="T16" s="355">
        <f t="shared" si="12"/>
        <v>8.1696923933160151E-2</v>
      </c>
      <c r="V16" s="272" t="str">
        <f>'[5]EDl log'!V33</f>
        <v>C Deg</v>
      </c>
      <c r="W16" s="272">
        <f>'[1]EDl log'!W33</f>
        <v>286.49999999999983</v>
      </c>
      <c r="X16" s="272">
        <f>'[1]EDl log'!X33</f>
        <v>0</v>
      </c>
      <c r="Y16" s="272">
        <f>'[1]EDl log'!Y33</f>
        <v>0</v>
      </c>
      <c r="Z16" s="3"/>
      <c r="AA16" s="3"/>
      <c r="AB16" s="272">
        <f>'[6]EDl log'!AB33</f>
        <v>0</v>
      </c>
      <c r="AC16" s="272">
        <f>'[6]EDl log'!AC33</f>
        <v>0</v>
      </c>
    </row>
    <row r="17" spans="1:32">
      <c r="A17" s="165">
        <f>ELEC!C16</f>
        <v>43813</v>
      </c>
      <c r="B17" s="557">
        <v>49161186</v>
      </c>
      <c r="C17" s="272">
        <f t="shared" si="3"/>
        <v>6382</v>
      </c>
      <c r="D17" s="327">
        <f t="shared" si="4"/>
        <v>6382</v>
      </c>
      <c r="E17" s="327">
        <f t="shared" si="11"/>
        <v>49161186</v>
      </c>
      <c r="F17" s="557">
        <v>7897787</v>
      </c>
      <c r="G17" s="162">
        <f t="shared" si="0"/>
        <v>1185</v>
      </c>
      <c r="H17" s="557">
        <v>24218287</v>
      </c>
      <c r="I17" s="163">
        <f t="shared" si="1"/>
        <v>3207</v>
      </c>
      <c r="J17" s="557">
        <v>17045111</v>
      </c>
      <c r="K17" s="164">
        <f t="shared" si="2"/>
        <v>1990</v>
      </c>
      <c r="L17" s="313">
        <f t="shared" si="5"/>
        <v>251.54228855721394</v>
      </c>
      <c r="M17" s="313">
        <f t="shared" si="6"/>
        <v>238.26467661691541</v>
      </c>
      <c r="N17" s="313">
        <f t="shared" si="7"/>
        <v>105.60530679933665</v>
      </c>
      <c r="O17" s="313">
        <f t="shared" si="8"/>
        <v>154.80303857058792</v>
      </c>
      <c r="P17" s="314">
        <f t="shared" si="9"/>
        <v>750.21531054405386</v>
      </c>
      <c r="Q17" s="314">
        <f>SUM(-tanks!AX19*tanks!$AU$37)</f>
        <v>703.93503058064846</v>
      </c>
      <c r="R17" s="314">
        <f t="shared" si="10"/>
        <v>1454.1503411247022</v>
      </c>
      <c r="S17" s="317">
        <f>SUM(ELEC!N16)</f>
        <v>15707</v>
      </c>
      <c r="T17" s="355">
        <f t="shared" si="12"/>
        <v>9.2579763234526144E-2</v>
      </c>
      <c r="V17" s="260"/>
      <c r="W17" s="272">
        <f>'[1]EDl log'!W34</f>
        <v>0</v>
      </c>
      <c r="X17" s="17"/>
      <c r="Y17" s="460"/>
      <c r="Z17" s="460" t="str">
        <f>'[8]EDl log'!Z34</f>
        <v xml:space="preserve">VAT </v>
      </c>
      <c r="AA17" s="556">
        <f>'[6]EDl log'!$AA$35</f>
        <v>0.11</v>
      </c>
      <c r="AB17" s="272">
        <f>'[6]EDl log'!AB34</f>
        <v>0</v>
      </c>
      <c r="AC17" s="272">
        <f>'[6]EDl log'!AC34</f>
        <v>0</v>
      </c>
    </row>
    <row r="18" spans="1:32" ht="15.75" thickBot="1">
      <c r="A18" s="165">
        <f>ELEC!C17</f>
        <v>43814</v>
      </c>
      <c r="B18" s="557">
        <v>49166643</v>
      </c>
      <c r="C18" s="272">
        <f t="shared" si="3"/>
        <v>5457</v>
      </c>
      <c r="D18" s="327">
        <f t="shared" si="4"/>
        <v>5459</v>
      </c>
      <c r="E18" s="327">
        <f t="shared" si="11"/>
        <v>49166645</v>
      </c>
      <c r="F18" s="557">
        <v>7898698</v>
      </c>
      <c r="G18" s="162">
        <f t="shared" si="0"/>
        <v>911</v>
      </c>
      <c r="H18" s="557">
        <v>24221160</v>
      </c>
      <c r="I18" s="163">
        <f t="shared" si="1"/>
        <v>2873</v>
      </c>
      <c r="J18" s="557">
        <v>17046786</v>
      </c>
      <c r="K18" s="164">
        <f t="shared" si="2"/>
        <v>1675</v>
      </c>
      <c r="L18" s="313">
        <f t="shared" si="5"/>
        <v>193.37976782752901</v>
      </c>
      <c r="M18" s="313">
        <f t="shared" si="6"/>
        <v>213.45008291873964</v>
      </c>
      <c r="N18" s="313">
        <f t="shared" si="7"/>
        <v>88.888888888888886</v>
      </c>
      <c r="O18" s="313">
        <f t="shared" si="8"/>
        <v>154.80303857058792</v>
      </c>
      <c r="P18" s="314">
        <f t="shared" si="9"/>
        <v>650.52177820574548</v>
      </c>
      <c r="Q18" s="314">
        <f>SUM(-tanks!AX20*tanks!$AU$37)</f>
        <v>366.9281853548282</v>
      </c>
      <c r="R18" s="314">
        <f t="shared" si="10"/>
        <v>1017.4499635605737</v>
      </c>
      <c r="S18" s="317">
        <f>SUM(ELEC!N17)</f>
        <v>12865</v>
      </c>
      <c r="T18" s="355">
        <f t="shared" si="12"/>
        <v>7.9086666425229199E-2</v>
      </c>
      <c r="V18" s="234"/>
      <c r="W18" s="235"/>
      <c r="X18" s="235"/>
      <c r="Y18" s="460"/>
      <c r="Z18" s="460"/>
      <c r="AA18" s="45"/>
      <c r="AB18" s="272">
        <f>'[1]EDl log'!AB35</f>
        <v>3687891.35</v>
      </c>
      <c r="AC18" s="272">
        <f>'[6]EDl log'!AC35</f>
        <v>0</v>
      </c>
    </row>
    <row r="19" spans="1:32" ht="15.75" thickBot="1">
      <c r="A19" s="165">
        <f>ELEC!C18</f>
        <v>43815</v>
      </c>
      <c r="B19" s="557">
        <v>49173352</v>
      </c>
      <c r="C19" s="272">
        <f t="shared" si="3"/>
        <v>6709</v>
      </c>
      <c r="D19" s="327">
        <f t="shared" si="4"/>
        <v>6708</v>
      </c>
      <c r="E19" s="327">
        <f t="shared" si="11"/>
        <v>49173351</v>
      </c>
      <c r="F19" s="557">
        <v>7899898</v>
      </c>
      <c r="G19" s="162">
        <f>F19-F18</f>
        <v>1200</v>
      </c>
      <c r="H19" s="557">
        <v>24224437</v>
      </c>
      <c r="I19" s="163">
        <f t="shared" si="1"/>
        <v>3277</v>
      </c>
      <c r="J19" s="557">
        <v>17049017</v>
      </c>
      <c r="K19" s="164">
        <f t="shared" si="2"/>
        <v>2231</v>
      </c>
      <c r="L19" s="313">
        <f t="shared" si="5"/>
        <v>254.72636815920399</v>
      </c>
      <c r="M19" s="313">
        <f t="shared" si="6"/>
        <v>243.46533996683252</v>
      </c>
      <c r="N19" s="313">
        <f t="shared" si="7"/>
        <v>118.39469320066335</v>
      </c>
      <c r="O19" s="313">
        <f t="shared" si="8"/>
        <v>154.80303857058792</v>
      </c>
      <c r="P19" s="314">
        <f t="shared" si="9"/>
        <v>771.38943989728773</v>
      </c>
      <c r="Q19" s="314">
        <f>SUM(-tanks!AX21*tanks!$AU$37)</f>
        <v>580.16757935484554</v>
      </c>
      <c r="R19" s="314">
        <f t="shared" si="10"/>
        <v>1351.5570192521332</v>
      </c>
      <c r="S19" s="317">
        <f>SUM(ELEC!N18)</f>
        <v>15541</v>
      </c>
      <c r="T19" s="355">
        <f t="shared" si="12"/>
        <v>8.6967184817716564E-2</v>
      </c>
      <c r="V19" s="234"/>
      <c r="W19" s="235"/>
      <c r="X19" s="235"/>
      <c r="Y19" s="460"/>
      <c r="Z19" s="460"/>
      <c r="AA19" s="235" t="s">
        <v>215</v>
      </c>
      <c r="AB19" s="272">
        <f>'[1]EDl log'!AB36</f>
        <v>37214176.350000001</v>
      </c>
      <c r="AC19" s="272">
        <f>'[6]EDl log'!AC36</f>
        <v>0</v>
      </c>
    </row>
    <row r="20" spans="1:32" ht="15.75" thickBot="1">
      <c r="A20" s="165">
        <f>ELEC!C19</f>
        <v>43816</v>
      </c>
      <c r="B20" s="557">
        <v>49180039</v>
      </c>
      <c r="C20" s="272">
        <f t="shared" si="3"/>
        <v>6687</v>
      </c>
      <c r="D20" s="327">
        <f t="shared" si="4"/>
        <v>6691</v>
      </c>
      <c r="E20" s="327">
        <f t="shared" si="11"/>
        <v>49180043</v>
      </c>
      <c r="F20" s="557">
        <v>7901434</v>
      </c>
      <c r="G20" s="162">
        <f t="shared" si="0"/>
        <v>1536</v>
      </c>
      <c r="H20" s="557">
        <v>24227383</v>
      </c>
      <c r="I20" s="163">
        <f t="shared" si="1"/>
        <v>2946</v>
      </c>
      <c r="J20" s="557">
        <v>17051226</v>
      </c>
      <c r="K20" s="164">
        <f t="shared" si="2"/>
        <v>2209</v>
      </c>
      <c r="L20" s="313">
        <f t="shared" si="5"/>
        <v>326.04975124378109</v>
      </c>
      <c r="M20" s="313">
        <f t="shared" si="6"/>
        <v>218.87363184079601</v>
      </c>
      <c r="N20" s="313">
        <f t="shared" si="7"/>
        <v>117.22719734660033</v>
      </c>
      <c r="O20" s="313">
        <f t="shared" si="8"/>
        <v>154.80303857058792</v>
      </c>
      <c r="P20" s="314">
        <f t="shared" si="9"/>
        <v>816.95361900176533</v>
      </c>
      <c r="Q20" s="314">
        <f>SUM(-tanks!AX22*tanks!$AU$37)</f>
        <v>258.2001077419319</v>
      </c>
      <c r="R20" s="314">
        <f t="shared" si="10"/>
        <v>1075.1537267436972</v>
      </c>
      <c r="S20" s="317">
        <f>SUM(ELEC!N19)</f>
        <v>15509.600000000093</v>
      </c>
      <c r="T20" s="355">
        <f t="shared" si="12"/>
        <v>6.9321821758374869E-2</v>
      </c>
      <c r="AB20" s="272"/>
    </row>
    <row r="21" spans="1:32">
      <c r="A21" s="165">
        <f>ELEC!C20</f>
        <v>43817</v>
      </c>
      <c r="B21" s="557">
        <v>49186688</v>
      </c>
      <c r="C21" s="272">
        <f t="shared" si="3"/>
        <v>6649</v>
      </c>
      <c r="D21" s="327">
        <f t="shared" si="4"/>
        <v>6646</v>
      </c>
      <c r="E21" s="327">
        <f t="shared" si="11"/>
        <v>49186685</v>
      </c>
      <c r="F21" s="557">
        <v>7902630</v>
      </c>
      <c r="G21" s="162">
        <f t="shared" si="0"/>
        <v>1196</v>
      </c>
      <c r="H21" s="557">
        <v>24230761</v>
      </c>
      <c r="I21" s="163">
        <f t="shared" si="1"/>
        <v>3378</v>
      </c>
      <c r="J21" s="557">
        <v>17053298</v>
      </c>
      <c r="K21" s="164">
        <f t="shared" si="2"/>
        <v>2072</v>
      </c>
      <c r="L21" s="313">
        <f t="shared" si="5"/>
        <v>253.87728026533998</v>
      </c>
      <c r="M21" s="313">
        <f t="shared" si="6"/>
        <v>250.96915422885573</v>
      </c>
      <c r="N21" s="313">
        <f t="shared" si="7"/>
        <v>109.95688225538971</v>
      </c>
      <c r="O21" s="313">
        <f t="shared" si="8"/>
        <v>154.80303857058792</v>
      </c>
      <c r="P21" s="314">
        <f t="shared" si="9"/>
        <v>769.60635532017329</v>
      </c>
      <c r="Q21" s="314">
        <f>SUM(-tanks!AX23*tanks!$AU$37)</f>
        <v>-667.06679058063264</v>
      </c>
      <c r="R21" s="314">
        <f t="shared" si="10"/>
        <v>102.53956473954065</v>
      </c>
      <c r="S21" s="317">
        <f>SUM(ELEC!N20)</f>
        <v>15084.399999999907</v>
      </c>
      <c r="T21" s="355">
        <f t="shared" si="12"/>
        <v>6.79772246423731E-3</v>
      </c>
      <c r="V21" s="168" t="s">
        <v>201</v>
      </c>
      <c r="W21" s="169">
        <v>43800</v>
      </c>
      <c r="X21" s="170"/>
      <c r="Y21" s="170"/>
      <c r="Z21" s="171" t="s">
        <v>202</v>
      </c>
      <c r="AA21" s="170"/>
      <c r="AB21" s="622"/>
      <c r="AC21" s="623"/>
    </row>
    <row r="22" spans="1:32">
      <c r="A22" s="165">
        <f>ELEC!C21</f>
        <v>43818</v>
      </c>
      <c r="B22" s="557">
        <v>49194004</v>
      </c>
      <c r="C22" s="272">
        <f t="shared" si="3"/>
        <v>7316</v>
      </c>
      <c r="D22" s="327">
        <f t="shared" si="4"/>
        <v>7315</v>
      </c>
      <c r="E22" s="327">
        <f t="shared" si="11"/>
        <v>49194003</v>
      </c>
      <c r="F22" s="557">
        <v>7903405</v>
      </c>
      <c r="G22" s="162">
        <f t="shared" si="0"/>
        <v>775</v>
      </c>
      <c r="H22" s="557">
        <v>24234736</v>
      </c>
      <c r="I22" s="163">
        <f t="shared" si="1"/>
        <v>3975</v>
      </c>
      <c r="J22" s="557">
        <v>17055863</v>
      </c>
      <c r="K22" s="164">
        <f t="shared" si="2"/>
        <v>2565</v>
      </c>
      <c r="L22" s="313">
        <f t="shared" si="5"/>
        <v>164.51077943615257</v>
      </c>
      <c r="M22" s="313">
        <f t="shared" si="6"/>
        <v>295.32338308457713</v>
      </c>
      <c r="N22" s="313">
        <f t="shared" si="7"/>
        <v>136.11940298507463</v>
      </c>
      <c r="O22" s="313">
        <f t="shared" si="8"/>
        <v>154.80303857058792</v>
      </c>
      <c r="P22" s="314">
        <f t="shared" si="9"/>
        <v>750.75660407639225</v>
      </c>
      <c r="Q22" s="314">
        <f>SUM(-tanks!AX24*tanks!$AU$37)</f>
        <v>599.83122367742044</v>
      </c>
      <c r="R22" s="314">
        <f t="shared" si="10"/>
        <v>1350.5878277538127</v>
      </c>
      <c r="S22" s="317">
        <f>SUM(ELEC!N21)</f>
        <v>16194</v>
      </c>
      <c r="T22" s="355">
        <f t="shared" si="12"/>
        <v>8.3400508074213453E-2</v>
      </c>
      <c r="V22" s="628"/>
      <c r="W22" s="629"/>
      <c r="X22" s="629"/>
      <c r="Y22" s="630"/>
      <c r="Z22" s="26" t="s">
        <v>203</v>
      </c>
      <c r="AA22" s="26">
        <v>5000</v>
      </c>
      <c r="AB22" s="624"/>
      <c r="AC22" s="625"/>
    </row>
    <row r="23" spans="1:32">
      <c r="A23" s="165">
        <f>ELEC!C22</f>
        <v>43819</v>
      </c>
      <c r="B23" s="557">
        <v>49200850</v>
      </c>
      <c r="C23" s="272">
        <f t="shared" si="3"/>
        <v>6846</v>
      </c>
      <c r="D23" s="327">
        <f t="shared" si="4"/>
        <v>6846</v>
      </c>
      <c r="E23" s="327">
        <f t="shared" si="11"/>
        <v>49200850</v>
      </c>
      <c r="F23" s="557">
        <v>7904792</v>
      </c>
      <c r="G23" s="162">
        <f t="shared" si="0"/>
        <v>1387</v>
      </c>
      <c r="H23" s="557">
        <v>24237791</v>
      </c>
      <c r="I23" s="163">
        <f t="shared" si="1"/>
        <v>3055</v>
      </c>
      <c r="J23" s="557">
        <v>17058267</v>
      </c>
      <c r="K23" s="164">
        <f t="shared" si="2"/>
        <v>2404</v>
      </c>
      <c r="L23" s="313">
        <f t="shared" si="5"/>
        <v>294.42122719734658</v>
      </c>
      <c r="M23" s="313">
        <f t="shared" si="6"/>
        <v>226.97180762852403</v>
      </c>
      <c r="N23" s="313">
        <f t="shared" si="7"/>
        <v>127.575456053068</v>
      </c>
      <c r="O23" s="313">
        <f t="shared" si="8"/>
        <v>154.80303857058792</v>
      </c>
      <c r="P23" s="314">
        <f t="shared" si="9"/>
        <v>803.7715294495265</v>
      </c>
      <c r="Q23" s="314">
        <f>SUM(-tanks!AX25*tanks!$AU$37)</f>
        <v>534.06478967741486</v>
      </c>
      <c r="R23" s="314">
        <f t="shared" si="10"/>
        <v>1337.8363191269414</v>
      </c>
      <c r="S23" s="317">
        <f>SUM(ELEC!N22)</f>
        <v>15960</v>
      </c>
      <c r="T23" s="355">
        <f t="shared" si="12"/>
        <v>8.3824330772364744E-2</v>
      </c>
      <c r="V23" s="631"/>
      <c r="W23" s="632"/>
      <c r="X23" s="632"/>
      <c r="Y23" s="633"/>
      <c r="Z23" s="634"/>
      <c r="AA23" s="635"/>
      <c r="AB23" s="624"/>
      <c r="AC23" s="625"/>
    </row>
    <row r="24" spans="1:32" ht="15" customHeight="1">
      <c r="A24" s="165">
        <f>ELEC!C23</f>
        <v>43820</v>
      </c>
      <c r="B24" s="557">
        <v>49206923</v>
      </c>
      <c r="C24" s="272">
        <f t="shared" si="3"/>
        <v>6073</v>
      </c>
      <c r="D24" s="327">
        <f t="shared" si="4"/>
        <v>6073</v>
      </c>
      <c r="E24" s="327">
        <f t="shared" si="11"/>
        <v>49206923</v>
      </c>
      <c r="F24" s="557">
        <v>7905995</v>
      </c>
      <c r="G24" s="162">
        <f t="shared" si="0"/>
        <v>1203</v>
      </c>
      <c r="H24" s="557">
        <v>24240440</v>
      </c>
      <c r="I24" s="163">
        <f t="shared" si="1"/>
        <v>2649</v>
      </c>
      <c r="J24" s="557">
        <v>17060488</v>
      </c>
      <c r="K24" s="164">
        <f t="shared" si="2"/>
        <v>2221</v>
      </c>
      <c r="L24" s="313">
        <f t="shared" si="5"/>
        <v>255.36318407960198</v>
      </c>
      <c r="M24" s="313">
        <f t="shared" si="6"/>
        <v>196.80796019900498</v>
      </c>
      <c r="N24" s="313">
        <f t="shared" si="7"/>
        <v>117.86401326699834</v>
      </c>
      <c r="O24" s="313">
        <f t="shared" si="8"/>
        <v>154.80303857058792</v>
      </c>
      <c r="P24" s="314">
        <f t="shared" si="9"/>
        <v>724.83819611619322</v>
      </c>
      <c r="Q24" s="314">
        <f>SUM(-tanks!AX26*tanks!$AU$37)</f>
        <v>474.96716967741884</v>
      </c>
      <c r="R24" s="314">
        <f t="shared" si="10"/>
        <v>1199.8053657936121</v>
      </c>
      <c r="S24" s="317">
        <f>SUM(ELEC!N23)</f>
        <v>14265.200000000186</v>
      </c>
      <c r="T24" s="355">
        <f t="shared" si="12"/>
        <v>8.4107153477946076E-2</v>
      </c>
      <c r="V24" s="636" t="s">
        <v>204</v>
      </c>
      <c r="W24" s="637"/>
      <c r="X24" s="638" t="s">
        <v>205</v>
      </c>
      <c r="Y24" s="639"/>
      <c r="Z24" s="640"/>
      <c r="AA24" s="172"/>
      <c r="AB24" s="626"/>
      <c r="AC24" s="627"/>
    </row>
    <row r="25" spans="1:32" ht="17.25" customHeight="1">
      <c r="A25" s="165">
        <f>ELEC!C24</f>
        <v>43821</v>
      </c>
      <c r="B25" s="557">
        <v>49213776</v>
      </c>
      <c r="C25" s="272">
        <f t="shared" si="3"/>
        <v>6853</v>
      </c>
      <c r="D25" s="327">
        <f t="shared" si="4"/>
        <v>6852</v>
      </c>
      <c r="E25" s="327">
        <f t="shared" si="11"/>
        <v>49213775</v>
      </c>
      <c r="F25" s="557">
        <v>7907072</v>
      </c>
      <c r="G25" s="162">
        <f t="shared" si="0"/>
        <v>1077</v>
      </c>
      <c r="H25" s="557">
        <v>24244244</v>
      </c>
      <c r="I25" s="163">
        <f t="shared" si="1"/>
        <v>3804</v>
      </c>
      <c r="J25" s="557">
        <v>17062459</v>
      </c>
      <c r="K25" s="164">
        <f t="shared" si="2"/>
        <v>1971</v>
      </c>
      <c r="L25" s="313">
        <f t="shared" si="5"/>
        <v>228.61691542288557</v>
      </c>
      <c r="M25" s="313">
        <f t="shared" si="6"/>
        <v>282.61890547263681</v>
      </c>
      <c r="N25" s="313">
        <f t="shared" si="7"/>
        <v>104.59701492537313</v>
      </c>
      <c r="O25" s="313">
        <f t="shared" si="8"/>
        <v>154.80303857058792</v>
      </c>
      <c r="P25" s="314">
        <f t="shared" si="9"/>
        <v>770.63587439148341</v>
      </c>
      <c r="Q25" s="314">
        <f>SUM(-tanks!AX27*tanks!$AU$37)</f>
        <v>467.05134167740778</v>
      </c>
      <c r="R25" s="314">
        <f t="shared" si="10"/>
        <v>1237.6872160688913</v>
      </c>
      <c r="S25" s="317">
        <f>SUM(ELEC!N24)</f>
        <v>15174.799999999814</v>
      </c>
      <c r="T25" s="355">
        <f t="shared" si="12"/>
        <v>8.1562011760873715E-2</v>
      </c>
      <c r="V25" s="254" t="s">
        <v>206</v>
      </c>
      <c r="W25" s="255" t="s">
        <v>207</v>
      </c>
      <c r="X25" s="255"/>
      <c r="Y25" s="255" t="s">
        <v>208</v>
      </c>
      <c r="Z25" s="255" t="s">
        <v>209</v>
      </c>
      <c r="AA25" s="255" t="s">
        <v>210</v>
      </c>
      <c r="AB25" s="255" t="s">
        <v>211</v>
      </c>
      <c r="AC25" s="173" t="s">
        <v>212</v>
      </c>
    </row>
    <row r="26" spans="1:32">
      <c r="A26" s="165">
        <f>ELEC!C25</f>
        <v>43822</v>
      </c>
      <c r="B26" s="557">
        <v>49221109</v>
      </c>
      <c r="C26" s="272">
        <f t="shared" si="3"/>
        <v>7333</v>
      </c>
      <c r="D26" s="327">
        <f t="shared" si="4"/>
        <v>7335</v>
      </c>
      <c r="E26" s="327">
        <f t="shared" si="11"/>
        <v>49221111</v>
      </c>
      <c r="F26" s="557">
        <v>7908356</v>
      </c>
      <c r="G26" s="162">
        <f t="shared" si="0"/>
        <v>1284</v>
      </c>
      <c r="H26" s="557">
        <v>24247851</v>
      </c>
      <c r="I26" s="163">
        <f t="shared" si="1"/>
        <v>3607</v>
      </c>
      <c r="J26" s="557">
        <v>17064903</v>
      </c>
      <c r="K26" s="164">
        <f t="shared" si="2"/>
        <v>2444</v>
      </c>
      <c r="L26" s="313">
        <f t="shared" si="5"/>
        <v>272.55721393034827</v>
      </c>
      <c r="M26" s="313">
        <f t="shared" si="6"/>
        <v>267.98275290215588</v>
      </c>
      <c r="N26" s="313">
        <f t="shared" si="7"/>
        <v>129.69817578772802</v>
      </c>
      <c r="O26" s="313">
        <f t="shared" si="8"/>
        <v>154.80303857058792</v>
      </c>
      <c r="P26" s="314">
        <f t="shared" si="9"/>
        <v>825.04118119082011</v>
      </c>
      <c r="Q26" s="314">
        <f>SUM(-tanks!AX28*tanks!$AU$37)</f>
        <v>716.44189890322491</v>
      </c>
      <c r="R26" s="314">
        <f t="shared" si="10"/>
        <v>1541.4830800940449</v>
      </c>
      <c r="S26" s="317">
        <f>SUM(ELEC!N25)</f>
        <v>17513.200000000186</v>
      </c>
      <c r="T26" s="355">
        <f t="shared" si="12"/>
        <v>8.8018356445083046E-2</v>
      </c>
      <c r="V26" s="261">
        <f>W9</f>
        <v>17015254</v>
      </c>
      <c r="W26" s="172">
        <f>J34</f>
        <v>17085395</v>
      </c>
      <c r="X26" s="174" t="s">
        <v>199</v>
      </c>
      <c r="Y26" s="174">
        <v>80</v>
      </c>
      <c r="Z26" s="174">
        <v>1</v>
      </c>
      <c r="AA26" s="201">
        <f>(W26-V26)*Z26</f>
        <v>70141</v>
      </c>
      <c r="AB26" s="201">
        <f>AA26*Y26</f>
        <v>5611280</v>
      </c>
      <c r="AC26" s="256">
        <f>AC9</f>
        <v>1033333</v>
      </c>
      <c r="AD26" s="217">
        <f>SUM(K37)</f>
        <v>0.34704197198569098</v>
      </c>
    </row>
    <row r="27" spans="1:32">
      <c r="A27" s="165">
        <f>ELEC!C26</f>
        <v>43823</v>
      </c>
      <c r="B27" s="557">
        <v>49227659</v>
      </c>
      <c r="C27" s="272">
        <f t="shared" si="3"/>
        <v>6550</v>
      </c>
      <c r="D27" s="327">
        <f t="shared" si="4"/>
        <v>6550</v>
      </c>
      <c r="E27" s="327">
        <f t="shared" si="11"/>
        <v>49227659</v>
      </c>
      <c r="F27" s="557">
        <v>7909373</v>
      </c>
      <c r="G27" s="162">
        <f t="shared" si="0"/>
        <v>1017</v>
      </c>
      <c r="H27" s="557">
        <v>24250740</v>
      </c>
      <c r="I27" s="163">
        <f t="shared" si="1"/>
        <v>2889</v>
      </c>
      <c r="J27" s="557">
        <v>17067547</v>
      </c>
      <c r="K27" s="164">
        <f t="shared" si="2"/>
        <v>2644</v>
      </c>
      <c r="L27" s="313">
        <f t="shared" si="5"/>
        <v>215.88059701492537</v>
      </c>
      <c r="M27" s="313">
        <f t="shared" si="6"/>
        <v>214.63880597014926</v>
      </c>
      <c r="N27" s="313">
        <f t="shared" si="7"/>
        <v>140.31177446102819</v>
      </c>
      <c r="O27" s="313">
        <f t="shared" si="8"/>
        <v>154.80303857058792</v>
      </c>
      <c r="P27" s="314">
        <f t="shared" si="9"/>
        <v>725.63421601669074</v>
      </c>
      <c r="Q27" s="314">
        <f>SUM(-tanks!AX29*tanks!$AU$37)</f>
        <v>429.4240496774346</v>
      </c>
      <c r="R27" s="314">
        <f t="shared" si="10"/>
        <v>1155.0582656941253</v>
      </c>
      <c r="S27" s="317">
        <f>SUM(ELEC!N26)</f>
        <v>15392.799999999814</v>
      </c>
      <c r="T27" s="355">
        <f t="shared" si="12"/>
        <v>7.503886659309153E-2</v>
      </c>
      <c r="V27" s="261">
        <f>W10</f>
        <v>24173587</v>
      </c>
      <c r="W27" s="172">
        <f>H34</f>
        <v>24270583</v>
      </c>
      <c r="X27" s="174" t="s">
        <v>213</v>
      </c>
      <c r="Y27" s="174">
        <v>112</v>
      </c>
      <c r="Z27" s="174">
        <v>1</v>
      </c>
      <c r="AA27" s="201">
        <f>(W27-V27)*Z27</f>
        <v>96996</v>
      </c>
      <c r="AB27" s="201">
        <f>SUM(AA27*Y27)</f>
        <v>10863552</v>
      </c>
      <c r="AC27" s="256">
        <f>AC10</f>
        <v>6200000</v>
      </c>
      <c r="AD27" s="217">
        <f>SUM(I37)</f>
        <v>0.47991450242688422</v>
      </c>
    </row>
    <row r="28" spans="1:32">
      <c r="A28" s="165">
        <f>ELEC!C27</f>
        <v>43824</v>
      </c>
      <c r="B28" s="557">
        <v>49233438</v>
      </c>
      <c r="C28" s="272">
        <f t="shared" si="3"/>
        <v>5779</v>
      </c>
      <c r="D28" s="327">
        <f t="shared" si="4"/>
        <v>5779</v>
      </c>
      <c r="E28" s="327">
        <f t="shared" si="11"/>
        <v>49233438</v>
      </c>
      <c r="F28" s="557">
        <v>7910383</v>
      </c>
      <c r="G28" s="162">
        <f t="shared" si="0"/>
        <v>1010</v>
      </c>
      <c r="H28" s="557">
        <v>24253287</v>
      </c>
      <c r="I28" s="163">
        <f t="shared" si="1"/>
        <v>2547</v>
      </c>
      <c r="J28" s="557">
        <v>17069769</v>
      </c>
      <c r="K28" s="164">
        <f t="shared" si="2"/>
        <v>2222</v>
      </c>
      <c r="L28" s="313">
        <f t="shared" si="5"/>
        <v>214.39469320066334</v>
      </c>
      <c r="M28" s="313">
        <f t="shared" si="6"/>
        <v>189.22985074626865</v>
      </c>
      <c r="N28" s="313">
        <f t="shared" si="7"/>
        <v>117.91708126036484</v>
      </c>
      <c r="O28" s="313">
        <f t="shared" si="8"/>
        <v>154.80303857058792</v>
      </c>
      <c r="P28" s="314">
        <f t="shared" si="9"/>
        <v>676.34466377788476</v>
      </c>
      <c r="Q28" s="314">
        <f>SUM(-tanks!AX30*tanks!$AU$37)</f>
        <v>680.06162090322175</v>
      </c>
      <c r="R28" s="314">
        <f t="shared" si="10"/>
        <v>1356.4062846811066</v>
      </c>
      <c r="S28" s="317">
        <f>SUM(ELEC!N27)</f>
        <v>13694</v>
      </c>
      <c r="T28" s="355">
        <f t="shared" si="12"/>
        <v>9.9051138066387226E-2</v>
      </c>
      <c r="V28" s="261">
        <f>W11</f>
        <v>7882582</v>
      </c>
      <c r="W28" s="172">
        <f>F34</f>
        <v>7917555</v>
      </c>
      <c r="X28" s="174" t="s">
        <v>197</v>
      </c>
      <c r="Y28" s="174">
        <v>320</v>
      </c>
      <c r="Z28" s="174">
        <v>1</v>
      </c>
      <c r="AA28" s="201">
        <f>(W28-V28)*Z28</f>
        <v>34973</v>
      </c>
      <c r="AB28" s="201">
        <f>SUM(AA28*Y28)</f>
        <v>11191360</v>
      </c>
      <c r="AC28" s="256">
        <f>AC11</f>
        <v>1000</v>
      </c>
      <c r="AD28" s="217">
        <f>SUM(G37)</f>
        <v>0.17303857781120277</v>
      </c>
      <c r="AE28" s="40">
        <f>SUM(AB28*5%)</f>
        <v>559568</v>
      </c>
      <c r="AF28" s="83">
        <f>SUM(AE28/7)*31</f>
        <v>2478086.8571428568</v>
      </c>
    </row>
    <row r="29" spans="1:32">
      <c r="A29" s="165">
        <f>ELEC!C28</f>
        <v>43825</v>
      </c>
      <c r="B29" s="557">
        <v>49239043</v>
      </c>
      <c r="C29" s="272">
        <f t="shared" si="3"/>
        <v>5605</v>
      </c>
      <c r="D29" s="327">
        <f t="shared" si="4"/>
        <v>5604</v>
      </c>
      <c r="E29" s="327">
        <f t="shared" si="11"/>
        <v>49239042</v>
      </c>
      <c r="F29" s="557">
        <v>7911405</v>
      </c>
      <c r="G29" s="162">
        <f t="shared" si="0"/>
        <v>1022</v>
      </c>
      <c r="H29" s="557">
        <v>24255875</v>
      </c>
      <c r="I29" s="163">
        <f t="shared" si="1"/>
        <v>2588</v>
      </c>
      <c r="J29" s="557">
        <v>17071763</v>
      </c>
      <c r="K29" s="164">
        <f t="shared" si="2"/>
        <v>1994</v>
      </c>
      <c r="L29" s="313">
        <f t="shared" si="5"/>
        <v>216.9419568822554</v>
      </c>
      <c r="M29" s="313">
        <f t="shared" si="6"/>
        <v>192.2759535655058</v>
      </c>
      <c r="N29" s="313">
        <f t="shared" si="7"/>
        <v>105.81757877280265</v>
      </c>
      <c r="O29" s="313">
        <f t="shared" si="8"/>
        <v>154.80303857058792</v>
      </c>
      <c r="P29" s="314">
        <f t="shared" si="9"/>
        <v>669.83852779115171</v>
      </c>
      <c r="Q29" s="314">
        <f>SUM(-tanks!AX31*tanks!$AU$37)</f>
        <v>473.12025974192875</v>
      </c>
      <c r="R29" s="314">
        <f t="shared" si="10"/>
        <v>1142.9587875330803</v>
      </c>
      <c r="S29" s="317">
        <f>SUM(ELEC!N28)</f>
        <v>13820</v>
      </c>
      <c r="T29" s="355">
        <f t="shared" si="12"/>
        <v>8.2703240776633893E-2</v>
      </c>
      <c r="V29" s="218"/>
      <c r="W29" s="219"/>
      <c r="X29" s="219"/>
      <c r="Y29" s="220"/>
      <c r="Z29" s="3"/>
      <c r="AA29" s="298">
        <f>SUM(AA26:AA28)</f>
        <v>202110</v>
      </c>
      <c r="AB29" s="201"/>
      <c r="AC29" s="256"/>
    </row>
    <row r="30" spans="1:32" ht="14.25" customHeight="1">
      <c r="A30" s="165">
        <f>ELEC!C29</f>
        <v>43826</v>
      </c>
      <c r="B30" s="557">
        <v>49245185</v>
      </c>
      <c r="C30" s="272">
        <f t="shared" si="3"/>
        <v>6142</v>
      </c>
      <c r="D30" s="327">
        <f t="shared" si="4"/>
        <v>6144</v>
      </c>
      <c r="E30" s="327">
        <f t="shared" si="11"/>
        <v>49245187</v>
      </c>
      <c r="F30" s="557">
        <v>7912483</v>
      </c>
      <c r="G30" s="162">
        <f t="shared" si="0"/>
        <v>1078</v>
      </c>
      <c r="H30" s="557">
        <v>24258629</v>
      </c>
      <c r="I30" s="163">
        <f t="shared" si="1"/>
        <v>2754</v>
      </c>
      <c r="J30" s="557">
        <v>17074075</v>
      </c>
      <c r="K30" s="164">
        <f t="shared" si="2"/>
        <v>2312</v>
      </c>
      <c r="L30" s="313">
        <f t="shared" si="5"/>
        <v>228.82918739635159</v>
      </c>
      <c r="M30" s="313">
        <f t="shared" si="6"/>
        <v>204.6089552238806</v>
      </c>
      <c r="N30" s="313">
        <f t="shared" si="7"/>
        <v>122.69320066334991</v>
      </c>
      <c r="O30" s="313">
        <f t="shared" si="8"/>
        <v>154.80303857058792</v>
      </c>
      <c r="P30" s="314">
        <f t="shared" si="9"/>
        <v>710.93438185416994</v>
      </c>
      <c r="Q30" s="314">
        <f>SUM(-tanks!AX32*tanks!$AU$37)</f>
        <v>928.54971077418998</v>
      </c>
      <c r="R30" s="314">
        <f t="shared" si="10"/>
        <v>1639.48409262836</v>
      </c>
      <c r="S30" s="317">
        <f>SUM(ELEC!N29)</f>
        <v>16588</v>
      </c>
      <c r="T30" s="355">
        <f t="shared" si="12"/>
        <v>9.8835549350636612E-2</v>
      </c>
      <c r="V30" s="221" t="s">
        <v>317</v>
      </c>
      <c r="W30" s="481">
        <f>'General information '!F37</f>
        <v>0.21316774193548382</v>
      </c>
      <c r="X30" s="222"/>
      <c r="Y30" s="223" t="s">
        <v>333</v>
      </c>
      <c r="Z30" s="3"/>
      <c r="AA30" s="298"/>
      <c r="AB30" s="201">
        <f>SUM(AB26:AB29)</f>
        <v>27666192</v>
      </c>
      <c r="AC30" s="256">
        <f>SUM(AC26:AC29)/A38*A36</f>
        <v>7234333</v>
      </c>
    </row>
    <row r="31" spans="1:32">
      <c r="A31" s="165">
        <f>ELEC!C30</f>
        <v>43827</v>
      </c>
      <c r="B31" s="557">
        <v>49252024</v>
      </c>
      <c r="C31" s="272">
        <f t="shared" si="3"/>
        <v>6839</v>
      </c>
      <c r="D31" s="327">
        <f t="shared" si="4"/>
        <v>6838</v>
      </c>
      <c r="E31" s="327">
        <f t="shared" si="11"/>
        <v>49252023</v>
      </c>
      <c r="F31" s="557">
        <v>7913993</v>
      </c>
      <c r="G31" s="162">
        <f t="shared" si="0"/>
        <v>1510</v>
      </c>
      <c r="H31" s="557">
        <v>24261532</v>
      </c>
      <c r="I31" s="163">
        <f t="shared" si="1"/>
        <v>2903</v>
      </c>
      <c r="J31" s="557">
        <v>17076500</v>
      </c>
      <c r="K31" s="164">
        <f t="shared" si="2"/>
        <v>2425</v>
      </c>
      <c r="L31" s="313">
        <f t="shared" si="5"/>
        <v>320.530679933665</v>
      </c>
      <c r="M31" s="313">
        <f t="shared" si="6"/>
        <v>215.67893864013266</v>
      </c>
      <c r="N31" s="313">
        <f t="shared" si="7"/>
        <v>128.6898839137645</v>
      </c>
      <c r="O31" s="313">
        <f t="shared" si="8"/>
        <v>154.80303857058792</v>
      </c>
      <c r="P31" s="314">
        <f t="shared" si="9"/>
        <v>819.70254105815002</v>
      </c>
      <c r="Q31" s="314">
        <f>SUM(-tanks!AX33*tanks!$AU$37)</f>
        <v>652.13935090324537</v>
      </c>
      <c r="R31" s="314">
        <f t="shared" si="10"/>
        <v>1471.8418919613955</v>
      </c>
      <c r="S31" s="317">
        <f>SUM(ELEC!N30)</f>
        <v>15682</v>
      </c>
      <c r="T31" s="355">
        <f t="shared" si="12"/>
        <v>9.385549623526307E-2</v>
      </c>
      <c r="V31" s="221" t="s">
        <v>318</v>
      </c>
      <c r="W31" s="222">
        <f>SUM(GEN!U34)</f>
        <v>120.30999999999949</v>
      </c>
      <c r="X31" s="227">
        <f>SUM(W31/A36)</f>
        <v>3.8809677419354673</v>
      </c>
      <c r="Y31" s="268">
        <f>SUM(X31/2)</f>
        <v>1.9404838709677337</v>
      </c>
      <c r="Z31" s="3"/>
      <c r="AA31" s="3"/>
      <c r="AB31" s="201">
        <f>SUM(AB30+AC31)</f>
        <v>34900525</v>
      </c>
      <c r="AC31" s="256">
        <f>SUM(AC30)</f>
        <v>7234333</v>
      </c>
    </row>
    <row r="32" spans="1:32">
      <c r="A32" s="165">
        <f>ELEC!C31</f>
        <v>43828</v>
      </c>
      <c r="B32" s="557">
        <v>49259299</v>
      </c>
      <c r="C32" s="272">
        <f t="shared" si="3"/>
        <v>7275</v>
      </c>
      <c r="D32" s="327">
        <f t="shared" si="4"/>
        <v>7274</v>
      </c>
      <c r="E32" s="327">
        <f t="shared" si="11"/>
        <v>49259298</v>
      </c>
      <c r="F32" s="557">
        <v>7915087</v>
      </c>
      <c r="G32" s="162">
        <f t="shared" si="0"/>
        <v>1094</v>
      </c>
      <c r="H32" s="557">
        <v>24264770</v>
      </c>
      <c r="I32" s="163">
        <f t="shared" si="1"/>
        <v>3238</v>
      </c>
      <c r="J32" s="557">
        <v>17079442</v>
      </c>
      <c r="K32" s="164">
        <f t="shared" si="2"/>
        <v>2942</v>
      </c>
      <c r="L32" s="313">
        <f t="shared" si="5"/>
        <v>232.22553897180762</v>
      </c>
      <c r="M32" s="313">
        <f t="shared" si="6"/>
        <v>240.56782752902157</v>
      </c>
      <c r="N32" s="313">
        <f t="shared" si="7"/>
        <v>156.12603648424545</v>
      </c>
      <c r="O32" s="313">
        <f t="shared" si="8"/>
        <v>154.80303857058792</v>
      </c>
      <c r="P32" s="314">
        <f t="shared" si="9"/>
        <v>783.7224415556625</v>
      </c>
      <c r="Q32" s="314">
        <f>SUM(-tanks!AX34*tanks!$AU$37)</f>
        <v>691.013656903232</v>
      </c>
      <c r="R32" s="314">
        <f t="shared" si="10"/>
        <v>1474.7360984588945</v>
      </c>
      <c r="S32" s="317">
        <f>SUM(ELEC!N31)</f>
        <v>17673</v>
      </c>
      <c r="T32" s="355">
        <f t="shared" si="12"/>
        <v>8.3445713713511824E-2</v>
      </c>
      <c r="V32" s="221" t="s">
        <v>319</v>
      </c>
      <c r="W32" s="222">
        <f>SUM('Degree Days 2018'!J81)</f>
        <v>0</v>
      </c>
      <c r="X32" s="222"/>
      <c r="Y32" s="223"/>
      <c r="Z32" s="3"/>
      <c r="AA32" s="3"/>
      <c r="AB32" s="3"/>
      <c r="AC32" s="175"/>
    </row>
    <row r="33" spans="1:29">
      <c r="A33" s="165">
        <f>ELEC!C32</f>
        <v>43829</v>
      </c>
      <c r="B33" s="557">
        <v>49267153</v>
      </c>
      <c r="C33" s="272">
        <f t="shared" si="3"/>
        <v>7854</v>
      </c>
      <c r="D33" s="327">
        <f t="shared" si="4"/>
        <v>7854</v>
      </c>
      <c r="E33" s="327">
        <f t="shared" si="11"/>
        <v>49267153</v>
      </c>
      <c r="F33" s="557">
        <v>7916463</v>
      </c>
      <c r="G33" s="162">
        <f>F33-F32</f>
        <v>1376</v>
      </c>
      <c r="H33" s="557">
        <v>24267840</v>
      </c>
      <c r="I33" s="163">
        <f t="shared" si="1"/>
        <v>3070</v>
      </c>
      <c r="J33" s="557">
        <v>17082850</v>
      </c>
      <c r="K33" s="164">
        <f t="shared" si="2"/>
        <v>3408</v>
      </c>
      <c r="L33" s="313">
        <f>SUM(G33*$Y$28)/1507.5</f>
        <v>292.08623548922054</v>
      </c>
      <c r="M33" s="313">
        <f t="shared" si="6"/>
        <v>228.08623548922057</v>
      </c>
      <c r="N33" s="313">
        <f t="shared" si="7"/>
        <v>180.85572139303483</v>
      </c>
      <c r="O33" s="313">
        <f t="shared" si="8"/>
        <v>154.80303857058792</v>
      </c>
      <c r="P33" s="314">
        <f>SUM(L33:O33)</f>
        <v>855.83123094206383</v>
      </c>
      <c r="Q33" s="314">
        <f>SUM(-tanks!AX35*tanks!$AU$37)</f>
        <v>6912.1233963870854</v>
      </c>
      <c r="R33" s="314">
        <f>SUM(P33:Q33)</f>
        <v>7767.9546273291489</v>
      </c>
      <c r="S33" s="317">
        <f>SUM(ELEC!N32)</f>
        <v>18161</v>
      </c>
      <c r="T33" s="355">
        <f>IF(S33&gt;0,R33/S33,0)</f>
        <v>0.42772725220688007</v>
      </c>
      <c r="V33" s="221" t="s">
        <v>320</v>
      </c>
      <c r="W33" s="222">
        <f>SUM('Degree Days 2018'!K81)</f>
        <v>286.49999999999983</v>
      </c>
      <c r="X33" s="222"/>
      <c r="Y33" s="223"/>
      <c r="Z33" s="3"/>
      <c r="AA33" s="3"/>
      <c r="AB33" s="3"/>
      <c r="AC33" s="175"/>
    </row>
    <row r="34" spans="1:29">
      <c r="A34" s="165">
        <f>ELEC!C33</f>
        <v>43830</v>
      </c>
      <c r="B34" s="557">
        <v>49273533</v>
      </c>
      <c r="C34" s="272">
        <f>SUM(B34-B33)</f>
        <v>6380</v>
      </c>
      <c r="D34" s="327">
        <f>SUM(G34+I34+K34)</f>
        <v>6380</v>
      </c>
      <c r="E34" s="327">
        <f>B33+D34</f>
        <v>49273533</v>
      </c>
      <c r="F34" s="557">
        <v>7917555</v>
      </c>
      <c r="G34" s="162">
        <f>F34-F33</f>
        <v>1092</v>
      </c>
      <c r="H34" s="557">
        <v>24270583</v>
      </c>
      <c r="I34" s="163">
        <f>H34-H33</f>
        <v>2743</v>
      </c>
      <c r="J34" s="557">
        <v>17085395</v>
      </c>
      <c r="K34" s="164">
        <f>J34-J33</f>
        <v>2545</v>
      </c>
      <c r="L34" s="313">
        <f>SUM(G34*$Y$28)/1507.5</f>
        <v>231.80099502487562</v>
      </c>
      <c r="M34" s="313">
        <f>SUM(I34*$Y$27)/1507.5</f>
        <v>203.7917081260365</v>
      </c>
      <c r="N34" s="313">
        <f>SUM(K34*$Y$26)/1507.5</f>
        <v>135.0580431177446</v>
      </c>
      <c r="O34" s="313">
        <f t="shared" si="8"/>
        <v>154.80303857058792</v>
      </c>
      <c r="P34" s="314">
        <f>SUM(L34:O34)</f>
        <v>725.45378483924469</v>
      </c>
      <c r="Q34" s="314">
        <f>SUM(-tanks!AX36*tanks!$AU$37)</f>
        <v>1531.5745495483911</v>
      </c>
      <c r="R34" s="314">
        <f>SUM(P34:Q34)</f>
        <v>2257.0283343876358</v>
      </c>
      <c r="S34" s="317">
        <f>SUM(ELEC!N33)</f>
        <v>16085</v>
      </c>
      <c r="T34" s="355">
        <f>IF(S34&gt;0,R34/S34,0)</f>
        <v>0.14031882713009858</v>
      </c>
      <c r="V34" s="221"/>
      <c r="W34" s="222"/>
      <c r="X34" s="222"/>
      <c r="Y34" s="222"/>
      <c r="Z34" s="3"/>
      <c r="AA34" s="3"/>
      <c r="AB34" s="3"/>
      <c r="AC34" s="248"/>
    </row>
    <row r="35" spans="1:29">
      <c r="A35" s="165"/>
      <c r="B35" s="307"/>
      <c r="C35" s="308"/>
      <c r="D35" s="308"/>
      <c r="E35" s="308"/>
      <c r="F35" s="307"/>
      <c r="G35" s="309"/>
      <c r="H35" s="307"/>
      <c r="I35" s="310"/>
      <c r="J35" s="307"/>
      <c r="K35" s="178">
        <f>SUM(K4:K34)/A36</f>
        <v>2262.6129032258063</v>
      </c>
      <c r="L35" s="315">
        <f t="shared" ref="L35:S35" si="13">SUM(L4:L34)</f>
        <v>7423.7877280265329</v>
      </c>
      <c r="M35" s="315">
        <f t="shared" si="13"/>
        <v>7206.3363184079608</v>
      </c>
      <c r="N35" s="315">
        <f t="shared" si="13"/>
        <v>3722.2421227197347</v>
      </c>
      <c r="O35" s="315">
        <f t="shared" si="13"/>
        <v>4798.8941956882254</v>
      </c>
      <c r="P35" s="318">
        <f t="shared" si="13"/>
        <v>23151.260364842456</v>
      </c>
      <c r="Q35" s="318">
        <f t="shared" si="13"/>
        <v>20893.570907741949</v>
      </c>
      <c r="R35" s="318">
        <f t="shared" si="13"/>
        <v>44044.831272584408</v>
      </c>
      <c r="S35" s="318">
        <f t="shared" si="13"/>
        <v>473194.20000000019</v>
      </c>
      <c r="T35" s="356"/>
      <c r="V35" s="260"/>
      <c r="W35" s="17"/>
      <c r="X35" s="17"/>
      <c r="Y35" s="17"/>
      <c r="Z35" s="3" t="s">
        <v>214</v>
      </c>
      <c r="AA35" s="289">
        <v>0.11</v>
      </c>
      <c r="AB35" s="304">
        <f>SUM(AB31*AA35)</f>
        <v>3839057.75</v>
      </c>
      <c r="AC35" s="291"/>
    </row>
    <row r="36" spans="1:29" ht="15.75" thickBot="1">
      <c r="A36" s="285">
        <f>A38-COUNTIF(C4:C34,0)</f>
        <v>31</v>
      </c>
      <c r="C36" s="178">
        <f>SUM(C4:C34)/A36</f>
        <v>6519.7096774193551</v>
      </c>
      <c r="D36" s="178"/>
      <c r="E36" s="178"/>
      <c r="G36" s="178">
        <f>SUM(G4:G34)/A36</f>
        <v>1128.1612903225807</v>
      </c>
      <c r="I36" s="178">
        <f>SUM(I4:I34)/A36</f>
        <v>3128.9032258064517</v>
      </c>
      <c r="K36" s="178"/>
      <c r="L36" s="178">
        <f>SUM(L35*1507.5)</f>
        <v>11191359.999999998</v>
      </c>
      <c r="M36" s="178">
        <f>SUM(M35*1507.5)</f>
        <v>10863552</v>
      </c>
      <c r="N36" s="178">
        <f>SUM(N35*1507.5)</f>
        <v>5611280</v>
      </c>
      <c r="O36" s="178">
        <f>SUM(O35*1507.5)</f>
        <v>7234333</v>
      </c>
      <c r="P36" s="178"/>
      <c r="Q36" s="178"/>
      <c r="R36" s="178"/>
      <c r="S36" s="318"/>
      <c r="V36" s="234"/>
      <c r="W36" s="235"/>
      <c r="X36" s="235"/>
      <c r="Y36" s="235"/>
      <c r="Z36" s="3"/>
      <c r="AA36" s="45"/>
      <c r="AB36" s="304">
        <f>SUM(AB31+AB35)</f>
        <v>38739582.75</v>
      </c>
      <c r="AC36" s="291"/>
    </row>
    <row r="37" spans="1:29" ht="15.75" thickBot="1">
      <c r="A37" s="215"/>
      <c r="C37" s="217">
        <f>SUM(G37:K37)</f>
        <v>0.99999505222377794</v>
      </c>
      <c r="G37" s="230">
        <f>IF(C36&gt;0,G36/C36,0)</f>
        <v>0.17303857781120277</v>
      </c>
      <c r="H37" s="217"/>
      <c r="I37" s="230">
        <f>SUM(I36/C36)</f>
        <v>0.47991450242688422</v>
      </c>
      <c r="J37" s="217"/>
      <c r="K37" s="230">
        <f>SUM(K35/C36)</f>
        <v>0.34704197198569098</v>
      </c>
      <c r="L37" s="230"/>
      <c r="M37" s="230"/>
      <c r="N37" s="230"/>
      <c r="O37" s="230"/>
      <c r="P37" s="230"/>
      <c r="Q37" s="230"/>
      <c r="R37" s="230"/>
      <c r="S37" s="319"/>
      <c r="V37" s="234"/>
      <c r="W37" s="235"/>
      <c r="X37" s="235"/>
      <c r="Y37" s="235"/>
      <c r="Z37" s="235"/>
      <c r="AA37" s="235" t="s">
        <v>215</v>
      </c>
      <c r="AB37" s="304">
        <f>SUM(AB31/1507.5)</f>
        <v>23151.260364842456</v>
      </c>
      <c r="AC37" s="291"/>
    </row>
    <row r="38" spans="1:29" ht="15.75" thickBot="1">
      <c r="A38">
        <v>31</v>
      </c>
      <c r="G38" s="217"/>
      <c r="H38" s="217"/>
      <c r="I38" s="217"/>
      <c r="J38" s="217"/>
      <c r="K38" s="217"/>
      <c r="L38" s="217"/>
      <c r="M38" s="217"/>
      <c r="N38" s="217"/>
      <c r="O38" s="217"/>
      <c r="P38" s="217"/>
      <c r="Q38" s="217"/>
      <c r="R38" s="217"/>
      <c r="V38" s="284"/>
      <c r="W38" s="224"/>
      <c r="X38" s="224"/>
      <c r="Y38" s="225"/>
      <c r="Z38" s="176"/>
      <c r="AA38" s="176"/>
      <c r="AB38" s="264"/>
      <c r="AC38" s="177"/>
    </row>
    <row r="39" spans="1:29">
      <c r="V39" s="222"/>
      <c r="W39" s="83">
        <f>AC30/1500</f>
        <v>4822.8886666666667</v>
      </c>
      <c r="Z39" s="40"/>
      <c r="AA39" s="305" t="s">
        <v>215</v>
      </c>
      <c r="AB39" s="306">
        <f>SUM(AB37)</f>
        <v>23151.260364842456</v>
      </c>
    </row>
    <row r="40" spans="1:29">
      <c r="V40" s="222"/>
      <c r="W40" s="83">
        <f>AB30/1500</f>
        <v>18444.128000000001</v>
      </c>
      <c r="Z40" s="311">
        <f>SUM(AB39)</f>
        <v>23151.260364842456</v>
      </c>
      <c r="AA40" s="306"/>
      <c r="AB40" s="306"/>
    </row>
    <row r="41" spans="1:29">
      <c r="V41" s="17"/>
      <c r="W41" s="83">
        <f>SUM(W39:W40)</f>
        <v>23267.016666666666</v>
      </c>
      <c r="Y41" s="83"/>
      <c r="Z41" s="311">
        <f>SUM(-tanks!AX37)*tanks!AU37</f>
        <v>20893.570907741952</v>
      </c>
      <c r="AA41" s="102">
        <f>SUM(AB31/A36)</f>
        <v>1125823.3870967743</v>
      </c>
      <c r="AB41" s="371">
        <f>SUM(AA41*A38)</f>
        <v>34900525</v>
      </c>
    </row>
    <row r="42" spans="1:29" ht="18.75">
      <c r="W42" s="83">
        <f>AB30/1500</f>
        <v>18444.128000000001</v>
      </c>
      <c r="Z42" s="287">
        <f>SUM(Z40:Z41)</f>
        <v>44044.831272584408</v>
      </c>
      <c r="AA42" s="306">
        <f>SUM(AA41/1507.5)</f>
        <v>746.81485047878891</v>
      </c>
      <c r="AB42" s="370">
        <f>SUM(AB41/1507.5)</f>
        <v>23151.260364842456</v>
      </c>
    </row>
    <row r="43" spans="1:29">
      <c r="W43" s="83">
        <f>SUM(W41:W42)</f>
        <v>41711.144666666667</v>
      </c>
      <c r="Z43" s="312" t="e">
        <f>SUM(ELEC!#REF!)</f>
        <v>#REF!</v>
      </c>
    </row>
    <row r="44" spans="1:29">
      <c r="Z44" s="306" t="e">
        <f>Z42/Z43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96"/>
  <sheetViews>
    <sheetView topLeftCell="A19" zoomScale="80" zoomScaleNormal="80" workbookViewId="0">
      <selection activeCell="AD18" sqref="AD18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41" t="s">
        <v>161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  <c r="Q1" s="641"/>
      <c r="R1" s="641"/>
      <c r="S1" s="641"/>
      <c r="T1" s="641"/>
      <c r="U1" s="641"/>
      <c r="V1" s="641"/>
      <c r="W1" s="641"/>
      <c r="X1" s="641"/>
    </row>
    <row r="2" spans="1:28" ht="19.5">
      <c r="A2" s="642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2"/>
      <c r="P2" s="642"/>
      <c r="Q2" s="642"/>
      <c r="R2" s="642"/>
      <c r="S2" s="642"/>
      <c r="T2" s="642"/>
      <c r="U2" s="642"/>
      <c r="V2" s="642"/>
      <c r="W2" s="642"/>
      <c r="X2" s="642"/>
    </row>
    <row r="3" spans="1:28" ht="19.5">
      <c r="A3" s="642" t="s">
        <v>162</v>
      </c>
      <c r="B3" s="642"/>
      <c r="C3" s="642"/>
      <c r="D3" s="642"/>
      <c r="E3" s="642"/>
      <c r="F3" s="642"/>
      <c r="G3" s="642"/>
      <c r="H3" s="642"/>
      <c r="I3" s="642"/>
      <c r="J3" s="642"/>
      <c r="K3" s="642"/>
      <c r="L3" s="642"/>
      <c r="M3" s="642"/>
      <c r="N3" s="642"/>
      <c r="O3" s="642"/>
      <c r="P3" s="642"/>
      <c r="Q3" s="642"/>
      <c r="R3" s="642"/>
      <c r="S3" s="642"/>
      <c r="T3" s="642"/>
      <c r="U3" s="642"/>
      <c r="V3" s="642"/>
      <c r="W3" s="642"/>
      <c r="X3" s="642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42" t="s">
        <v>392</v>
      </c>
      <c r="B5" s="642"/>
      <c r="C5" s="642"/>
      <c r="D5" s="642"/>
      <c r="E5" s="642"/>
      <c r="F5" s="642"/>
      <c r="G5" s="642"/>
      <c r="H5" s="642"/>
      <c r="I5" s="642"/>
      <c r="J5" s="642"/>
      <c r="K5" s="642"/>
      <c r="L5" s="642"/>
      <c r="M5" s="642"/>
      <c r="N5" s="642"/>
      <c r="O5" s="642"/>
      <c r="P5" s="642"/>
      <c r="Q5" s="642"/>
      <c r="R5" s="642"/>
      <c r="S5" s="642"/>
      <c r="T5" s="642"/>
      <c r="U5" s="642"/>
      <c r="V5" s="642"/>
      <c r="W5" s="642"/>
      <c r="X5" s="642"/>
    </row>
    <row r="6" spans="1:28" ht="15.75" thickBot="1">
      <c r="A6" s="643"/>
      <c r="B6" s="643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3"/>
      <c r="S6" s="643"/>
      <c r="T6" s="643"/>
      <c r="U6" s="643"/>
      <c r="V6" s="643"/>
      <c r="W6" s="643"/>
      <c r="X6" s="643"/>
    </row>
    <row r="7" spans="1:28" ht="15.75" thickBot="1">
      <c r="A7" s="645" t="s">
        <v>163</v>
      </c>
      <c r="B7" s="646"/>
      <c r="C7" s="647" t="s">
        <v>164</v>
      </c>
      <c r="D7" s="648"/>
      <c r="E7" s="648"/>
      <c r="F7" s="648"/>
      <c r="G7" s="648"/>
      <c r="H7" s="648"/>
      <c r="I7" s="648"/>
      <c r="J7" s="648"/>
      <c r="K7" s="649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60" t="s">
        <v>174</v>
      </c>
      <c r="AB9" s="160" t="s">
        <v>175</v>
      </c>
    </row>
    <row r="10" spans="1:28">
      <c r="A10" s="118">
        <v>1</v>
      </c>
      <c r="B10" s="280">
        <f>'[1]Degree Days 2018'!B10</f>
        <v>18</v>
      </c>
      <c r="C10" s="280">
        <f>'[1]Degree Days 2018'!C10</f>
        <v>13</v>
      </c>
      <c r="D10" s="280">
        <f>'[1]Degree Days 2018'!D10</f>
        <v>-2.8000000000000007</v>
      </c>
      <c r="E10" s="280">
        <f>'[1]Degree Days 2018'!E10</f>
        <v>1</v>
      </c>
      <c r="F10" s="280">
        <f>'[1]Degree Days 2018'!F10</f>
        <v>18</v>
      </c>
      <c r="G10" s="280">
        <f>'[1]Degree Days 2018'!G10</f>
        <v>13</v>
      </c>
      <c r="H10" s="280">
        <f>'[1]Degree Days 2018'!H10</f>
        <v>-2.8000000000000007</v>
      </c>
      <c r="I10" s="280">
        <f>'[1]Degree Days 2018'!I10</f>
        <v>1</v>
      </c>
      <c r="J10" s="280">
        <f>'[1]Degree Days 2018'!J10</f>
        <v>16</v>
      </c>
      <c r="K10" s="280">
        <f>'[1]Degree Days 2018'!K10</f>
        <v>8</v>
      </c>
      <c r="L10" s="280">
        <f>'[1]Degree Days 2018'!L10</f>
        <v>-6.3000000000000007</v>
      </c>
      <c r="M10" s="280">
        <f>'[1]Degree Days 2018'!M10</f>
        <v>1</v>
      </c>
      <c r="N10" s="280">
        <f>'[1]Degree Days 2018'!N10</f>
        <v>18</v>
      </c>
      <c r="O10" s="280">
        <f>'[1]Degree Days 2018'!O10</f>
        <v>13</v>
      </c>
      <c r="P10" s="280">
        <f>'[1]Degree Days 2018'!P10</f>
        <v>-2.8000000000000007</v>
      </c>
      <c r="Q10" s="280">
        <f>'[1]Degree Days 2018'!Q10</f>
        <v>1</v>
      </c>
      <c r="R10" s="280">
        <f>'[1]Degree Days 2018'!R10</f>
        <v>27</v>
      </c>
      <c r="S10" s="280">
        <f>'[1]Degree Days 2018'!S10</f>
        <v>17</v>
      </c>
      <c r="T10" s="280">
        <f>'[1]Degree Days 2018'!T10</f>
        <v>3.6999999999999993</v>
      </c>
      <c r="U10" s="280">
        <f>'[1]Degree Days 2018'!U10</f>
        <v>1</v>
      </c>
      <c r="V10" s="280">
        <f>'[1]Degree Days 2018'!V10</f>
        <v>26</v>
      </c>
      <c r="W10" s="280">
        <f>'[1]Degree Days 2018'!W10</f>
        <v>20</v>
      </c>
      <c r="X10" s="280">
        <f>'[1]Degree Days 2018'!X10</f>
        <v>4.6999999999999993</v>
      </c>
      <c r="Z10" t="s">
        <v>165</v>
      </c>
      <c r="AA10" s="280">
        <f>'[1]Degree Days 2018'!AA10</f>
        <v>-116.79999999999994</v>
      </c>
      <c r="AB10" s="280">
        <f>'[1]Degree Days 2018'!AB10</f>
        <v>0</v>
      </c>
    </row>
    <row r="11" spans="1:28">
      <c r="A11" s="118">
        <v>2</v>
      </c>
      <c r="B11" s="280">
        <f>'[1]Degree Days 2018'!B11</f>
        <v>18</v>
      </c>
      <c r="C11" s="280">
        <f>'[1]Degree Days 2018'!C11</f>
        <v>11</v>
      </c>
      <c r="D11" s="280">
        <f>'[1]Degree Days 2018'!D11</f>
        <v>-3.8000000000000007</v>
      </c>
      <c r="E11" s="280">
        <f>'[1]Degree Days 2018'!E11</f>
        <v>2</v>
      </c>
      <c r="F11" s="280">
        <f>'[1]Degree Days 2018'!F11</f>
        <v>18</v>
      </c>
      <c r="G11" s="280">
        <f>'[1]Degree Days 2018'!G11</f>
        <v>12</v>
      </c>
      <c r="H11" s="280">
        <f>'[1]Degree Days 2018'!H11</f>
        <v>-3.3000000000000007</v>
      </c>
      <c r="I11" s="280">
        <f>'[1]Degree Days 2018'!I11</f>
        <v>2</v>
      </c>
      <c r="J11" s="280">
        <f>'[1]Degree Days 2018'!J11</f>
        <v>18</v>
      </c>
      <c r="K11" s="280">
        <f>'[1]Degree Days 2018'!K11</f>
        <v>13</v>
      </c>
      <c r="L11" s="280">
        <f>'[1]Degree Days 2018'!L11</f>
        <v>-2.8000000000000007</v>
      </c>
      <c r="M11" s="280">
        <f>'[1]Degree Days 2018'!M11</f>
        <v>2</v>
      </c>
      <c r="N11" s="280">
        <f>'[1]Degree Days 2018'!N11</f>
        <v>18</v>
      </c>
      <c r="O11" s="280">
        <f>'[1]Degree Days 2018'!O11</f>
        <v>12</v>
      </c>
      <c r="P11" s="280">
        <f>'[1]Degree Days 2018'!P11</f>
        <v>-3.3000000000000007</v>
      </c>
      <c r="Q11" s="280">
        <f>'[1]Degree Days 2018'!Q11</f>
        <v>2</v>
      </c>
      <c r="R11" s="280">
        <f>'[1]Degree Days 2018'!R11</f>
        <v>26</v>
      </c>
      <c r="S11" s="280">
        <f>'[1]Degree Days 2018'!S11</f>
        <v>20</v>
      </c>
      <c r="T11" s="280">
        <f>'[1]Degree Days 2018'!T11</f>
        <v>4.6999999999999993</v>
      </c>
      <c r="U11" s="280">
        <f>'[1]Degree Days 2018'!U11</f>
        <v>2</v>
      </c>
      <c r="V11" s="280">
        <f>'[1]Degree Days 2018'!V11</f>
        <v>25</v>
      </c>
      <c r="W11" s="280">
        <f>'[1]Degree Days 2018'!W11</f>
        <v>20</v>
      </c>
      <c r="X11" s="280">
        <f>'[1]Degree Days 2018'!X11</f>
        <v>4.1999999999999993</v>
      </c>
      <c r="Z11" t="s">
        <v>169</v>
      </c>
      <c r="AA11" s="280">
        <f>'[1]Degree Days 2018'!AA11</f>
        <v>-100.69999999999997</v>
      </c>
      <c r="AB11" s="280">
        <f>'[1]Degree Days 2018'!AB11</f>
        <v>2.2999999999999972</v>
      </c>
    </row>
    <row r="12" spans="1:28">
      <c r="A12" s="118">
        <v>3</v>
      </c>
      <c r="B12" s="280">
        <f>'[1]Degree Days 2018'!B12</f>
        <v>18</v>
      </c>
      <c r="C12" s="280">
        <f>'[1]Degree Days 2018'!C12</f>
        <v>12</v>
      </c>
      <c r="D12" s="280">
        <f>'[1]Degree Days 2018'!D12</f>
        <v>-3.3000000000000007</v>
      </c>
      <c r="E12" s="280">
        <f>'[1]Degree Days 2018'!E12</f>
        <v>3</v>
      </c>
      <c r="F12" s="280">
        <f>'[1]Degree Days 2018'!F12</f>
        <v>18</v>
      </c>
      <c r="G12" s="280">
        <f>'[1]Degree Days 2018'!G12</f>
        <v>11</v>
      </c>
      <c r="H12" s="280">
        <f>'[1]Degree Days 2018'!H12</f>
        <v>-3.8000000000000007</v>
      </c>
      <c r="I12" s="280">
        <f>'[1]Degree Days 2018'!I12</f>
        <v>3</v>
      </c>
      <c r="J12" s="280">
        <f>'[1]Degree Days 2018'!J12</f>
        <v>18</v>
      </c>
      <c r="K12" s="280">
        <f>'[1]Degree Days 2018'!K12</f>
        <v>11</v>
      </c>
      <c r="L12" s="280">
        <f>'[1]Degree Days 2018'!L12</f>
        <v>-3.8000000000000007</v>
      </c>
      <c r="M12" s="280">
        <f>'[1]Degree Days 2018'!M12</f>
        <v>3</v>
      </c>
      <c r="N12" s="280">
        <f>'[1]Degree Days 2018'!N12</f>
        <v>18</v>
      </c>
      <c r="O12" s="280">
        <f>'[1]Degree Days 2018'!O12</f>
        <v>12</v>
      </c>
      <c r="P12" s="280">
        <f>'[1]Degree Days 2018'!P12</f>
        <v>-3.3000000000000007</v>
      </c>
      <c r="Q12" s="280">
        <f>'[1]Degree Days 2018'!Q12</f>
        <v>3</v>
      </c>
      <c r="R12" s="280">
        <f>'[1]Degree Days 2018'!R12</f>
        <v>22</v>
      </c>
      <c r="S12" s="280">
        <f>'[1]Degree Days 2018'!S12</f>
        <v>18</v>
      </c>
      <c r="T12" s="280">
        <f>'[1]Degree Days 2018'!T12</f>
        <v>1.6999999999999993</v>
      </c>
      <c r="U12" s="280">
        <f>'[1]Degree Days 2018'!U12</f>
        <v>3</v>
      </c>
      <c r="V12" s="280">
        <f>'[1]Degree Days 2018'!V12</f>
        <v>25</v>
      </c>
      <c r="W12" s="280">
        <f>'[1]Degree Days 2018'!W12</f>
        <v>20</v>
      </c>
      <c r="X12" s="280">
        <f>'[1]Degree Days 2018'!X12</f>
        <v>4.1999999999999993</v>
      </c>
      <c r="Z12" t="s">
        <v>170</v>
      </c>
      <c r="AA12" s="280">
        <f>'[1]Degree Days 2018'!AA12</f>
        <v>-87.799999999999955</v>
      </c>
      <c r="AB12" s="280">
        <f>'[1]Degree Days 2018'!AB12</f>
        <v>0</v>
      </c>
    </row>
    <row r="13" spans="1:28">
      <c r="A13" s="118">
        <v>4</v>
      </c>
      <c r="B13" s="280">
        <f>'[1]Degree Days 2018'!B13</f>
        <v>19</v>
      </c>
      <c r="C13" s="280">
        <f>'[1]Degree Days 2018'!C13</f>
        <v>14</v>
      </c>
      <c r="D13" s="280">
        <f>'[1]Degree Days 2018'!D13</f>
        <v>-1.8000000000000007</v>
      </c>
      <c r="E13" s="280">
        <f>'[1]Degree Days 2018'!E13</f>
        <v>4</v>
      </c>
      <c r="F13" s="280">
        <f>'[1]Degree Days 2018'!F13</f>
        <v>22</v>
      </c>
      <c r="G13" s="280">
        <f>'[1]Degree Days 2018'!G13</f>
        <v>17</v>
      </c>
      <c r="H13" s="280">
        <f>'[1]Degree Days 2018'!H13</f>
        <v>1.1999999999999993</v>
      </c>
      <c r="I13" s="280">
        <f>'[1]Degree Days 2018'!I13</f>
        <v>4</v>
      </c>
      <c r="J13" s="280">
        <f>'[1]Degree Days 2018'!J13</f>
        <v>18</v>
      </c>
      <c r="K13" s="280">
        <f>'[1]Degree Days 2018'!K13</f>
        <v>13</v>
      </c>
      <c r="L13" s="280">
        <f>'[1]Degree Days 2018'!L13</f>
        <v>-2.8000000000000007</v>
      </c>
      <c r="M13" s="280">
        <f>'[1]Degree Days 2018'!M13</f>
        <v>4</v>
      </c>
      <c r="N13" s="280">
        <f>'[1]Degree Days 2018'!N13</f>
        <v>19</v>
      </c>
      <c r="O13" s="280">
        <f>'[1]Degree Days 2018'!O13</f>
        <v>13</v>
      </c>
      <c r="P13" s="280">
        <f>'[1]Degree Days 2018'!P13</f>
        <v>-2.3000000000000007</v>
      </c>
      <c r="Q13" s="280">
        <f>'[1]Degree Days 2018'!Q13</f>
        <v>4</v>
      </c>
      <c r="R13" s="280">
        <f>'[1]Degree Days 2018'!R13</f>
        <v>26</v>
      </c>
      <c r="S13" s="280">
        <f>'[1]Degree Days 2018'!S13</f>
        <v>22</v>
      </c>
      <c r="T13" s="280">
        <f>'[1]Degree Days 2018'!T13</f>
        <v>5.6999999999999993</v>
      </c>
      <c r="U13" s="280">
        <f>'[1]Degree Days 2018'!U13</f>
        <v>4</v>
      </c>
      <c r="V13" s="280">
        <f>'[1]Degree Days 2018'!V13</f>
        <v>26</v>
      </c>
      <c r="W13" s="280">
        <f>'[1]Degree Days 2018'!W13</f>
        <v>20</v>
      </c>
      <c r="X13" s="280">
        <f>'[1]Degree Days 2018'!X13</f>
        <v>4.6999999999999993</v>
      </c>
      <c r="Z13" t="s">
        <v>171</v>
      </c>
      <c r="AA13" s="280">
        <f>'[1]Degree Days 2018'!AA13</f>
        <v>-38.700000000000003</v>
      </c>
      <c r="AB13" s="280">
        <f>'[1]Degree Days 2018'!AB13</f>
        <v>33.199999999999989</v>
      </c>
    </row>
    <row r="14" spans="1:28">
      <c r="A14" s="118">
        <v>5</v>
      </c>
      <c r="B14" s="280">
        <f>'[1]Degree Days 2018'!B14</f>
        <v>18</v>
      </c>
      <c r="C14" s="280">
        <f>'[1]Degree Days 2018'!C14</f>
        <v>13</v>
      </c>
      <c r="D14" s="280">
        <f>'[1]Degree Days 2018'!D14</f>
        <v>-2.8000000000000007</v>
      </c>
      <c r="E14" s="280">
        <f>'[1]Degree Days 2018'!E14</f>
        <v>5</v>
      </c>
      <c r="F14" s="280">
        <f>'[1]Degree Days 2018'!F14</f>
        <v>22</v>
      </c>
      <c r="G14" s="280">
        <f>'[1]Degree Days 2018'!G14</f>
        <v>16</v>
      </c>
      <c r="H14" s="280">
        <f>'[1]Degree Days 2018'!H14</f>
        <v>0.69999999999999929</v>
      </c>
      <c r="I14" s="280">
        <f>'[1]Degree Days 2018'!I14</f>
        <v>5</v>
      </c>
      <c r="J14" s="280">
        <f>'[1]Degree Days 2018'!J14</f>
        <v>17</v>
      </c>
      <c r="K14" s="280">
        <f>'[1]Degree Days 2018'!K14</f>
        <v>12</v>
      </c>
      <c r="L14" s="280">
        <f>'[1]Degree Days 2018'!L14</f>
        <v>-3.8000000000000007</v>
      </c>
      <c r="M14" s="280">
        <f>'[1]Degree Days 2018'!M14</f>
        <v>5</v>
      </c>
      <c r="N14" s="280">
        <f>'[1]Degree Days 2018'!N14</f>
        <v>19</v>
      </c>
      <c r="O14" s="280">
        <f>'[1]Degree Days 2018'!O14</f>
        <v>16</v>
      </c>
      <c r="P14" s="280">
        <f>'[1]Degree Days 2018'!P14</f>
        <v>-0.80000000000000071</v>
      </c>
      <c r="Q14" s="280">
        <f>'[1]Degree Days 2018'!Q14</f>
        <v>5</v>
      </c>
      <c r="R14" s="280">
        <f>'[1]Degree Days 2018'!R14</f>
        <v>25</v>
      </c>
      <c r="S14" s="280">
        <f>'[1]Degree Days 2018'!S14</f>
        <v>17</v>
      </c>
      <c r="T14" s="280">
        <f>'[1]Degree Days 2018'!T14</f>
        <v>2.6999999999999993</v>
      </c>
      <c r="U14" s="280">
        <f>'[1]Degree Days 2018'!U14</f>
        <v>5</v>
      </c>
      <c r="V14" s="280">
        <f>'[1]Degree Days 2018'!V14</f>
        <v>26</v>
      </c>
      <c r="W14" s="280">
        <f>'[1]Degree Days 2018'!W14</f>
        <v>20</v>
      </c>
      <c r="X14" s="280">
        <f>'[1]Degree Days 2018'!X14</f>
        <v>4.6999999999999993</v>
      </c>
      <c r="Z14" t="s">
        <v>172</v>
      </c>
      <c r="AA14" s="280">
        <f>'[1]Degree Days 2018'!AA14</f>
        <v>-18.3</v>
      </c>
      <c r="AB14" s="280">
        <f>'[1]Degree Days 2018'!AB14</f>
        <v>151</v>
      </c>
    </row>
    <row r="15" spans="1:28">
      <c r="A15" s="118">
        <v>6</v>
      </c>
      <c r="B15" s="280">
        <f>'[1]Degree Days 2018'!B15</f>
        <v>16</v>
      </c>
      <c r="C15" s="280">
        <f>'[1]Degree Days 2018'!C15</f>
        <v>13</v>
      </c>
      <c r="D15" s="280">
        <f>'[1]Degree Days 2018'!D15</f>
        <v>-3.8000000000000007</v>
      </c>
      <c r="E15" s="280">
        <f>'[1]Degree Days 2018'!E15</f>
        <v>6</v>
      </c>
      <c r="F15" s="280">
        <f>'[1]Degree Days 2018'!F15</f>
        <v>18</v>
      </c>
      <c r="G15" s="280">
        <f>'[1]Degree Days 2018'!G15</f>
        <v>15</v>
      </c>
      <c r="H15" s="280">
        <f>'[1]Degree Days 2018'!H15</f>
        <v>-1.8000000000000007</v>
      </c>
      <c r="I15" s="280">
        <f>'[1]Degree Days 2018'!I15</f>
        <v>6</v>
      </c>
      <c r="J15" s="280">
        <f>'[1]Degree Days 2018'!J15</f>
        <v>18</v>
      </c>
      <c r="K15" s="280">
        <f>'[1]Degree Days 2018'!K15</f>
        <v>12</v>
      </c>
      <c r="L15" s="280">
        <f>'[1]Degree Days 2018'!L15</f>
        <v>-3.3000000000000007</v>
      </c>
      <c r="M15" s="280">
        <f>'[1]Degree Days 2018'!M15</f>
        <v>6</v>
      </c>
      <c r="N15" s="280">
        <f>'[1]Degree Days 2018'!N15</f>
        <v>19</v>
      </c>
      <c r="O15" s="280">
        <f>'[1]Degree Days 2018'!O15</f>
        <v>15</v>
      </c>
      <c r="P15" s="280">
        <f>'[1]Degree Days 2018'!P15</f>
        <v>-1.3000000000000007</v>
      </c>
      <c r="Q15" s="280">
        <f>'[1]Degree Days 2018'!Q15</f>
        <v>6</v>
      </c>
      <c r="R15" s="280">
        <f>'[1]Degree Days 2018'!R15</f>
        <v>34</v>
      </c>
      <c r="S15" s="280">
        <f>'[1]Degree Days 2018'!S15</f>
        <v>20</v>
      </c>
      <c r="T15" s="280">
        <f>'[1]Degree Days 2018'!T15</f>
        <v>8.6999999999999993</v>
      </c>
      <c r="U15" s="280">
        <f>'[1]Degree Days 2018'!U15</f>
        <v>6</v>
      </c>
      <c r="V15" s="280">
        <f>'[1]Degree Days 2018'!V15</f>
        <v>26</v>
      </c>
      <c r="W15" s="280">
        <f>'[1]Degree Days 2018'!W15</f>
        <v>21</v>
      </c>
      <c r="X15" s="280">
        <f>'[1]Degree Days 2018'!X15</f>
        <v>5.1999999999999993</v>
      </c>
      <c r="Z15" t="s">
        <v>173</v>
      </c>
      <c r="AA15" s="280">
        <f>'[1]Degree Days 2018'!AA15</f>
        <v>-0.30000000000000071</v>
      </c>
      <c r="AB15" s="280">
        <f>'[1]Degree Days 2018'!AB15</f>
        <v>108.30000000000005</v>
      </c>
    </row>
    <row r="16" spans="1:28">
      <c r="A16" s="118">
        <v>7</v>
      </c>
      <c r="B16" s="280">
        <f>'[1]Degree Days 2018'!B16</f>
        <v>15</v>
      </c>
      <c r="C16" s="280">
        <f>'[1]Degree Days 2018'!C16</f>
        <v>10</v>
      </c>
      <c r="D16" s="280">
        <f>'[1]Degree Days 2018'!D16</f>
        <v>-5.8000000000000007</v>
      </c>
      <c r="E16" s="280">
        <f>'[1]Degree Days 2018'!E16</f>
        <v>7</v>
      </c>
      <c r="F16" s="280">
        <f>'[1]Degree Days 2018'!F16</f>
        <v>18</v>
      </c>
      <c r="G16" s="280">
        <f>'[1]Degree Days 2018'!G16</f>
        <v>13</v>
      </c>
      <c r="H16" s="280">
        <f>'[1]Degree Days 2018'!H16</f>
        <v>-2.8000000000000007</v>
      </c>
      <c r="I16" s="280">
        <f>'[1]Degree Days 2018'!I16</f>
        <v>7</v>
      </c>
      <c r="J16" s="280">
        <f>'[1]Degree Days 2018'!J16</f>
        <v>18</v>
      </c>
      <c r="K16" s="280">
        <f>'[1]Degree Days 2018'!K16</f>
        <v>12</v>
      </c>
      <c r="L16" s="280">
        <f>'[1]Degree Days 2018'!L16</f>
        <v>-3.3000000000000007</v>
      </c>
      <c r="M16" s="280">
        <f>'[1]Degree Days 2018'!M16</f>
        <v>7</v>
      </c>
      <c r="N16" s="280">
        <f>'[1]Degree Days 2018'!N16</f>
        <v>25</v>
      </c>
      <c r="O16" s="280">
        <f>'[1]Degree Days 2018'!O16</f>
        <v>17</v>
      </c>
      <c r="P16" s="280">
        <f>'[1]Degree Days 2018'!P16</f>
        <v>2.6999999999999993</v>
      </c>
      <c r="Q16" s="280">
        <f>'[1]Degree Days 2018'!Q16</f>
        <v>7</v>
      </c>
      <c r="R16" s="280">
        <f>'[1]Degree Days 2018'!R16</f>
        <v>22</v>
      </c>
      <c r="S16" s="280">
        <f>'[1]Degree Days 2018'!S16</f>
        <v>17</v>
      </c>
      <c r="T16" s="280">
        <f>'[1]Degree Days 2018'!T16</f>
        <v>1.1999999999999993</v>
      </c>
      <c r="U16" s="280">
        <f>'[1]Degree Days 2018'!U16</f>
        <v>7</v>
      </c>
      <c r="V16" s="280">
        <f>'[1]Degree Days 2018'!V16</f>
        <v>27</v>
      </c>
      <c r="W16" s="280">
        <f>'[1]Degree Days 2018'!W16</f>
        <v>22</v>
      </c>
      <c r="X16" s="280">
        <f>'[1]Degree Days 2018'!X16</f>
        <v>6.1999999999999993</v>
      </c>
      <c r="Z16" t="s">
        <v>176</v>
      </c>
      <c r="AA16" s="280">
        <f>'[1]Degree Days 2018'!AA16</f>
        <v>31</v>
      </c>
      <c r="AB16" s="280">
        <f>'[1]Degree Days 2018'!AB16</f>
        <v>26</v>
      </c>
    </row>
    <row r="17" spans="1:28">
      <c r="A17" s="118">
        <v>8</v>
      </c>
      <c r="B17" s="280">
        <f>'[1]Degree Days 2018'!B17</f>
        <v>13</v>
      </c>
      <c r="C17" s="280">
        <f>'[1]Degree Days 2018'!C17</f>
        <v>10</v>
      </c>
      <c r="D17" s="280">
        <f>'[1]Degree Days 2018'!D17</f>
        <v>-6.8000000000000007</v>
      </c>
      <c r="E17" s="280">
        <f>'[1]Degree Days 2018'!E17</f>
        <v>8</v>
      </c>
      <c r="F17" s="280">
        <f>'[1]Degree Days 2018'!F17</f>
        <v>19</v>
      </c>
      <c r="G17" s="280">
        <f>'[1]Degree Days 2018'!G17</f>
        <v>12</v>
      </c>
      <c r="H17" s="280">
        <f>'[1]Degree Days 2018'!H17</f>
        <v>-2.8000000000000007</v>
      </c>
      <c r="I17" s="280">
        <f>'[1]Degree Days 2018'!I17</f>
        <v>8</v>
      </c>
      <c r="J17" s="280">
        <f>'[1]Degree Days 2018'!J17</f>
        <v>18</v>
      </c>
      <c r="K17" s="280">
        <f>'[1]Degree Days 2018'!K17</f>
        <v>13</v>
      </c>
      <c r="L17" s="280">
        <f>'[1]Degree Days 2018'!L17</f>
        <v>-2.8000000000000007</v>
      </c>
      <c r="M17" s="280">
        <f>'[1]Degree Days 2018'!M17</f>
        <v>8</v>
      </c>
      <c r="N17" s="280">
        <f>'[1]Degree Days 2018'!N17</f>
        <v>24</v>
      </c>
      <c r="O17" s="280">
        <f>'[1]Degree Days 2018'!O17</f>
        <v>17</v>
      </c>
      <c r="P17" s="280">
        <f>'[1]Degree Days 2018'!P17</f>
        <v>2.1999999999999993</v>
      </c>
      <c r="Q17" s="280">
        <f>'[1]Degree Days 2018'!Q17</f>
        <v>8</v>
      </c>
      <c r="R17" s="280">
        <f>'[1]Degree Days 2018'!R17</f>
        <v>21</v>
      </c>
      <c r="S17" s="280">
        <f>'[1]Degree Days 2018'!S17</f>
        <v>18</v>
      </c>
      <c r="T17" s="280">
        <f>'[1]Degree Days 2018'!T17</f>
        <v>1.1999999999999993</v>
      </c>
      <c r="U17" s="280">
        <f>'[1]Degree Days 2018'!U17</f>
        <v>8</v>
      </c>
      <c r="V17" s="280">
        <f>'[1]Degree Days 2018'!V17</f>
        <v>31</v>
      </c>
      <c r="W17" s="280">
        <f>'[1]Degree Days 2018'!W17</f>
        <v>24</v>
      </c>
      <c r="X17" s="280">
        <f>'[1]Degree Days 2018'!X17</f>
        <v>9.1999999999999993</v>
      </c>
      <c r="Z17" t="s">
        <v>177</v>
      </c>
      <c r="AA17" s="280">
        <f>'[1]Degree Days 2018'!AA17</f>
        <v>31</v>
      </c>
      <c r="AB17" s="280">
        <f>'[1]Degree Days 2018'!AB17</f>
        <v>27</v>
      </c>
    </row>
    <row r="18" spans="1:28">
      <c r="A18" s="118">
        <v>9</v>
      </c>
      <c r="B18" s="280">
        <f>'[1]Degree Days 2018'!B18</f>
        <v>16</v>
      </c>
      <c r="C18" s="280">
        <f>'[1]Degree Days 2018'!C18</f>
        <v>10</v>
      </c>
      <c r="D18" s="280">
        <f>'[1]Degree Days 2018'!D18</f>
        <v>-5.3000000000000007</v>
      </c>
      <c r="E18" s="280">
        <f>'[1]Degree Days 2018'!E18</f>
        <v>9</v>
      </c>
      <c r="F18" s="280">
        <f>'[1]Degree Days 2018'!F18</f>
        <v>18</v>
      </c>
      <c r="G18" s="280">
        <f>'[1]Degree Days 2018'!G18</f>
        <v>12</v>
      </c>
      <c r="H18" s="280">
        <f>'[1]Degree Days 2018'!H18</f>
        <v>-3.3000000000000007</v>
      </c>
      <c r="I18" s="280">
        <f>'[1]Degree Days 2018'!I18</f>
        <v>9</v>
      </c>
      <c r="J18" s="280">
        <f>'[1]Degree Days 2018'!J18</f>
        <v>19</v>
      </c>
      <c r="K18" s="280">
        <f>'[1]Degree Days 2018'!K18</f>
        <v>14</v>
      </c>
      <c r="L18" s="280">
        <f>'[1]Degree Days 2018'!L18</f>
        <v>-1.8000000000000007</v>
      </c>
      <c r="M18" s="280">
        <f>'[1]Degree Days 2018'!M18</f>
        <v>9</v>
      </c>
      <c r="N18" s="280">
        <f>'[1]Degree Days 2018'!N18</f>
        <v>23</v>
      </c>
      <c r="O18" s="280">
        <f>'[1]Degree Days 2018'!O18</f>
        <v>16</v>
      </c>
      <c r="P18" s="280">
        <f>'[1]Degree Days 2018'!P18</f>
        <v>1.1999999999999993</v>
      </c>
      <c r="Q18" s="280">
        <f>'[1]Degree Days 2018'!Q18</f>
        <v>9</v>
      </c>
      <c r="R18" s="280">
        <f>'[1]Degree Days 2018'!R18</f>
        <v>21</v>
      </c>
      <c r="S18" s="280">
        <f>'[1]Degree Days 2018'!S18</f>
        <v>17</v>
      </c>
      <c r="T18" s="280">
        <f>'[1]Degree Days 2018'!T18</f>
        <v>0.69999999999999929</v>
      </c>
      <c r="U18" s="280">
        <f>'[1]Degree Days 2018'!U18</f>
        <v>9</v>
      </c>
      <c r="V18" s="280">
        <f>'[1]Degree Days 2018'!V18</f>
        <v>28</v>
      </c>
      <c r="W18" s="280">
        <f>'[1]Degree Days 2018'!W18</f>
        <v>22</v>
      </c>
      <c r="X18" s="280">
        <f>'[1]Degree Days 2018'!X18</f>
        <v>6.6999999999999993</v>
      </c>
      <c r="Z18" t="s">
        <v>178</v>
      </c>
      <c r="AA18" s="280">
        <f>'[1]Degree Days 2018'!AA18</f>
        <v>31</v>
      </c>
      <c r="AB18" s="280">
        <f>'[1]Degree Days 2018'!AB18</f>
        <v>26</v>
      </c>
    </row>
    <row r="19" spans="1:28">
      <c r="A19" s="118">
        <v>10</v>
      </c>
      <c r="B19" s="280">
        <f>'[1]Degree Days 2018'!B19</f>
        <v>17</v>
      </c>
      <c r="C19" s="280">
        <f>'[1]Degree Days 2018'!C19</f>
        <v>11</v>
      </c>
      <c r="D19" s="280">
        <f>'[1]Degree Days 2018'!D19</f>
        <v>-4.3000000000000007</v>
      </c>
      <c r="E19" s="280">
        <f>'[1]Degree Days 2018'!E19</f>
        <v>10</v>
      </c>
      <c r="F19" s="280">
        <f>'[1]Degree Days 2018'!F19</f>
        <v>17</v>
      </c>
      <c r="G19" s="280">
        <f>'[1]Degree Days 2018'!G19</f>
        <v>11</v>
      </c>
      <c r="H19" s="280">
        <f>'[1]Degree Days 2018'!H19</f>
        <v>-4.3000000000000007</v>
      </c>
      <c r="I19" s="280">
        <f>'[1]Degree Days 2018'!I19</f>
        <v>10</v>
      </c>
      <c r="J19" s="280">
        <f>'[1]Degree Days 2018'!J19</f>
        <v>18</v>
      </c>
      <c r="K19" s="280">
        <f>'[1]Degree Days 2018'!K19</f>
        <v>12</v>
      </c>
      <c r="L19" s="280">
        <f>'[1]Degree Days 2018'!L19</f>
        <v>-3.3000000000000007</v>
      </c>
      <c r="M19" s="280">
        <f>'[1]Degree Days 2018'!M19</f>
        <v>10</v>
      </c>
      <c r="N19" s="280">
        <f>'[1]Degree Days 2018'!N19</f>
        <v>20</v>
      </c>
      <c r="O19" s="280">
        <f>'[1]Degree Days 2018'!O19</f>
        <v>16</v>
      </c>
      <c r="P19" s="280">
        <f>'[1]Degree Days 2018'!P19</f>
        <v>-0.30000000000000071</v>
      </c>
      <c r="Q19" s="280">
        <f>'[1]Degree Days 2018'!Q19</f>
        <v>10</v>
      </c>
      <c r="R19" s="280">
        <f>'[1]Degree Days 2018'!R19</f>
        <v>21</v>
      </c>
      <c r="S19" s="280">
        <f>'[1]Degree Days 2018'!S19</f>
        <v>16</v>
      </c>
      <c r="T19" s="280">
        <f>'[1]Degree Days 2018'!T19</f>
        <v>0.19999999999999929</v>
      </c>
      <c r="U19" s="280">
        <f>'[1]Degree Days 2018'!U19</f>
        <v>10</v>
      </c>
      <c r="V19" s="280">
        <f>'[1]Degree Days 2018'!V19</f>
        <v>28</v>
      </c>
      <c r="W19" s="280">
        <f>'[1]Degree Days 2018'!W19</f>
        <v>22</v>
      </c>
      <c r="X19" s="280">
        <f>'[1]Degree Days 2018'!X19</f>
        <v>6.6999999999999993</v>
      </c>
      <c r="Z19" t="s">
        <v>179</v>
      </c>
      <c r="AA19" s="280">
        <f>'[1]Degree Days 2018'!AA19</f>
        <v>32</v>
      </c>
      <c r="AB19" s="280">
        <f>'[1]Degree Days 2018'!AB19</f>
        <v>26</v>
      </c>
    </row>
    <row r="20" spans="1:28">
      <c r="A20" s="118">
        <v>11</v>
      </c>
      <c r="B20" s="280">
        <f>'[1]Degree Days 2018'!B20</f>
        <v>18</v>
      </c>
      <c r="C20" s="280">
        <f>'[1]Degree Days 2018'!C20</f>
        <v>10</v>
      </c>
      <c r="D20" s="280">
        <f>'[1]Degree Days 2018'!D20</f>
        <v>-4.3000000000000007</v>
      </c>
      <c r="E20" s="280">
        <f>'[1]Degree Days 2018'!E20</f>
        <v>11</v>
      </c>
      <c r="F20" s="280">
        <f>'[1]Degree Days 2018'!F20</f>
        <v>17</v>
      </c>
      <c r="G20" s="280">
        <f>'[1]Degree Days 2018'!G20</f>
        <v>12</v>
      </c>
      <c r="H20" s="280">
        <f>'[1]Degree Days 2018'!H20</f>
        <v>-3.8000000000000007</v>
      </c>
      <c r="I20" s="280">
        <f>'[1]Degree Days 2018'!I20</f>
        <v>11</v>
      </c>
      <c r="J20" s="280">
        <f>'[1]Degree Days 2018'!J20</f>
        <v>18</v>
      </c>
      <c r="K20" s="280">
        <f>'[1]Degree Days 2018'!K20</f>
        <v>13</v>
      </c>
      <c r="L20" s="280">
        <f>'[1]Degree Days 2018'!L20</f>
        <v>-2.8000000000000007</v>
      </c>
      <c r="M20" s="280">
        <f>'[1]Degree Days 2018'!M20</f>
        <v>11</v>
      </c>
      <c r="N20" s="280">
        <f>'[1]Degree Days 2018'!N20</f>
        <v>19</v>
      </c>
      <c r="O20" s="280">
        <f>'[1]Degree Days 2018'!O20</f>
        <v>15</v>
      </c>
      <c r="P20" s="280">
        <f>'[1]Degree Days 2018'!P20</f>
        <v>-1.3000000000000007</v>
      </c>
      <c r="Q20" s="280">
        <f>'[1]Degree Days 2018'!Q20</f>
        <v>11</v>
      </c>
      <c r="R20" s="280">
        <f>'[1]Degree Days 2018'!R20</f>
        <v>25</v>
      </c>
      <c r="S20" s="280">
        <f>'[1]Degree Days 2018'!S20</f>
        <v>22</v>
      </c>
      <c r="T20" s="280">
        <f>'[1]Degree Days 2018'!T20</f>
        <v>5.1999999999999993</v>
      </c>
      <c r="U20" s="280">
        <f>'[1]Degree Days 2018'!U20</f>
        <v>11</v>
      </c>
      <c r="V20" s="280">
        <f>'[1]Degree Days 2018'!V20</f>
        <v>27</v>
      </c>
      <c r="W20" s="280">
        <f>'[1]Degree Days 2018'!W20</f>
        <v>22</v>
      </c>
      <c r="X20" s="280">
        <f>'[1]Degree Days 2018'!X20</f>
        <v>6.1999999999999993</v>
      </c>
      <c r="Z20" t="s">
        <v>180</v>
      </c>
      <c r="AA20" s="280">
        <f>V81</f>
        <v>-60.09999999999998</v>
      </c>
      <c r="AB20" s="280">
        <f>W81</f>
        <v>1.0999999999999979</v>
      </c>
    </row>
    <row r="21" spans="1:28">
      <c r="A21" s="118">
        <v>12</v>
      </c>
      <c r="B21" s="280">
        <f>'[1]Degree Days 2018'!B21</f>
        <v>17</v>
      </c>
      <c r="C21" s="280">
        <f>'[1]Degree Days 2018'!C21</f>
        <v>11</v>
      </c>
      <c r="D21" s="280">
        <f>'[1]Degree Days 2018'!D21</f>
        <v>-4.3000000000000007</v>
      </c>
      <c r="E21" s="280">
        <f>'[1]Degree Days 2018'!E21</f>
        <v>12</v>
      </c>
      <c r="F21" s="280">
        <f>'[1]Degree Days 2018'!F21</f>
        <v>19</v>
      </c>
      <c r="G21" s="280">
        <f>'[1]Degree Days 2018'!G21</f>
        <v>13</v>
      </c>
      <c r="H21" s="280">
        <f>'[1]Degree Days 2018'!H21</f>
        <v>-2.3000000000000007</v>
      </c>
      <c r="I21" s="280">
        <f>'[1]Degree Days 2018'!I21</f>
        <v>12</v>
      </c>
      <c r="J21" s="280">
        <f>'[1]Degree Days 2018'!J21</f>
        <v>18</v>
      </c>
      <c r="K21" s="280">
        <f>'[1]Degree Days 2018'!K21</f>
        <v>14</v>
      </c>
      <c r="L21" s="280">
        <f>'[1]Degree Days 2018'!L21</f>
        <v>-2.3000000000000007</v>
      </c>
      <c r="M21" s="280">
        <f>'[1]Degree Days 2018'!M21</f>
        <v>12</v>
      </c>
      <c r="N21" s="280">
        <f>'[1]Degree Days 2018'!N21</f>
        <v>20</v>
      </c>
      <c r="O21" s="280">
        <f>'[1]Degree Days 2018'!O21</f>
        <v>16</v>
      </c>
      <c r="P21" s="280">
        <f>'[1]Degree Days 2018'!P21</f>
        <v>-0.30000000000000071</v>
      </c>
      <c r="Q21" s="280">
        <f>'[1]Degree Days 2018'!Q21</f>
        <v>12</v>
      </c>
      <c r="R21" s="280">
        <f>'[1]Degree Days 2018'!R21</f>
        <v>26</v>
      </c>
      <c r="S21" s="280">
        <f>'[1]Degree Days 2018'!S21</f>
        <v>23</v>
      </c>
      <c r="T21" s="280">
        <f>'[1]Degree Days 2018'!T21</f>
        <v>6.1999999999999993</v>
      </c>
      <c r="U21" s="280">
        <f>'[1]Degree Days 2018'!U21</f>
        <v>12</v>
      </c>
      <c r="V21" s="280">
        <f>'[1]Degree Days 2018'!V21</f>
        <v>27</v>
      </c>
      <c r="W21" s="280">
        <f>'[1]Degree Days 2018'!W21</f>
        <v>22</v>
      </c>
      <c r="X21" s="280">
        <f>'[1]Degree Days 2018'!X21</f>
        <v>6.1999999999999993</v>
      </c>
      <c r="Z21" t="s">
        <v>181</v>
      </c>
      <c r="AA21" s="135">
        <f t="shared" ref="AA21" si="0">SUM(B54)</f>
        <v>31</v>
      </c>
      <c r="AB21" s="135">
        <f t="shared" ref="AB21" si="1">SUM(C54)</f>
        <v>26</v>
      </c>
    </row>
    <row r="22" spans="1:28">
      <c r="A22" s="118">
        <v>13</v>
      </c>
      <c r="B22" s="280">
        <f>'[1]Degree Days 2018'!B22</f>
        <v>15</v>
      </c>
      <c r="C22" s="280">
        <f>'[1]Degree Days 2018'!C22</f>
        <v>13</v>
      </c>
      <c r="D22" s="280">
        <f>'[1]Degree Days 2018'!D22</f>
        <v>-4.3000000000000007</v>
      </c>
      <c r="E22" s="280">
        <f>'[1]Degree Days 2018'!E22</f>
        <v>13</v>
      </c>
      <c r="F22" s="280">
        <f>'[1]Degree Days 2018'!F22</f>
        <v>17</v>
      </c>
      <c r="G22" s="280">
        <f>'[1]Degree Days 2018'!G22</f>
        <v>12</v>
      </c>
      <c r="H22" s="280">
        <f>'[1]Degree Days 2018'!H22</f>
        <v>-3.8000000000000007</v>
      </c>
      <c r="I22" s="280">
        <f>'[1]Degree Days 2018'!I22</f>
        <v>13</v>
      </c>
      <c r="J22" s="280">
        <f>'[1]Degree Days 2018'!J22</f>
        <v>20</v>
      </c>
      <c r="K22" s="280">
        <f>'[1]Degree Days 2018'!K22</f>
        <v>15</v>
      </c>
      <c r="L22" s="280">
        <f>'[1]Degree Days 2018'!L22</f>
        <v>-0.80000000000000071</v>
      </c>
      <c r="M22" s="280">
        <f>'[1]Degree Days 2018'!M22</f>
        <v>13</v>
      </c>
      <c r="N22" s="280">
        <f>'[1]Degree Days 2018'!N22</f>
        <v>29</v>
      </c>
      <c r="O22" s="280">
        <f>'[1]Degree Days 2018'!O22</f>
        <v>22</v>
      </c>
      <c r="P22" s="280">
        <f>'[1]Degree Days 2018'!P22</f>
        <v>7.1999999999999993</v>
      </c>
      <c r="Q22" s="280">
        <f>'[1]Degree Days 2018'!Q22</f>
        <v>13</v>
      </c>
      <c r="R22" s="280">
        <f>'[1]Degree Days 2018'!R22</f>
        <v>28</v>
      </c>
      <c r="S22" s="280">
        <f>'[1]Degree Days 2018'!S22</f>
        <v>18</v>
      </c>
      <c r="T22" s="280">
        <f>'[1]Degree Days 2018'!T22</f>
        <v>4.6999999999999993</v>
      </c>
      <c r="U22" s="280">
        <f>'[1]Degree Days 2018'!U22</f>
        <v>13</v>
      </c>
      <c r="V22" s="280">
        <f>'[1]Degree Days 2018'!V22</f>
        <v>26</v>
      </c>
      <c r="W22" s="280">
        <f>'[1]Degree Days 2018'!W22</f>
        <v>21</v>
      </c>
      <c r="X22" s="280">
        <f>'[1]Degree Days 2018'!X22</f>
        <v>5.1999999999999993</v>
      </c>
    </row>
    <row r="23" spans="1:28">
      <c r="A23" s="118">
        <v>14</v>
      </c>
      <c r="B23" s="280">
        <f>'[1]Degree Days 2018'!B23</f>
        <v>17</v>
      </c>
      <c r="C23" s="280">
        <f>'[1]Degree Days 2018'!C23</f>
        <v>12</v>
      </c>
      <c r="D23" s="280">
        <f>'[1]Degree Days 2018'!D23</f>
        <v>-3.8000000000000007</v>
      </c>
      <c r="E23" s="280">
        <f>'[1]Degree Days 2018'!E23</f>
        <v>14</v>
      </c>
      <c r="F23" s="280">
        <f>'[1]Degree Days 2018'!F23</f>
        <v>15</v>
      </c>
      <c r="G23" s="280">
        <f>'[1]Degree Days 2018'!G23</f>
        <v>12</v>
      </c>
      <c r="H23" s="280">
        <f>'[1]Degree Days 2018'!H23</f>
        <v>-4.8000000000000007</v>
      </c>
      <c r="I23" s="280">
        <f>'[1]Degree Days 2018'!I23</f>
        <v>14</v>
      </c>
      <c r="J23" s="280">
        <f>'[1]Degree Days 2018'!J23</f>
        <v>16</v>
      </c>
      <c r="K23" s="280">
        <f>'[1]Degree Days 2018'!K23</f>
        <v>12</v>
      </c>
      <c r="L23" s="280">
        <f>'[1]Degree Days 2018'!L23</f>
        <v>-4.3000000000000007</v>
      </c>
      <c r="M23" s="280">
        <f>'[1]Degree Days 2018'!M23</f>
        <v>14</v>
      </c>
      <c r="N23" s="280">
        <f>'[1]Degree Days 2018'!N23</f>
        <v>30</v>
      </c>
      <c r="O23" s="280">
        <f>'[1]Degree Days 2018'!O23</f>
        <v>18</v>
      </c>
      <c r="P23" s="280">
        <f>'[1]Degree Days 2018'!P23</f>
        <v>5.6999999999999993</v>
      </c>
      <c r="Q23" s="280">
        <f>'[1]Degree Days 2018'!Q23</f>
        <v>14</v>
      </c>
      <c r="R23" s="280">
        <f>'[1]Degree Days 2018'!R23</f>
        <v>27</v>
      </c>
      <c r="S23" s="280">
        <f>'[1]Degree Days 2018'!S23</f>
        <v>17</v>
      </c>
      <c r="T23" s="280">
        <f>'[1]Degree Days 2018'!T23</f>
        <v>3.6999999999999993</v>
      </c>
      <c r="U23" s="280">
        <f>'[1]Degree Days 2018'!U23</f>
        <v>14</v>
      </c>
      <c r="V23" s="280">
        <f>'[1]Degree Days 2018'!V23</f>
        <v>30</v>
      </c>
      <c r="W23" s="280">
        <f>'[1]Degree Days 2018'!W23</f>
        <v>24</v>
      </c>
      <c r="X23" s="280">
        <f>'[1]Degree Days 2018'!X23</f>
        <v>8.6999999999999993</v>
      </c>
      <c r="AA23" s="135">
        <f>SUM(AA10:AA22)</f>
        <v>-266.69999999999982</v>
      </c>
      <c r="AB23" s="135">
        <f>SUM(AB10:AB22)</f>
        <v>426.90000000000009</v>
      </c>
    </row>
    <row r="24" spans="1:28">
      <c r="A24" s="118">
        <v>15</v>
      </c>
      <c r="B24" s="280">
        <f>'[1]Degree Days 2018'!B24</f>
        <v>17</v>
      </c>
      <c r="C24" s="280">
        <f>'[1]Degree Days 2018'!C24</f>
        <v>14</v>
      </c>
      <c r="D24" s="280">
        <f>'[1]Degree Days 2018'!D24</f>
        <v>-2.8000000000000007</v>
      </c>
      <c r="E24" s="280">
        <f>'[1]Degree Days 2018'!E24</f>
        <v>15</v>
      </c>
      <c r="F24" s="280">
        <f>'[1]Degree Days 2018'!F24</f>
        <v>14</v>
      </c>
      <c r="G24" s="280">
        <f>'[1]Degree Days 2018'!G24</f>
        <v>12</v>
      </c>
      <c r="H24" s="280">
        <f>'[1]Degree Days 2018'!H24</f>
        <v>-5.3000000000000007</v>
      </c>
      <c r="I24" s="280">
        <f>'[1]Degree Days 2018'!I24</f>
        <v>15</v>
      </c>
      <c r="J24" s="280">
        <f>'[1]Degree Days 2018'!J24</f>
        <v>19</v>
      </c>
      <c r="K24" s="280">
        <f>'[1]Degree Days 2018'!K24</f>
        <v>14</v>
      </c>
      <c r="L24" s="280">
        <f>'[1]Degree Days 2018'!L24</f>
        <v>-1.8000000000000007</v>
      </c>
      <c r="M24" s="280">
        <f>'[1]Degree Days 2018'!M24</f>
        <v>15</v>
      </c>
      <c r="N24" s="280">
        <f>'[1]Degree Days 2018'!N24</f>
        <v>19</v>
      </c>
      <c r="O24" s="280">
        <f>'[1]Degree Days 2018'!O24</f>
        <v>16</v>
      </c>
      <c r="P24" s="280">
        <f>'[1]Degree Days 2018'!P24</f>
        <v>-0.80000000000000071</v>
      </c>
      <c r="Q24" s="280">
        <f>'[1]Degree Days 2018'!Q24</f>
        <v>15</v>
      </c>
      <c r="R24" s="280">
        <f>'[1]Degree Days 2018'!R24</f>
        <v>28</v>
      </c>
      <c r="S24" s="280">
        <f>'[1]Degree Days 2018'!S24</f>
        <v>18</v>
      </c>
      <c r="T24" s="280">
        <f>'[1]Degree Days 2018'!T24</f>
        <v>4.6999999999999993</v>
      </c>
      <c r="U24" s="280">
        <f>'[1]Degree Days 2018'!U24</f>
        <v>15</v>
      </c>
      <c r="V24" s="280">
        <f>'[1]Degree Days 2018'!V24</f>
        <v>28</v>
      </c>
      <c r="W24" s="280">
        <f>'[1]Degree Days 2018'!W24</f>
        <v>19</v>
      </c>
      <c r="X24" s="280">
        <f>'[1]Degree Days 2018'!X24</f>
        <v>5.1999999999999993</v>
      </c>
    </row>
    <row r="25" spans="1:28">
      <c r="A25" s="118">
        <v>16</v>
      </c>
      <c r="B25" s="280">
        <f>'[1]Degree Days 2018'!B25</f>
        <v>14</v>
      </c>
      <c r="C25" s="280">
        <f>'[1]Degree Days 2018'!C25</f>
        <v>10</v>
      </c>
      <c r="D25" s="280">
        <f>'[1]Degree Days 2018'!D25</f>
        <v>-6.3000000000000007</v>
      </c>
      <c r="E25" s="280">
        <f>'[1]Degree Days 2018'!E25</f>
        <v>16</v>
      </c>
      <c r="F25" s="280">
        <f>'[1]Degree Days 2018'!F25</f>
        <v>13</v>
      </c>
      <c r="G25" s="280">
        <f>'[1]Degree Days 2018'!G25</f>
        <v>12</v>
      </c>
      <c r="H25" s="280">
        <f>'[1]Degree Days 2018'!H25</f>
        <v>-5.8000000000000007</v>
      </c>
      <c r="I25" s="280">
        <f>'[1]Degree Days 2018'!I25</f>
        <v>16</v>
      </c>
      <c r="J25" s="280">
        <f>'[1]Degree Days 2018'!J25</f>
        <v>19</v>
      </c>
      <c r="K25" s="280">
        <f>'[1]Degree Days 2018'!K25</f>
        <v>11</v>
      </c>
      <c r="L25" s="280">
        <f>'[1]Degree Days 2018'!L25</f>
        <v>-3.3000000000000007</v>
      </c>
      <c r="M25" s="280">
        <f>'[1]Degree Days 2018'!M25</f>
        <v>16</v>
      </c>
      <c r="N25" s="280">
        <f>'[1]Degree Days 2018'!N25</f>
        <v>18</v>
      </c>
      <c r="O25" s="280">
        <f>'[1]Degree Days 2018'!O25</f>
        <v>15</v>
      </c>
      <c r="P25" s="280">
        <f>'[1]Degree Days 2018'!P25</f>
        <v>-1.8000000000000007</v>
      </c>
      <c r="Q25" s="280">
        <f>'[1]Degree Days 2018'!Q25</f>
        <v>16</v>
      </c>
      <c r="R25" s="280">
        <f>'[1]Degree Days 2018'!R25</f>
        <v>28</v>
      </c>
      <c r="S25" s="280">
        <f>'[1]Degree Days 2018'!S25</f>
        <v>21</v>
      </c>
      <c r="T25" s="280">
        <f>'[1]Degree Days 2018'!T25</f>
        <v>6.1999999999999993</v>
      </c>
      <c r="U25" s="280">
        <f>'[1]Degree Days 2018'!U25</f>
        <v>16</v>
      </c>
      <c r="V25" s="280">
        <f>'[1]Degree Days 2018'!V25</f>
        <v>24</v>
      </c>
      <c r="W25" s="280">
        <f>'[1]Degree Days 2018'!W25</f>
        <v>19</v>
      </c>
      <c r="X25" s="280">
        <f>'[1]Degree Days 2018'!X25</f>
        <v>3.1999999999999993</v>
      </c>
    </row>
    <row r="26" spans="1:28">
      <c r="A26" s="118">
        <v>17</v>
      </c>
      <c r="B26" s="280">
        <f>'[1]Degree Days 2018'!B26</f>
        <v>16</v>
      </c>
      <c r="C26" s="280">
        <f>'[1]Degree Days 2018'!C26</f>
        <v>10</v>
      </c>
      <c r="D26" s="280">
        <f>'[1]Degree Days 2018'!D26</f>
        <v>-5.3000000000000007</v>
      </c>
      <c r="E26" s="280">
        <f>'[1]Degree Days 2018'!E26</f>
        <v>17</v>
      </c>
      <c r="F26" s="280">
        <f>'[1]Degree Days 2018'!F26</f>
        <v>15</v>
      </c>
      <c r="G26" s="280">
        <f>'[1]Degree Days 2018'!G26</f>
        <v>13</v>
      </c>
      <c r="H26" s="280">
        <f>'[1]Degree Days 2018'!H26</f>
        <v>-4.3000000000000007</v>
      </c>
      <c r="I26" s="280">
        <f>'[1]Degree Days 2018'!I26</f>
        <v>17</v>
      </c>
      <c r="J26" s="280">
        <f>'[1]Degree Days 2018'!J26</f>
        <v>18</v>
      </c>
      <c r="K26" s="280">
        <f>'[1]Degree Days 2018'!K26</f>
        <v>13</v>
      </c>
      <c r="L26" s="280">
        <f>'[1]Degree Days 2018'!L26</f>
        <v>-2.8000000000000007</v>
      </c>
      <c r="M26" s="280">
        <f>'[1]Degree Days 2018'!M26</f>
        <v>17</v>
      </c>
      <c r="N26" s="280">
        <f>'[1]Degree Days 2018'!N26</f>
        <v>19</v>
      </c>
      <c r="O26" s="280">
        <f>'[1]Degree Days 2018'!O26</f>
        <v>14</v>
      </c>
      <c r="P26" s="280">
        <f>'[1]Degree Days 2018'!P26</f>
        <v>-1.8000000000000007</v>
      </c>
      <c r="Q26" s="280">
        <f>'[1]Degree Days 2018'!Q26</f>
        <v>17</v>
      </c>
      <c r="R26" s="280">
        <f>'[1]Degree Days 2018'!R26</f>
        <v>29</v>
      </c>
      <c r="S26" s="280">
        <f>'[1]Degree Days 2018'!S26</f>
        <v>22</v>
      </c>
      <c r="T26" s="280">
        <f>'[1]Degree Days 2018'!T26</f>
        <v>7.1999999999999993</v>
      </c>
      <c r="U26" s="280">
        <f>'[1]Degree Days 2018'!U26</f>
        <v>17</v>
      </c>
      <c r="V26" s="280">
        <f>'[1]Degree Days 2018'!V26</f>
        <v>27</v>
      </c>
      <c r="W26" s="280">
        <f>'[1]Degree Days 2018'!W26</f>
        <v>19</v>
      </c>
      <c r="X26" s="280">
        <f>'[1]Degree Days 2018'!X26</f>
        <v>4.6999999999999993</v>
      </c>
    </row>
    <row r="27" spans="1:28">
      <c r="A27" s="118">
        <v>18</v>
      </c>
      <c r="B27" s="280">
        <f>'[1]Degree Days 2018'!B27</f>
        <v>16</v>
      </c>
      <c r="C27" s="280">
        <f>'[1]Degree Days 2018'!C27</f>
        <v>10</v>
      </c>
      <c r="D27" s="280">
        <f>'[1]Degree Days 2018'!D27</f>
        <v>-5.3000000000000007</v>
      </c>
      <c r="E27" s="280">
        <f>'[1]Degree Days 2018'!E27</f>
        <v>18</v>
      </c>
      <c r="F27" s="280">
        <f>'[1]Degree Days 2018'!F27</f>
        <v>15</v>
      </c>
      <c r="G27" s="280">
        <f>'[1]Degree Days 2018'!G27</f>
        <v>13</v>
      </c>
      <c r="H27" s="280">
        <f>'[1]Degree Days 2018'!H27</f>
        <v>-4.3000000000000007</v>
      </c>
      <c r="I27" s="280">
        <f>'[1]Degree Days 2018'!I27</f>
        <v>18</v>
      </c>
      <c r="J27" s="280">
        <f>'[1]Degree Days 2018'!J27</f>
        <v>18</v>
      </c>
      <c r="K27" s="280">
        <f>'[1]Degree Days 2018'!K27</f>
        <v>14</v>
      </c>
      <c r="L27" s="280">
        <f>'[1]Degree Days 2018'!L27</f>
        <v>-2.3000000000000007</v>
      </c>
      <c r="M27" s="280">
        <f>'[1]Degree Days 2018'!M27</f>
        <v>18</v>
      </c>
      <c r="N27" s="280">
        <f>'[1]Degree Days 2018'!N27</f>
        <v>18</v>
      </c>
      <c r="O27" s="280">
        <f>'[1]Degree Days 2018'!O27</f>
        <v>13</v>
      </c>
      <c r="P27" s="280">
        <f>'[1]Degree Days 2018'!P27</f>
        <v>-2.8000000000000007</v>
      </c>
      <c r="Q27" s="280">
        <f>'[1]Degree Days 2018'!Q27</f>
        <v>18</v>
      </c>
      <c r="R27" s="280">
        <f>'[1]Degree Days 2018'!R27</f>
        <v>23</v>
      </c>
      <c r="S27" s="280">
        <f>'[1]Degree Days 2018'!S27</f>
        <v>19</v>
      </c>
      <c r="T27" s="280">
        <f>'[1]Degree Days 2018'!T27</f>
        <v>2.6999999999999993</v>
      </c>
      <c r="U27" s="280">
        <f>'[1]Degree Days 2018'!U27</f>
        <v>18</v>
      </c>
      <c r="V27" s="280">
        <f>'[1]Degree Days 2018'!V27</f>
        <v>26</v>
      </c>
      <c r="W27" s="280">
        <f>'[1]Degree Days 2018'!W27</f>
        <v>18</v>
      </c>
      <c r="X27" s="280">
        <f>'[1]Degree Days 2018'!X27</f>
        <v>3.6999999999999993</v>
      </c>
    </row>
    <row r="28" spans="1:28">
      <c r="A28" s="118">
        <v>19</v>
      </c>
      <c r="B28" s="280">
        <f>'[1]Degree Days 2018'!B28</f>
        <v>16</v>
      </c>
      <c r="C28" s="280">
        <f>'[1]Degree Days 2018'!C28</f>
        <v>10</v>
      </c>
      <c r="D28" s="280">
        <f>'[1]Degree Days 2018'!D28</f>
        <v>-5.3000000000000007</v>
      </c>
      <c r="E28" s="280">
        <f>'[1]Degree Days 2018'!E28</f>
        <v>19</v>
      </c>
      <c r="F28" s="280">
        <f>'[1]Degree Days 2018'!F28</f>
        <v>16</v>
      </c>
      <c r="G28" s="280">
        <f>'[1]Degree Days 2018'!G28</f>
        <v>2</v>
      </c>
      <c r="H28" s="280">
        <f>'[1]Degree Days 2018'!H28</f>
        <v>-9.3000000000000007</v>
      </c>
      <c r="I28" s="280">
        <f>'[1]Degree Days 2018'!I28</f>
        <v>19</v>
      </c>
      <c r="J28" s="280">
        <f>'[1]Degree Days 2018'!J28</f>
        <v>19</v>
      </c>
      <c r="K28" s="280">
        <f>'[1]Degree Days 2018'!K28</f>
        <v>13</v>
      </c>
      <c r="L28" s="280">
        <f>'[1]Degree Days 2018'!L28</f>
        <v>-2.3000000000000007</v>
      </c>
      <c r="M28" s="280">
        <f>'[1]Degree Days 2018'!M28</f>
        <v>19</v>
      </c>
      <c r="N28" s="280">
        <f>'[1]Degree Days 2018'!N28</f>
        <v>17</v>
      </c>
      <c r="O28" s="280">
        <f>'[1]Degree Days 2018'!O28</f>
        <v>14</v>
      </c>
      <c r="P28" s="280">
        <f>'[1]Degree Days 2018'!P28</f>
        <v>-2.8000000000000007</v>
      </c>
      <c r="Q28" s="280">
        <f>'[1]Degree Days 2018'!Q28</f>
        <v>19</v>
      </c>
      <c r="R28" s="280">
        <f>'[1]Degree Days 2018'!R28</f>
        <v>24</v>
      </c>
      <c r="S28" s="280">
        <f>'[1]Degree Days 2018'!S28</f>
        <v>18</v>
      </c>
      <c r="T28" s="280">
        <f>'[1]Degree Days 2018'!T28</f>
        <v>2.6999999999999993</v>
      </c>
      <c r="U28" s="280">
        <f>'[1]Degree Days 2018'!U28</f>
        <v>19</v>
      </c>
      <c r="V28" s="280">
        <f>'[1]Degree Days 2018'!V28</f>
        <v>23</v>
      </c>
      <c r="W28" s="280">
        <f>'[1]Degree Days 2018'!W28</f>
        <v>18</v>
      </c>
      <c r="X28" s="280">
        <f>'[1]Degree Days 2018'!X28</f>
        <v>2.1999999999999993</v>
      </c>
    </row>
    <row r="29" spans="1:28">
      <c r="A29" s="118">
        <v>20</v>
      </c>
      <c r="B29" s="280">
        <f>'[1]Degree Days 2018'!B29</f>
        <v>18</v>
      </c>
      <c r="C29" s="280">
        <f>'[1]Degree Days 2018'!C29</f>
        <v>13</v>
      </c>
      <c r="D29" s="280">
        <f>'[1]Degree Days 2018'!D29</f>
        <v>-2.8000000000000007</v>
      </c>
      <c r="E29" s="280">
        <f>'[1]Degree Days 2018'!E29</f>
        <v>20</v>
      </c>
      <c r="F29" s="280">
        <f>'[1]Degree Days 2018'!F29</f>
        <v>16</v>
      </c>
      <c r="G29" s="280">
        <f>'[1]Degree Days 2018'!G29</f>
        <v>12</v>
      </c>
      <c r="H29" s="280">
        <f>'[1]Degree Days 2018'!H29</f>
        <v>-4.3000000000000007</v>
      </c>
      <c r="I29" s="280">
        <f>'[1]Degree Days 2018'!I29</f>
        <v>20</v>
      </c>
      <c r="J29" s="280">
        <f>'[1]Degree Days 2018'!J29</f>
        <v>19</v>
      </c>
      <c r="K29" s="280">
        <f>'[1]Degree Days 2018'!K29</f>
        <v>14</v>
      </c>
      <c r="L29" s="280">
        <f>'[1]Degree Days 2018'!L29</f>
        <v>-1.8000000000000007</v>
      </c>
      <c r="M29" s="280">
        <f>'[1]Degree Days 2018'!M29</f>
        <v>20</v>
      </c>
      <c r="N29" s="280">
        <f>'[1]Degree Days 2018'!N29</f>
        <v>19</v>
      </c>
      <c r="O29" s="280">
        <f>'[1]Degree Days 2018'!O29</f>
        <v>13</v>
      </c>
      <c r="P29" s="280">
        <f>'[1]Degree Days 2018'!P29</f>
        <v>-2.3000000000000007</v>
      </c>
      <c r="Q29" s="280">
        <f>'[1]Degree Days 2018'!Q29</f>
        <v>20</v>
      </c>
      <c r="R29" s="280">
        <f>'[1]Degree Days 2018'!R29</f>
        <v>24</v>
      </c>
      <c r="S29" s="280">
        <f>'[1]Degree Days 2018'!S29</f>
        <v>17</v>
      </c>
      <c r="T29" s="280">
        <f>'[1]Degree Days 2018'!T29</f>
        <v>2.1999999999999993</v>
      </c>
      <c r="U29" s="280">
        <f>'[1]Degree Days 2018'!U29</f>
        <v>20</v>
      </c>
      <c r="V29" s="280">
        <f>'[1]Degree Days 2018'!V29</f>
        <v>22</v>
      </c>
      <c r="W29" s="280">
        <f>'[1]Degree Days 2018'!W29</f>
        <v>16</v>
      </c>
      <c r="X29" s="280">
        <f>'[1]Degree Days 2018'!X29</f>
        <v>0.69999999999999929</v>
      </c>
    </row>
    <row r="30" spans="1:28">
      <c r="A30" s="118">
        <v>21</v>
      </c>
      <c r="B30" s="280">
        <f>'[1]Degree Days 2018'!B30</f>
        <v>18</v>
      </c>
      <c r="C30" s="280">
        <f>'[1]Degree Days 2018'!C30</f>
        <v>12</v>
      </c>
      <c r="D30" s="280">
        <f>'[1]Degree Days 2018'!D30</f>
        <v>-3.3000000000000007</v>
      </c>
      <c r="E30" s="280">
        <f>'[1]Degree Days 2018'!E30</f>
        <v>21</v>
      </c>
      <c r="F30" s="280">
        <f>'[1]Degree Days 2018'!F30</f>
        <v>16</v>
      </c>
      <c r="G30" s="280">
        <f>'[1]Degree Days 2018'!G30</f>
        <v>12</v>
      </c>
      <c r="H30" s="280">
        <f>'[1]Degree Days 2018'!H30</f>
        <v>-4.3000000000000007</v>
      </c>
      <c r="I30" s="280">
        <f>'[1]Degree Days 2018'!I30</f>
        <v>21</v>
      </c>
      <c r="J30" s="280">
        <f>'[1]Degree Days 2018'!J30</f>
        <v>19</v>
      </c>
      <c r="K30" s="280">
        <f>'[1]Degree Days 2018'!K30</f>
        <v>14</v>
      </c>
      <c r="L30" s="280">
        <f>'[1]Degree Days 2018'!L30</f>
        <v>-1.8000000000000007</v>
      </c>
      <c r="M30" s="280">
        <f>'[1]Degree Days 2018'!M30</f>
        <v>21</v>
      </c>
      <c r="N30" s="280">
        <f>'[1]Degree Days 2018'!N30</f>
        <v>15</v>
      </c>
      <c r="O30" s="280">
        <f>'[1]Degree Days 2018'!O30</f>
        <v>11</v>
      </c>
      <c r="P30" s="280">
        <f>'[1]Degree Days 2018'!P30</f>
        <v>-5.3000000000000007</v>
      </c>
      <c r="Q30" s="280">
        <f>'[1]Degree Days 2018'!Q30</f>
        <v>21</v>
      </c>
      <c r="R30" s="280">
        <f>'[1]Degree Days 2018'!R30</f>
        <v>25</v>
      </c>
      <c r="S30" s="280">
        <f>'[1]Degree Days 2018'!S30</f>
        <v>22</v>
      </c>
      <c r="T30" s="280">
        <f>'[1]Degree Days 2018'!T30</f>
        <v>5.1999999999999993</v>
      </c>
      <c r="U30" s="280">
        <f>'[1]Degree Days 2018'!U30</f>
        <v>21</v>
      </c>
      <c r="V30" s="280">
        <f>'[1]Degree Days 2018'!V30</f>
        <v>22</v>
      </c>
      <c r="W30" s="280">
        <f>'[1]Degree Days 2018'!W30</f>
        <v>16</v>
      </c>
      <c r="X30" s="280">
        <f>'[1]Degree Days 2018'!X30</f>
        <v>0.69999999999999929</v>
      </c>
    </row>
    <row r="31" spans="1:28">
      <c r="A31" s="118">
        <v>22</v>
      </c>
      <c r="B31" s="280">
        <f>'[1]Degree Days 2018'!B31</f>
        <v>17</v>
      </c>
      <c r="C31" s="280">
        <f>'[1]Degree Days 2018'!C31</f>
        <v>13</v>
      </c>
      <c r="D31" s="280">
        <f>'[1]Degree Days 2018'!D31</f>
        <v>-3.3000000000000007</v>
      </c>
      <c r="E31" s="280">
        <f>'[1]Degree Days 2018'!E31</f>
        <v>22</v>
      </c>
      <c r="F31" s="280">
        <f>'[1]Degree Days 2018'!F31</f>
        <v>16</v>
      </c>
      <c r="G31" s="280">
        <f>'[1]Degree Days 2018'!G31</f>
        <v>12</v>
      </c>
      <c r="H31" s="280">
        <f>'[1]Degree Days 2018'!H31</f>
        <v>-4.3000000000000007</v>
      </c>
      <c r="I31" s="280">
        <f>'[1]Degree Days 2018'!I31</f>
        <v>22</v>
      </c>
      <c r="J31" s="280">
        <f>'[1]Degree Days 2018'!J31</f>
        <v>20</v>
      </c>
      <c r="K31" s="280">
        <f>'[1]Degree Days 2018'!K31</f>
        <v>14</v>
      </c>
      <c r="L31" s="280">
        <f>'[1]Degree Days 2018'!L31</f>
        <v>-1.3000000000000007</v>
      </c>
      <c r="M31" s="280">
        <f>'[1]Degree Days 2018'!M31</f>
        <v>22</v>
      </c>
      <c r="N31" s="280">
        <f>'[1]Degree Days 2018'!N31</f>
        <v>18</v>
      </c>
      <c r="O31" s="280">
        <f>'[1]Degree Days 2018'!O31</f>
        <v>13</v>
      </c>
      <c r="P31" s="280">
        <f>'[1]Degree Days 2018'!P31</f>
        <v>-2.8000000000000007</v>
      </c>
      <c r="Q31" s="280">
        <f>'[1]Degree Days 2018'!Q31</f>
        <v>22</v>
      </c>
      <c r="R31" s="280">
        <f>'[1]Degree Days 2018'!R31</f>
        <v>29</v>
      </c>
      <c r="S31" s="280">
        <f>'[1]Degree Days 2018'!S31</f>
        <v>21</v>
      </c>
      <c r="T31" s="280">
        <f>'[1]Degree Days 2018'!T31</f>
        <v>6.6999999999999993</v>
      </c>
      <c r="U31" s="280">
        <f>'[1]Degree Days 2018'!U31</f>
        <v>22</v>
      </c>
      <c r="V31" s="280">
        <f>'[1]Degree Days 2018'!V31</f>
        <v>22</v>
      </c>
      <c r="W31" s="280">
        <f>'[1]Degree Days 2018'!W31</f>
        <v>16</v>
      </c>
      <c r="X31" s="280">
        <f>'[1]Degree Days 2018'!X31</f>
        <v>0.69999999999999929</v>
      </c>
    </row>
    <row r="32" spans="1:28">
      <c r="A32" s="118">
        <v>23</v>
      </c>
      <c r="B32" s="280">
        <f>'[1]Degree Days 2018'!B32</f>
        <v>22</v>
      </c>
      <c r="C32" s="280">
        <f>'[1]Degree Days 2018'!C32</f>
        <v>12</v>
      </c>
      <c r="D32" s="280">
        <f>'[1]Degree Days 2018'!D32</f>
        <v>-1.3000000000000007</v>
      </c>
      <c r="E32" s="280">
        <f>'[1]Degree Days 2018'!E32</f>
        <v>23</v>
      </c>
      <c r="F32" s="280">
        <f>'[1]Degree Days 2018'!F32</f>
        <v>17</v>
      </c>
      <c r="G32" s="280">
        <f>'[1]Degree Days 2018'!G32</f>
        <v>12</v>
      </c>
      <c r="H32" s="280">
        <f>'[1]Degree Days 2018'!H32</f>
        <v>-3.8000000000000007</v>
      </c>
      <c r="I32" s="280">
        <f>'[1]Degree Days 2018'!I32</f>
        <v>23</v>
      </c>
      <c r="J32" s="280">
        <f>'[1]Degree Days 2018'!J32</f>
        <v>19</v>
      </c>
      <c r="K32" s="280">
        <f>'[1]Degree Days 2018'!K32</f>
        <v>12</v>
      </c>
      <c r="L32" s="280">
        <f>'[1]Degree Days 2018'!L32</f>
        <v>-2.8000000000000007</v>
      </c>
      <c r="M32" s="280">
        <f>'[1]Degree Days 2018'!M32</f>
        <v>23</v>
      </c>
      <c r="N32" s="280">
        <f>'[1]Degree Days 2018'!N32</f>
        <v>19</v>
      </c>
      <c r="O32" s="280">
        <f>'[1]Degree Days 2018'!O32</f>
        <v>13</v>
      </c>
      <c r="P32" s="280">
        <f>'[1]Degree Days 2018'!P32</f>
        <v>-2.3000000000000007</v>
      </c>
      <c r="Q32" s="280">
        <f>'[1]Degree Days 2018'!Q32</f>
        <v>23</v>
      </c>
      <c r="R32" s="280">
        <f>'[1]Degree Days 2018'!R32</f>
        <v>35</v>
      </c>
      <c r="S32" s="280">
        <f>'[1]Degree Days 2018'!S32</f>
        <v>25</v>
      </c>
      <c r="T32" s="280">
        <f>'[1]Degree Days 2018'!T32</f>
        <v>11.7</v>
      </c>
      <c r="U32" s="280">
        <f>'[1]Degree Days 2018'!U32</f>
        <v>23</v>
      </c>
      <c r="V32" s="280">
        <f>'[1]Degree Days 2018'!V32</f>
        <v>22</v>
      </c>
      <c r="W32" s="280">
        <f>'[1]Degree Days 2018'!W32</f>
        <v>15</v>
      </c>
      <c r="X32" s="280">
        <f>'[1]Degree Days 2018'!X32</f>
        <v>0.19999999999999929</v>
      </c>
    </row>
    <row r="33" spans="1:24">
      <c r="A33" s="118">
        <v>24</v>
      </c>
      <c r="B33" s="280">
        <f>'[1]Degree Days 2018'!B33</f>
        <v>18</v>
      </c>
      <c r="C33" s="280">
        <f>'[1]Degree Days 2018'!C33</f>
        <v>14</v>
      </c>
      <c r="D33" s="280">
        <f>'[1]Degree Days 2018'!D33</f>
        <v>-2.3000000000000007</v>
      </c>
      <c r="E33" s="280">
        <f>'[1]Degree Days 2018'!E33</f>
        <v>24</v>
      </c>
      <c r="F33" s="280">
        <f>'[1]Degree Days 2018'!F33</f>
        <v>22</v>
      </c>
      <c r="G33" s="280">
        <f>'[1]Degree Days 2018'!G33</f>
        <v>15</v>
      </c>
      <c r="H33" s="280">
        <f>'[1]Degree Days 2018'!H33</f>
        <v>0.19999999999999929</v>
      </c>
      <c r="I33" s="280">
        <f>'[1]Degree Days 2018'!I33</f>
        <v>24</v>
      </c>
      <c r="J33" s="280">
        <f>'[1]Degree Days 2018'!J33</f>
        <v>19</v>
      </c>
      <c r="K33" s="280">
        <f>'[1]Degree Days 2018'!K33</f>
        <v>15</v>
      </c>
      <c r="L33" s="280">
        <f>'[1]Degree Days 2018'!L33</f>
        <v>-1.3000000000000007</v>
      </c>
      <c r="M33" s="280">
        <f>'[1]Degree Days 2018'!M33</f>
        <v>24</v>
      </c>
      <c r="N33" s="280">
        <f>'[1]Degree Days 2018'!N33</f>
        <v>22</v>
      </c>
      <c r="O33" s="280">
        <f>'[1]Degree Days 2018'!O33</f>
        <v>14</v>
      </c>
      <c r="P33" s="280">
        <f>'[1]Degree Days 2018'!P33</f>
        <v>-0.30000000000000071</v>
      </c>
      <c r="Q33" s="280">
        <f>'[1]Degree Days 2018'!Q33</f>
        <v>24</v>
      </c>
      <c r="R33" s="280">
        <f>'[1]Degree Days 2018'!R33</f>
        <v>38</v>
      </c>
      <c r="S33" s="280">
        <f>'[1]Degree Days 2018'!S33</f>
        <v>25</v>
      </c>
      <c r="T33" s="280">
        <f>'[1]Degree Days 2018'!T33</f>
        <v>13.2</v>
      </c>
      <c r="U33" s="280">
        <f>'[1]Degree Days 2018'!U33</f>
        <v>24</v>
      </c>
      <c r="V33" s="280">
        <f>'[1]Degree Days 2018'!V33</f>
        <v>23</v>
      </c>
      <c r="W33" s="280">
        <f>'[1]Degree Days 2018'!W33</f>
        <v>16</v>
      </c>
      <c r="X33" s="280">
        <f>'[1]Degree Days 2018'!X33</f>
        <v>1.1999999999999993</v>
      </c>
    </row>
    <row r="34" spans="1:24">
      <c r="A34" s="118">
        <v>25</v>
      </c>
      <c r="B34" s="280">
        <f>'[1]Degree Days 2018'!B34</f>
        <v>18</v>
      </c>
      <c r="C34" s="280">
        <f>'[1]Degree Days 2018'!C34</f>
        <v>13</v>
      </c>
      <c r="D34" s="280">
        <f>'[1]Degree Days 2018'!D34</f>
        <v>-2.8000000000000007</v>
      </c>
      <c r="E34" s="280">
        <f>'[1]Degree Days 2018'!E34</f>
        <v>25</v>
      </c>
      <c r="F34" s="280">
        <f>'[1]Degree Days 2018'!F34</f>
        <v>24</v>
      </c>
      <c r="G34" s="280">
        <f>'[1]Degree Days 2018'!G34</f>
        <v>13</v>
      </c>
      <c r="H34" s="280">
        <f>'[1]Degree Days 2018'!H34</f>
        <v>0.19999999999999929</v>
      </c>
      <c r="I34" s="280">
        <f>'[1]Degree Days 2018'!I34</f>
        <v>25</v>
      </c>
      <c r="J34" s="280">
        <f>'[1]Degree Days 2018'!J34</f>
        <v>17</v>
      </c>
      <c r="K34" s="280">
        <f>'[1]Degree Days 2018'!K34</f>
        <v>13</v>
      </c>
      <c r="L34" s="280">
        <f>'[1]Degree Days 2018'!L34</f>
        <v>-3.3000000000000007</v>
      </c>
      <c r="M34" s="280">
        <f>'[1]Degree Days 2018'!M34</f>
        <v>25</v>
      </c>
      <c r="N34" s="280">
        <f>'[1]Degree Days 2018'!N34</f>
        <v>24</v>
      </c>
      <c r="O34" s="280">
        <f>'[1]Degree Days 2018'!O34</f>
        <v>14</v>
      </c>
      <c r="P34" s="280">
        <f>'[1]Degree Days 2018'!P34</f>
        <v>0.69999999999999929</v>
      </c>
      <c r="Q34" s="280">
        <f>'[1]Degree Days 2018'!Q34</f>
        <v>25</v>
      </c>
      <c r="R34" s="280">
        <f>'[1]Degree Days 2018'!R34</f>
        <v>29</v>
      </c>
      <c r="S34" s="280">
        <f>'[1]Degree Days 2018'!S34</f>
        <v>17</v>
      </c>
      <c r="T34" s="280">
        <f>'[1]Degree Days 2018'!T34</f>
        <v>4.6999999999999993</v>
      </c>
      <c r="U34" s="280">
        <f>'[1]Degree Days 2018'!U34</f>
        <v>25</v>
      </c>
      <c r="V34" s="280">
        <f>'[1]Degree Days 2018'!V34</f>
        <v>22</v>
      </c>
      <c r="W34" s="280">
        <f>'[1]Degree Days 2018'!W34</f>
        <v>15</v>
      </c>
      <c r="X34" s="280">
        <f>'[1]Degree Days 2018'!X34</f>
        <v>0.19999999999999929</v>
      </c>
    </row>
    <row r="35" spans="1:24">
      <c r="A35" s="118">
        <v>26</v>
      </c>
      <c r="B35" s="280">
        <f>'[1]Degree Days 2018'!B35</f>
        <v>19</v>
      </c>
      <c r="C35" s="280">
        <f>'[1]Degree Days 2018'!C35</f>
        <v>12</v>
      </c>
      <c r="D35" s="280">
        <f>'[1]Degree Days 2018'!D35</f>
        <v>-2.8000000000000007</v>
      </c>
      <c r="E35" s="280">
        <f>'[1]Degree Days 2018'!E35</f>
        <v>26</v>
      </c>
      <c r="F35" s="280">
        <f>'[1]Degree Days 2018'!F35</f>
        <v>16</v>
      </c>
      <c r="G35" s="280">
        <f>'[1]Degree Days 2018'!G35</f>
        <v>13</v>
      </c>
      <c r="H35" s="280">
        <f>'[1]Degree Days 2018'!H35</f>
        <v>-3.8000000000000007</v>
      </c>
      <c r="I35" s="280">
        <f>'[1]Degree Days 2018'!I35</f>
        <v>26</v>
      </c>
      <c r="J35" s="280">
        <f>'[1]Degree Days 2018'!J35</f>
        <v>18</v>
      </c>
      <c r="K35" s="280">
        <f>'[1]Degree Days 2018'!K35</f>
        <v>13</v>
      </c>
      <c r="L35" s="280">
        <f>'[1]Degree Days 2018'!L35</f>
        <v>-2.8000000000000007</v>
      </c>
      <c r="M35" s="280">
        <f>'[1]Degree Days 2018'!M35</f>
        <v>26</v>
      </c>
      <c r="N35" s="280">
        <f>'[1]Degree Days 2018'!N35</f>
        <v>24</v>
      </c>
      <c r="O35" s="280">
        <f>'[1]Degree Days 2018'!O35</f>
        <v>15</v>
      </c>
      <c r="P35" s="280">
        <f>'[1]Degree Days 2018'!P35</f>
        <v>1.1999999999999993</v>
      </c>
      <c r="Q35" s="280">
        <f>'[1]Degree Days 2018'!Q35</f>
        <v>26</v>
      </c>
      <c r="R35" s="280">
        <f>'[1]Degree Days 2018'!R35</f>
        <v>24</v>
      </c>
      <c r="S35" s="280">
        <f>'[1]Degree Days 2018'!S35</f>
        <v>18</v>
      </c>
      <c r="T35" s="280">
        <f>'[1]Degree Days 2018'!T35</f>
        <v>2.6999999999999993</v>
      </c>
      <c r="U35" s="280">
        <f>'[1]Degree Days 2018'!U35</f>
        <v>26</v>
      </c>
      <c r="V35" s="280">
        <f>'[1]Degree Days 2018'!V35</f>
        <v>23</v>
      </c>
      <c r="W35" s="280">
        <f>'[1]Degree Days 2018'!W35</f>
        <v>16</v>
      </c>
      <c r="X35" s="280">
        <f>'[1]Degree Days 2018'!X35</f>
        <v>1.1999999999999993</v>
      </c>
    </row>
    <row r="36" spans="1:24">
      <c r="A36" s="118">
        <v>27</v>
      </c>
      <c r="B36" s="280">
        <f>'[1]Degree Days 2018'!B36</f>
        <v>15</v>
      </c>
      <c r="C36" s="280">
        <f>'[1]Degree Days 2018'!C36</f>
        <v>13</v>
      </c>
      <c r="D36" s="280">
        <f>'[1]Degree Days 2018'!D36</f>
        <v>-4.3000000000000007</v>
      </c>
      <c r="E36" s="280">
        <f>'[1]Degree Days 2018'!E36</f>
        <v>27</v>
      </c>
      <c r="F36" s="280">
        <f>'[1]Degree Days 2018'!F36</f>
        <v>13</v>
      </c>
      <c r="G36" s="280">
        <f>'[1]Degree Days 2018'!G36</f>
        <v>11</v>
      </c>
      <c r="H36" s="280">
        <f>'[1]Degree Days 2018'!H36</f>
        <v>-6.3000000000000007</v>
      </c>
      <c r="I36" s="280">
        <f>'[1]Degree Days 2018'!I36</f>
        <v>27</v>
      </c>
      <c r="J36" s="280">
        <f>'[1]Degree Days 2018'!J36</f>
        <v>18</v>
      </c>
      <c r="K36" s="280">
        <f>'[1]Degree Days 2018'!K36</f>
        <v>14</v>
      </c>
      <c r="L36" s="280">
        <f>'[1]Degree Days 2018'!L36</f>
        <v>-2.3000000000000007</v>
      </c>
      <c r="M36" s="280">
        <f>'[1]Degree Days 2018'!M36</f>
        <v>27</v>
      </c>
      <c r="N36" s="280">
        <f>'[1]Degree Days 2018'!N36</f>
        <v>23</v>
      </c>
      <c r="O36" s="280">
        <f>'[1]Degree Days 2018'!O36</f>
        <v>18</v>
      </c>
      <c r="P36" s="280">
        <f>'[1]Degree Days 2018'!P36</f>
        <v>2.1999999999999993</v>
      </c>
      <c r="Q36" s="280">
        <f>'[1]Degree Days 2018'!Q36</f>
        <v>27</v>
      </c>
      <c r="R36" s="280">
        <f>'[1]Degree Days 2018'!R36</f>
        <v>25</v>
      </c>
      <c r="S36" s="280">
        <f>'[1]Degree Days 2018'!S36</f>
        <v>21</v>
      </c>
      <c r="T36" s="280">
        <f>'[1]Degree Days 2018'!T36</f>
        <v>4.6999999999999993</v>
      </c>
      <c r="U36" s="280">
        <f>'[1]Degree Days 2018'!U36</f>
        <v>27</v>
      </c>
      <c r="V36" s="280">
        <f>'[1]Degree Days 2018'!V36</f>
        <v>21</v>
      </c>
      <c r="W36" s="280">
        <f>'[1]Degree Days 2018'!W36</f>
        <v>15</v>
      </c>
      <c r="X36" s="280">
        <f>'[1]Degree Days 2018'!X36</f>
        <v>-0.30000000000000071</v>
      </c>
    </row>
    <row r="37" spans="1:24">
      <c r="A37" s="118">
        <v>28</v>
      </c>
      <c r="B37" s="280">
        <f>'[1]Degree Days 2018'!B37</f>
        <v>17</v>
      </c>
      <c r="C37" s="280">
        <f>'[1]Degree Days 2018'!C37</f>
        <v>13</v>
      </c>
      <c r="D37" s="280">
        <f>'[1]Degree Days 2018'!D37</f>
        <v>-3.3000000000000007</v>
      </c>
      <c r="E37" s="280">
        <f>'[1]Degree Days 2018'!E37</f>
        <v>28</v>
      </c>
      <c r="F37" s="280">
        <f>'[1]Degree Days 2018'!F37</f>
        <v>15</v>
      </c>
      <c r="G37" s="280">
        <f>'[1]Degree Days 2018'!G37</f>
        <v>11</v>
      </c>
      <c r="H37" s="280">
        <f>'[1]Degree Days 2018'!H37</f>
        <v>-5.3000000000000007</v>
      </c>
      <c r="I37" s="280">
        <f>'[1]Degree Days 2018'!I37</f>
        <v>28</v>
      </c>
      <c r="J37" s="280">
        <f>'[1]Degree Days 2018'!J37</f>
        <v>17</v>
      </c>
      <c r="K37" s="280">
        <f>'[1]Degree Days 2018'!K37</f>
        <v>13</v>
      </c>
      <c r="L37" s="280">
        <f>'[1]Degree Days 2018'!L37</f>
        <v>-3.3000000000000007</v>
      </c>
      <c r="M37" s="280">
        <f>'[1]Degree Days 2018'!M37</f>
        <v>28</v>
      </c>
      <c r="N37" s="280">
        <f>'[1]Degree Days 2018'!N37</f>
        <v>23</v>
      </c>
      <c r="O37" s="280">
        <f>'[1]Degree Days 2018'!O37</f>
        <v>17</v>
      </c>
      <c r="P37" s="280">
        <f>'[1]Degree Days 2018'!P37</f>
        <v>1.6999999999999993</v>
      </c>
      <c r="Q37" s="280">
        <f>'[1]Degree Days 2018'!Q37</f>
        <v>28</v>
      </c>
      <c r="R37" s="280">
        <f>'[1]Degree Days 2018'!R37</f>
        <v>29</v>
      </c>
      <c r="S37" s="280">
        <f>'[1]Degree Days 2018'!S37</f>
        <v>22</v>
      </c>
      <c r="T37" s="280">
        <f>'[1]Degree Days 2018'!T37</f>
        <v>7.1999999999999993</v>
      </c>
      <c r="U37" s="280">
        <f>'[1]Degree Days 2018'!U37</f>
        <v>28</v>
      </c>
      <c r="V37" s="280">
        <f>'[1]Degree Days 2018'!V37</f>
        <v>22</v>
      </c>
      <c r="W37" s="280">
        <f>'[1]Degree Days 2018'!W37</f>
        <v>16</v>
      </c>
      <c r="X37" s="280">
        <f>'[1]Degree Days 2018'!X37</f>
        <v>0.69999999999999929</v>
      </c>
    </row>
    <row r="38" spans="1:24">
      <c r="A38" s="118">
        <v>29</v>
      </c>
      <c r="B38" s="280">
        <f>'[1]Degree Days 2018'!B38</f>
        <v>19</v>
      </c>
      <c r="C38" s="280">
        <f>'[1]Degree Days 2018'!C38</f>
        <v>12</v>
      </c>
      <c r="D38" s="280">
        <f>'[1]Degree Days 2018'!D38</f>
        <v>-2.8000000000000007</v>
      </c>
      <c r="E38" s="280">
        <f>'[1]Degree Days 2018'!E38</f>
        <v>0</v>
      </c>
      <c r="F38" s="280">
        <f>'[1]Degree Days 2018'!F38</f>
        <v>0</v>
      </c>
      <c r="G38" s="280">
        <f>'[1]Degree Days 2018'!G38</f>
        <v>0</v>
      </c>
      <c r="H38" s="280">
        <f>'[1]Degree Days 2018'!H38</f>
        <v>0</v>
      </c>
      <c r="I38" s="280">
        <f>'[1]Degree Days 2018'!I38</f>
        <v>29</v>
      </c>
      <c r="J38" s="280">
        <f>'[1]Degree Days 2018'!J38</f>
        <v>18</v>
      </c>
      <c r="K38" s="280">
        <f>'[1]Degree Days 2018'!K38</f>
        <v>14</v>
      </c>
      <c r="L38" s="280">
        <f>'[1]Degree Days 2018'!L38</f>
        <v>-2.3000000000000007</v>
      </c>
      <c r="M38" s="280">
        <f>'[1]Degree Days 2018'!M38</f>
        <v>29</v>
      </c>
      <c r="N38" s="280">
        <f>'[1]Degree Days 2018'!N38</f>
        <v>27</v>
      </c>
      <c r="O38" s="280">
        <f>'[1]Degree Days 2018'!O38</f>
        <v>18</v>
      </c>
      <c r="P38" s="280">
        <f>'[1]Degree Days 2018'!P38</f>
        <v>4.1999999999999993</v>
      </c>
      <c r="Q38" s="280">
        <f>'[1]Degree Days 2018'!Q38</f>
        <v>29</v>
      </c>
      <c r="R38" s="280">
        <f>'[1]Degree Days 2018'!R38</f>
        <v>32</v>
      </c>
      <c r="S38" s="280">
        <f>'[1]Degree Days 2018'!S38</f>
        <v>22</v>
      </c>
      <c r="T38" s="280">
        <f>'[1]Degree Days 2018'!T38</f>
        <v>8.6999999999999993</v>
      </c>
      <c r="U38" s="280">
        <f>'[1]Degree Days 2018'!U38</f>
        <v>29</v>
      </c>
      <c r="V38" s="280">
        <f>'[1]Degree Days 2018'!V38</f>
        <v>22</v>
      </c>
      <c r="W38" s="280">
        <f>'[1]Degree Days 2018'!W38</f>
        <v>16</v>
      </c>
      <c r="X38" s="280">
        <f>'[1]Degree Days 2018'!X38</f>
        <v>0.69999999999999929</v>
      </c>
    </row>
    <row r="39" spans="1:24">
      <c r="A39" s="118">
        <v>30</v>
      </c>
      <c r="B39" s="280">
        <f>'[1]Degree Days 2018'!B39</f>
        <v>18</v>
      </c>
      <c r="C39" s="280">
        <f>'[1]Degree Days 2018'!C39</f>
        <v>14</v>
      </c>
      <c r="D39" s="280">
        <f>'[1]Degree Days 2018'!D39</f>
        <v>-2.3000000000000007</v>
      </c>
      <c r="E39" s="280">
        <f>'[1]Degree Days 2018'!E39</f>
        <v>0</v>
      </c>
      <c r="F39" s="280">
        <f>'[1]Degree Days 2018'!F39</f>
        <v>0</v>
      </c>
      <c r="G39" s="280">
        <f>'[1]Degree Days 2018'!G39</f>
        <v>0</v>
      </c>
      <c r="H39" s="280">
        <f>'[1]Degree Days 2018'!H39</f>
        <v>0</v>
      </c>
      <c r="I39" s="280">
        <f>'[1]Degree Days 2018'!I39</f>
        <v>30</v>
      </c>
      <c r="J39" s="280">
        <f>'[1]Degree Days 2018'!J39</f>
        <v>16</v>
      </c>
      <c r="K39" s="280">
        <f>'[1]Degree Days 2018'!K39</f>
        <v>14</v>
      </c>
      <c r="L39" s="280">
        <f>'[1]Degree Days 2018'!L39</f>
        <v>-3.3000000000000007</v>
      </c>
      <c r="M39" s="280">
        <f>'[1]Degree Days 2018'!M39</f>
        <v>30</v>
      </c>
      <c r="N39" s="280">
        <f>'[1]Degree Days 2018'!N39</f>
        <v>27</v>
      </c>
      <c r="O39" s="280">
        <f>'[1]Degree Days 2018'!O39</f>
        <v>18</v>
      </c>
      <c r="P39" s="280">
        <f>'[1]Degree Days 2018'!P39</f>
        <v>4.1999999999999993</v>
      </c>
      <c r="Q39" s="280">
        <f>'[1]Degree Days 2018'!Q39</f>
        <v>30</v>
      </c>
      <c r="R39" s="280">
        <f>'[1]Degree Days 2018'!R39</f>
        <v>34</v>
      </c>
      <c r="S39" s="280">
        <f>'[1]Degree Days 2018'!S39</f>
        <v>23</v>
      </c>
      <c r="T39" s="280">
        <f>'[1]Degree Days 2018'!T39</f>
        <v>10.199999999999999</v>
      </c>
      <c r="U39" s="280">
        <f>'[1]Degree Days 2018'!U39</f>
        <v>30</v>
      </c>
      <c r="V39" s="280">
        <f>'[1]Degree Days 2018'!V39</f>
        <v>22</v>
      </c>
      <c r="W39" s="280">
        <f>'[1]Degree Days 2018'!W39</f>
        <v>15</v>
      </c>
      <c r="X39" s="280">
        <f>'[1]Degree Days 2018'!X39</f>
        <v>0.19999999999999929</v>
      </c>
    </row>
    <row r="40" spans="1:24">
      <c r="A40" s="121">
        <v>31</v>
      </c>
      <c r="B40" s="280">
        <f>'[1]Degree Days 2018'!B40</f>
        <v>18</v>
      </c>
      <c r="C40" s="280">
        <f>'[1]Degree Days 2018'!C40</f>
        <v>12</v>
      </c>
      <c r="D40" s="280">
        <f>'[1]Degree Days 2018'!D40</f>
        <v>-3.3000000000000007</v>
      </c>
      <c r="E40" s="280">
        <f>'[1]Degree Days 2018'!E40</f>
        <v>0</v>
      </c>
      <c r="F40" s="280">
        <f>'[1]Degree Days 2018'!F40</f>
        <v>0</v>
      </c>
      <c r="G40" s="280">
        <f>'[1]Degree Days 2018'!G40</f>
        <v>0</v>
      </c>
      <c r="H40" s="280">
        <f>'[1]Degree Days 2018'!H40</f>
        <v>0</v>
      </c>
      <c r="I40" s="280">
        <f>'[1]Degree Days 2018'!I40</f>
        <v>31</v>
      </c>
      <c r="J40" s="280">
        <f>'[1]Degree Days 2018'!J40</f>
        <v>15</v>
      </c>
      <c r="K40" s="280">
        <f>'[1]Degree Days 2018'!K40</f>
        <v>12</v>
      </c>
      <c r="L40" s="280">
        <f>'[1]Degree Days 2018'!L40</f>
        <v>-4.8000000000000007</v>
      </c>
      <c r="M40" s="280">
        <f>'[1]Degree Days 2018'!M40</f>
        <v>0</v>
      </c>
      <c r="N40" s="280">
        <f>'[1]Degree Days 2018'!N40</f>
        <v>0</v>
      </c>
      <c r="O40" s="280">
        <f>'[1]Degree Days 2018'!O40</f>
        <v>0</v>
      </c>
      <c r="P40" s="280">
        <f>'[1]Degree Days 2018'!P40</f>
        <v>0</v>
      </c>
      <c r="Q40" s="280">
        <f>'[1]Degree Days 2018'!Q40</f>
        <v>31</v>
      </c>
      <c r="R40" s="280">
        <f>'[1]Degree Days 2018'!R40</f>
        <v>0</v>
      </c>
      <c r="S40" s="280">
        <f>'[1]Degree Days 2018'!S40</f>
        <v>0</v>
      </c>
      <c r="T40" s="280">
        <f>'[1]Degree Days 2018'!T40</f>
        <v>-18.3</v>
      </c>
      <c r="U40" s="280">
        <f>'[1]Degree Days 2018'!U40</f>
        <v>0</v>
      </c>
      <c r="V40" s="280">
        <f>'[1]Degree Days 2018'!V40</f>
        <v>0</v>
      </c>
      <c r="W40" s="280">
        <f>'[1]Degree Days 2018'!W40</f>
        <v>0</v>
      </c>
      <c r="X40" s="280">
        <f>'[1]Degree Days 2018'!X40</f>
        <v>0</v>
      </c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-116.79999999999994</v>
      </c>
      <c r="C43" s="120">
        <f>SUMIF(D10:D40,"&gt;0")</f>
        <v>0</v>
      </c>
      <c r="D43" s="131"/>
      <c r="E43" s="130"/>
      <c r="F43" s="120">
        <f>SUMIF(H10:H40,"&lt;0")</f>
        <v>-100.69999999999997</v>
      </c>
      <c r="G43" s="120">
        <f>SUMIF(H10:H40,"&gt;0")</f>
        <v>2.2999999999999972</v>
      </c>
      <c r="H43" s="131"/>
      <c r="I43" s="130"/>
      <c r="J43" s="120">
        <f>SUMIF(L10:L40,"&lt;0")</f>
        <v>-87.799999999999955</v>
      </c>
      <c r="K43" s="120">
        <f>SUMIF(L10:L40,"&gt;0")</f>
        <v>0</v>
      </c>
      <c r="L43" s="131"/>
      <c r="M43" s="130"/>
      <c r="N43" s="120">
        <f>'[8]Degree Days 2018'!$N$43</f>
        <v>-38.700000000000003</v>
      </c>
      <c r="O43" s="120">
        <f>'[8]Degree Days 2018'!$O$43</f>
        <v>33.199999999999989</v>
      </c>
      <c r="P43" s="131"/>
      <c r="Q43" s="130"/>
      <c r="R43" s="120">
        <f>SUMIF(T10:T40,"&lt;0")</f>
        <v>-18.3</v>
      </c>
      <c r="S43" s="120">
        <f>SUMIF(T10:T40,"&gt;0")</f>
        <v>151</v>
      </c>
      <c r="T43" s="131"/>
      <c r="U43" s="130"/>
      <c r="V43" s="120">
        <f>SUMIF(X10:X40,"&lt;0")</f>
        <v>-0.30000000000000071</v>
      </c>
      <c r="W43" s="120">
        <f>SUMIF(X10:X40,"&gt;0")</f>
        <v>108.30000000000005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80">
        <f>'[1]Degree Days 2018'!B48</f>
        <v>30</v>
      </c>
      <c r="C48" s="280">
        <f>'[1]Degree Days 2018'!C48</f>
        <v>27</v>
      </c>
      <c r="D48" s="120">
        <f t="shared" ref="D48:D56" si="2">(B48+C48)/2-18.3</f>
        <v>10.199999999999999</v>
      </c>
      <c r="E48" s="118">
        <v>1</v>
      </c>
      <c r="F48" s="280">
        <f>'[5]Degree Days 2018'!F48</f>
        <v>30</v>
      </c>
      <c r="G48" s="280">
        <f>'[5]Degree Days 2018'!G48</f>
        <v>27</v>
      </c>
      <c r="H48" s="120">
        <f t="shared" ref="H48:H78" si="3">(F48+G48)/2-18.3</f>
        <v>10.199999999999999</v>
      </c>
      <c r="I48" s="118">
        <v>1</v>
      </c>
      <c r="J48" s="280">
        <f>'[5]Degree Days 2018'!J48</f>
        <v>33</v>
      </c>
      <c r="K48" s="280">
        <f>'[5]Degree Days 2018'!K48</f>
        <v>28</v>
      </c>
      <c r="L48" s="120">
        <f>(J48+K48)/2-18.3</f>
        <v>12.2</v>
      </c>
      <c r="M48" s="118">
        <v>1</v>
      </c>
      <c r="N48" s="280">
        <f>'General information '!B6</f>
        <v>21</v>
      </c>
      <c r="O48" s="280">
        <f>'General information '!C6</f>
        <v>14</v>
      </c>
      <c r="P48" s="120">
        <f>(N48+O48)/2-18.3</f>
        <v>-0.80000000000000071</v>
      </c>
      <c r="Q48" s="118">
        <v>1</v>
      </c>
      <c r="R48" s="280">
        <f>'General information '!B6</f>
        <v>21</v>
      </c>
      <c r="S48" s="280">
        <f>'General information '!C6</f>
        <v>14</v>
      </c>
      <c r="T48" s="120">
        <f>(R48+S48)/2-18.3</f>
        <v>-0.80000000000000071</v>
      </c>
      <c r="U48" s="118">
        <v>1</v>
      </c>
      <c r="V48" s="119">
        <f>'General information '!B6</f>
        <v>21</v>
      </c>
      <c r="W48" s="119">
        <f>'General information '!C6</f>
        <v>14</v>
      </c>
      <c r="X48" s="120">
        <f t="shared" ref="X48:X77" si="4">(V48+W48)/2-18.3</f>
        <v>-0.80000000000000071</v>
      </c>
    </row>
    <row r="49" spans="1:24">
      <c r="A49" s="118">
        <v>2</v>
      </c>
      <c r="B49" s="280">
        <f>'[1]Degree Days 2018'!B49</f>
        <v>31</v>
      </c>
      <c r="C49" s="280">
        <f>'[1]Degree Days 2018'!C49</f>
        <v>26</v>
      </c>
      <c r="D49" s="120">
        <f t="shared" si="2"/>
        <v>10.199999999999999</v>
      </c>
      <c r="E49" s="118">
        <v>2</v>
      </c>
      <c r="F49" s="280">
        <f>'[5]Degree Days 2018'!F49</f>
        <v>31</v>
      </c>
      <c r="G49" s="280">
        <f>'[5]Degree Days 2018'!G49</f>
        <v>26</v>
      </c>
      <c r="H49" s="120">
        <f t="shared" si="3"/>
        <v>10.199999999999999</v>
      </c>
      <c r="I49" s="118">
        <v>2</v>
      </c>
      <c r="J49" s="280">
        <f>'[5]Degree Days 2018'!J49</f>
        <v>31</v>
      </c>
      <c r="K49" s="280">
        <f>'[5]Degree Days 2018'!K49</f>
        <v>27</v>
      </c>
      <c r="L49" s="120">
        <f t="shared" ref="L49:L77" si="5">(J49+K49)/2-18.3</f>
        <v>10.7</v>
      </c>
      <c r="M49" s="118">
        <v>2</v>
      </c>
      <c r="N49" s="280">
        <f>'General information '!B7</f>
        <v>22</v>
      </c>
      <c r="O49" s="280">
        <f>'General information '!C7</f>
        <v>15</v>
      </c>
      <c r="P49" s="120">
        <f t="shared" ref="P49:P78" si="6">(N49+O49)/2-18.3</f>
        <v>0.19999999999999929</v>
      </c>
      <c r="Q49" s="118">
        <v>2</v>
      </c>
      <c r="R49" s="280">
        <f>'General information '!B7</f>
        <v>22</v>
      </c>
      <c r="S49" s="280">
        <f>'General information '!C7</f>
        <v>15</v>
      </c>
      <c r="T49" s="120">
        <f t="shared" ref="T49:T77" si="7">(R49+S49)/2-18.3</f>
        <v>0.19999999999999929</v>
      </c>
      <c r="U49" s="118">
        <v>2</v>
      </c>
      <c r="V49" s="119">
        <f>'General information '!B7</f>
        <v>22</v>
      </c>
      <c r="W49" s="119">
        <f>'General information '!C7</f>
        <v>15</v>
      </c>
      <c r="X49" s="120">
        <f t="shared" si="4"/>
        <v>0.19999999999999929</v>
      </c>
    </row>
    <row r="50" spans="1:24">
      <c r="A50" s="118">
        <v>3</v>
      </c>
      <c r="B50" s="280">
        <f>'[1]Degree Days 2018'!B50</f>
        <v>31</v>
      </c>
      <c r="C50" s="280">
        <f>'[1]Degree Days 2018'!C50</f>
        <v>27</v>
      </c>
      <c r="D50" s="120">
        <f t="shared" si="2"/>
        <v>10.7</v>
      </c>
      <c r="E50" s="118">
        <v>3</v>
      </c>
      <c r="F50" s="280">
        <f>'[5]Degree Days 2018'!F50</f>
        <v>31</v>
      </c>
      <c r="G50" s="280">
        <f>'[5]Degree Days 2018'!G50</f>
        <v>27</v>
      </c>
      <c r="H50" s="120">
        <f t="shared" si="3"/>
        <v>10.7</v>
      </c>
      <c r="I50" s="118">
        <v>3</v>
      </c>
      <c r="J50" s="280">
        <f>'[5]Degree Days 2018'!J50</f>
        <v>30</v>
      </c>
      <c r="K50" s="280">
        <f>'[5]Degree Days 2018'!K50</f>
        <v>26</v>
      </c>
      <c r="L50" s="120">
        <f t="shared" si="5"/>
        <v>9.6999999999999993</v>
      </c>
      <c r="M50" s="118">
        <v>3</v>
      </c>
      <c r="N50" s="280">
        <f>'General information '!B8</f>
        <v>23</v>
      </c>
      <c r="O50" s="280">
        <f>'General information '!C8</f>
        <v>15</v>
      </c>
      <c r="P50" s="120">
        <f t="shared" si="6"/>
        <v>0.69999999999999929</v>
      </c>
      <c r="Q50" s="118">
        <v>3</v>
      </c>
      <c r="R50" s="280">
        <f>'General information '!B8</f>
        <v>23</v>
      </c>
      <c r="S50" s="280">
        <f>'General information '!C8</f>
        <v>15</v>
      </c>
      <c r="T50" s="120">
        <f t="shared" si="7"/>
        <v>0.69999999999999929</v>
      </c>
      <c r="U50" s="118">
        <v>3</v>
      </c>
      <c r="V50" s="119">
        <f>'General information '!B8</f>
        <v>23</v>
      </c>
      <c r="W50" s="119">
        <f>'General information '!C8</f>
        <v>15</v>
      </c>
      <c r="X50" s="120">
        <f t="shared" si="4"/>
        <v>0.69999999999999929</v>
      </c>
    </row>
    <row r="51" spans="1:24">
      <c r="A51" s="118">
        <v>4</v>
      </c>
      <c r="B51" s="280">
        <f>'[1]Degree Days 2018'!B51</f>
        <v>31</v>
      </c>
      <c r="C51" s="280">
        <f>'[1]Degree Days 2018'!C51</f>
        <v>26</v>
      </c>
      <c r="D51" s="120">
        <f t="shared" si="2"/>
        <v>10.199999999999999</v>
      </c>
      <c r="E51" s="118">
        <v>4</v>
      </c>
      <c r="F51" s="280">
        <f>'[5]Degree Days 2018'!F51</f>
        <v>31</v>
      </c>
      <c r="G51" s="280">
        <f>'[5]Degree Days 2018'!G51</f>
        <v>26</v>
      </c>
      <c r="H51" s="120">
        <f t="shared" si="3"/>
        <v>10.199999999999999</v>
      </c>
      <c r="I51" s="118">
        <v>4</v>
      </c>
      <c r="J51" s="280">
        <f>'[5]Degree Days 2018'!J51</f>
        <v>30</v>
      </c>
      <c r="K51" s="280">
        <f>'[5]Degree Days 2018'!K51</f>
        <v>25</v>
      </c>
      <c r="L51" s="120">
        <f t="shared" si="5"/>
        <v>9.1999999999999993</v>
      </c>
      <c r="M51" s="118">
        <v>4</v>
      </c>
      <c r="N51" s="280">
        <f>'General information '!B9</f>
        <v>19</v>
      </c>
      <c r="O51" s="280">
        <f>'General information '!C9</f>
        <v>12</v>
      </c>
      <c r="P51" s="120">
        <f t="shared" si="6"/>
        <v>-2.8000000000000007</v>
      </c>
      <c r="Q51" s="118">
        <v>4</v>
      </c>
      <c r="R51" s="280">
        <f>'General information '!B9</f>
        <v>19</v>
      </c>
      <c r="S51" s="280">
        <f>'General information '!C9</f>
        <v>12</v>
      </c>
      <c r="T51" s="120">
        <f t="shared" si="7"/>
        <v>-2.8000000000000007</v>
      </c>
      <c r="U51" s="118">
        <v>4</v>
      </c>
      <c r="V51" s="119">
        <f>'General information '!B9</f>
        <v>19</v>
      </c>
      <c r="W51" s="119">
        <f>'General information '!C9</f>
        <v>12</v>
      </c>
      <c r="X51" s="120">
        <f t="shared" si="4"/>
        <v>-2.8000000000000007</v>
      </c>
    </row>
    <row r="52" spans="1:24">
      <c r="A52" s="118">
        <v>5</v>
      </c>
      <c r="B52" s="280">
        <f>'[1]Degree Days 2018'!B52</f>
        <v>32</v>
      </c>
      <c r="C52" s="280">
        <f>'[1]Degree Days 2018'!C52</f>
        <v>26</v>
      </c>
      <c r="D52" s="120">
        <f t="shared" si="2"/>
        <v>10.7</v>
      </c>
      <c r="E52" s="118">
        <v>5</v>
      </c>
      <c r="F52" s="280">
        <f>'[5]Degree Days 2018'!F52</f>
        <v>32</v>
      </c>
      <c r="G52" s="280">
        <f>'[5]Degree Days 2018'!G52</f>
        <v>26</v>
      </c>
      <c r="H52" s="120">
        <f t="shared" si="3"/>
        <v>10.7</v>
      </c>
      <c r="I52" s="118">
        <v>5</v>
      </c>
      <c r="J52" s="280">
        <f>'[5]Degree Days 2018'!J52</f>
        <v>31</v>
      </c>
      <c r="K52" s="280">
        <f>'[5]Degree Days 2018'!K52</f>
        <v>26</v>
      </c>
      <c r="L52" s="120">
        <f t="shared" si="5"/>
        <v>10.199999999999999</v>
      </c>
      <c r="M52" s="118">
        <v>5</v>
      </c>
      <c r="N52" s="280">
        <f>'General information '!B10</f>
        <v>18</v>
      </c>
      <c r="O52" s="280">
        <f>'General information '!C10</f>
        <v>11</v>
      </c>
      <c r="P52" s="120">
        <f t="shared" si="6"/>
        <v>-3.8000000000000007</v>
      </c>
      <c r="Q52" s="118">
        <v>5</v>
      </c>
      <c r="R52" s="280">
        <f>'General information '!B10</f>
        <v>18</v>
      </c>
      <c r="S52" s="280">
        <f>'General information '!C10</f>
        <v>11</v>
      </c>
      <c r="T52" s="120">
        <f t="shared" si="7"/>
        <v>-3.8000000000000007</v>
      </c>
      <c r="U52" s="118">
        <v>5</v>
      </c>
      <c r="V52" s="119">
        <f>'General information '!B10</f>
        <v>18</v>
      </c>
      <c r="W52" s="119">
        <f>'General information '!C10</f>
        <v>11</v>
      </c>
      <c r="X52" s="120">
        <f t="shared" si="4"/>
        <v>-3.8000000000000007</v>
      </c>
    </row>
    <row r="53" spans="1:24">
      <c r="A53" s="118">
        <v>6</v>
      </c>
      <c r="B53" s="280">
        <f>'[1]Degree Days 2018'!B53</f>
        <v>31</v>
      </c>
      <c r="C53" s="280">
        <f>'[1]Degree Days 2018'!C53</f>
        <v>25</v>
      </c>
      <c r="D53" s="120">
        <f t="shared" si="2"/>
        <v>9.6999999999999993</v>
      </c>
      <c r="E53" s="118">
        <v>6</v>
      </c>
      <c r="F53" s="280">
        <f>'[5]Degree Days 2018'!F53</f>
        <v>31</v>
      </c>
      <c r="G53" s="280">
        <f>'[5]Degree Days 2018'!G53</f>
        <v>25</v>
      </c>
      <c r="H53" s="120">
        <f t="shared" si="3"/>
        <v>9.6999999999999993</v>
      </c>
      <c r="I53" s="118">
        <v>6</v>
      </c>
      <c r="J53" s="280">
        <f>'[5]Degree Days 2018'!J53</f>
        <v>30</v>
      </c>
      <c r="K53" s="280">
        <f>'[5]Degree Days 2018'!K53</f>
        <v>27</v>
      </c>
      <c r="L53" s="120">
        <f t="shared" si="5"/>
        <v>10.199999999999999</v>
      </c>
      <c r="M53" s="118">
        <v>6</v>
      </c>
      <c r="N53" s="280">
        <f>'General information '!B11</f>
        <v>18</v>
      </c>
      <c r="O53" s="280">
        <f>'General information '!C11</f>
        <v>11</v>
      </c>
      <c r="P53" s="120">
        <f t="shared" si="6"/>
        <v>-3.8000000000000007</v>
      </c>
      <c r="Q53" s="118">
        <v>6</v>
      </c>
      <c r="R53" s="280">
        <f>'General information '!B11</f>
        <v>18</v>
      </c>
      <c r="S53" s="280">
        <f>'General information '!C11</f>
        <v>11</v>
      </c>
      <c r="T53" s="120">
        <f t="shared" si="7"/>
        <v>-3.8000000000000007</v>
      </c>
      <c r="U53" s="118">
        <v>6</v>
      </c>
      <c r="V53" s="119">
        <f>'General information '!B11</f>
        <v>18</v>
      </c>
      <c r="W53" s="119">
        <f>'General information '!C11</f>
        <v>11</v>
      </c>
      <c r="X53" s="120">
        <f t="shared" si="4"/>
        <v>-3.8000000000000007</v>
      </c>
    </row>
    <row r="54" spans="1:24">
      <c r="A54" s="118">
        <v>7</v>
      </c>
      <c r="B54" s="280">
        <f>'[1]Degree Days 2018'!B54</f>
        <v>31</v>
      </c>
      <c r="C54" s="280">
        <f>'[1]Degree Days 2018'!C54</f>
        <v>26</v>
      </c>
      <c r="D54" s="120">
        <f t="shared" si="2"/>
        <v>10.199999999999999</v>
      </c>
      <c r="E54" s="118">
        <v>7</v>
      </c>
      <c r="F54" s="280">
        <f>'[5]Degree Days 2018'!F54</f>
        <v>31</v>
      </c>
      <c r="G54" s="280">
        <f>'[5]Degree Days 2018'!G54</f>
        <v>26</v>
      </c>
      <c r="H54" s="120">
        <f t="shared" si="3"/>
        <v>10.199999999999999</v>
      </c>
      <c r="I54" s="118">
        <v>7</v>
      </c>
      <c r="J54" s="280">
        <f>'[5]Degree Days 2018'!J54</f>
        <v>31</v>
      </c>
      <c r="K54" s="280">
        <f>'[5]Degree Days 2018'!K54</f>
        <v>26</v>
      </c>
      <c r="L54" s="120">
        <f t="shared" si="5"/>
        <v>10.199999999999999</v>
      </c>
      <c r="M54" s="118">
        <v>7</v>
      </c>
      <c r="N54" s="280">
        <f>'General information '!B12</f>
        <v>18</v>
      </c>
      <c r="O54" s="280">
        <f>'General information '!C12</f>
        <v>15</v>
      </c>
      <c r="P54" s="120">
        <f t="shared" si="6"/>
        <v>-1.8000000000000007</v>
      </c>
      <c r="Q54" s="118">
        <v>7</v>
      </c>
      <c r="R54" s="280">
        <f>'General information '!B12</f>
        <v>18</v>
      </c>
      <c r="S54" s="280">
        <f>'General information '!C12</f>
        <v>15</v>
      </c>
      <c r="T54" s="120">
        <f t="shared" si="7"/>
        <v>-1.8000000000000007</v>
      </c>
      <c r="U54" s="118">
        <v>7</v>
      </c>
      <c r="V54" s="119">
        <f>'General information '!B12</f>
        <v>18</v>
      </c>
      <c r="W54" s="119">
        <f>'General information '!C12</f>
        <v>15</v>
      </c>
      <c r="X54" s="120">
        <f t="shared" si="4"/>
        <v>-1.8000000000000007</v>
      </c>
    </row>
    <row r="55" spans="1:24">
      <c r="A55" s="118">
        <v>8</v>
      </c>
      <c r="B55" s="280">
        <f>'[1]Degree Days 2018'!B55</f>
        <v>31</v>
      </c>
      <c r="C55" s="280">
        <f>'[1]Degree Days 2018'!C55</f>
        <v>26</v>
      </c>
      <c r="D55" s="120">
        <f t="shared" si="2"/>
        <v>10.199999999999999</v>
      </c>
      <c r="E55" s="118">
        <v>8</v>
      </c>
      <c r="F55" s="280">
        <f>'[5]Degree Days 2018'!F55</f>
        <v>31</v>
      </c>
      <c r="G55" s="280">
        <f>'[5]Degree Days 2018'!G55</f>
        <v>26</v>
      </c>
      <c r="H55" s="120">
        <f t="shared" si="3"/>
        <v>10.199999999999999</v>
      </c>
      <c r="I55" s="118">
        <v>8</v>
      </c>
      <c r="J55" s="280">
        <f>'[5]Degree Days 2018'!J55</f>
        <v>30</v>
      </c>
      <c r="K55" s="280">
        <f>'[5]Degree Days 2018'!K55</f>
        <v>26</v>
      </c>
      <c r="L55" s="120">
        <f t="shared" si="5"/>
        <v>9.6999999999999993</v>
      </c>
      <c r="M55" s="118">
        <v>8</v>
      </c>
      <c r="N55" s="280">
        <f>'General information '!B13</f>
        <v>17</v>
      </c>
      <c r="O55" s="280">
        <f>'General information '!C13</f>
        <v>15</v>
      </c>
      <c r="P55" s="120">
        <f t="shared" si="6"/>
        <v>-2.3000000000000007</v>
      </c>
      <c r="Q55" s="118">
        <v>8</v>
      </c>
      <c r="R55" s="280">
        <f>'General information '!B13</f>
        <v>17</v>
      </c>
      <c r="S55" s="280">
        <f>'General information '!C13</f>
        <v>15</v>
      </c>
      <c r="T55" s="120">
        <f t="shared" si="7"/>
        <v>-2.3000000000000007</v>
      </c>
      <c r="U55" s="118">
        <v>8</v>
      </c>
      <c r="V55" s="119">
        <f>'General information '!B13</f>
        <v>17</v>
      </c>
      <c r="W55" s="119">
        <f>'General information '!C13</f>
        <v>15</v>
      </c>
      <c r="X55" s="120">
        <f t="shared" si="4"/>
        <v>-2.3000000000000007</v>
      </c>
    </row>
    <row r="56" spans="1:24">
      <c r="A56" s="118">
        <v>9</v>
      </c>
      <c r="B56" s="280">
        <f>'[1]Degree Days 2018'!B56</f>
        <v>31</v>
      </c>
      <c r="C56" s="280">
        <f>'[1]Degree Days 2018'!C56</f>
        <v>26</v>
      </c>
      <c r="D56" s="120">
        <f t="shared" si="2"/>
        <v>10.199999999999999</v>
      </c>
      <c r="E56" s="118">
        <v>9</v>
      </c>
      <c r="F56" s="280">
        <f>'[5]Degree Days 2018'!F56</f>
        <v>31</v>
      </c>
      <c r="G56" s="280">
        <f>'[5]Degree Days 2018'!G56</f>
        <v>26</v>
      </c>
      <c r="H56" s="120">
        <f t="shared" si="3"/>
        <v>10.199999999999999</v>
      </c>
      <c r="I56" s="118">
        <v>9</v>
      </c>
      <c r="J56" s="280">
        <f>'[5]Degree Days 2018'!J56</f>
        <v>30</v>
      </c>
      <c r="K56" s="280">
        <f>'[5]Degree Days 2018'!K56</f>
        <v>27</v>
      </c>
      <c r="L56" s="120">
        <f t="shared" si="5"/>
        <v>10.199999999999999</v>
      </c>
      <c r="M56" s="118">
        <v>9</v>
      </c>
      <c r="N56" s="280">
        <f>'General information '!B14</f>
        <v>17</v>
      </c>
      <c r="O56" s="280">
        <f>'General information '!C14</f>
        <v>15</v>
      </c>
      <c r="P56" s="120">
        <f t="shared" si="6"/>
        <v>-2.3000000000000007</v>
      </c>
      <c r="Q56" s="118">
        <v>9</v>
      </c>
      <c r="R56" s="280">
        <f>'General information '!B14</f>
        <v>17</v>
      </c>
      <c r="S56" s="280">
        <f>'General information '!C14</f>
        <v>15</v>
      </c>
      <c r="T56" s="120">
        <f t="shared" si="7"/>
        <v>-2.3000000000000007</v>
      </c>
      <c r="U56" s="118">
        <v>9</v>
      </c>
      <c r="V56" s="119">
        <f>'General information '!B14</f>
        <v>17</v>
      </c>
      <c r="W56" s="119">
        <f>'General information '!C14</f>
        <v>15</v>
      </c>
      <c r="X56" s="120">
        <f t="shared" si="4"/>
        <v>-2.3000000000000007</v>
      </c>
    </row>
    <row r="57" spans="1:24">
      <c r="A57" s="118">
        <v>10</v>
      </c>
      <c r="B57" s="280">
        <f>'[1]Degree Days 2018'!B57</f>
        <v>30</v>
      </c>
      <c r="C57" s="280">
        <f>'[1]Degree Days 2018'!C57</f>
        <v>27</v>
      </c>
      <c r="D57" s="120">
        <f t="shared" ref="D57:D78" si="8">(B57+C57)/2-18.3</f>
        <v>10.199999999999999</v>
      </c>
      <c r="E57" s="118">
        <v>10</v>
      </c>
      <c r="F57" s="280">
        <f>'[5]Degree Days 2018'!F57</f>
        <v>30</v>
      </c>
      <c r="G57" s="280">
        <f>'[5]Degree Days 2018'!G57</f>
        <v>27</v>
      </c>
      <c r="H57" s="120">
        <f t="shared" si="3"/>
        <v>10.199999999999999</v>
      </c>
      <c r="I57" s="118">
        <v>10</v>
      </c>
      <c r="J57" s="280">
        <f>'[5]Degree Days 2018'!J57</f>
        <v>30</v>
      </c>
      <c r="K57" s="280">
        <f>'[5]Degree Days 2018'!K57</f>
        <v>28</v>
      </c>
      <c r="L57" s="120">
        <f t="shared" si="5"/>
        <v>10.7</v>
      </c>
      <c r="M57" s="118">
        <v>10</v>
      </c>
      <c r="N57" s="280">
        <f>'General information '!B15</f>
        <v>17</v>
      </c>
      <c r="O57" s="280">
        <f>'General information '!C15</f>
        <v>15</v>
      </c>
      <c r="P57" s="120">
        <f t="shared" si="6"/>
        <v>-2.3000000000000007</v>
      </c>
      <c r="Q57" s="118">
        <v>10</v>
      </c>
      <c r="R57" s="280">
        <f>'General information '!B15</f>
        <v>17</v>
      </c>
      <c r="S57" s="280">
        <f>'General information '!C15</f>
        <v>15</v>
      </c>
      <c r="T57" s="120">
        <f t="shared" si="7"/>
        <v>-2.3000000000000007</v>
      </c>
      <c r="U57" s="118">
        <v>10</v>
      </c>
      <c r="V57" s="119">
        <f>'General information '!B15</f>
        <v>17</v>
      </c>
      <c r="W57" s="119">
        <f>'General information '!C15</f>
        <v>15</v>
      </c>
      <c r="X57" s="120">
        <f t="shared" si="4"/>
        <v>-2.3000000000000007</v>
      </c>
    </row>
    <row r="58" spans="1:24">
      <c r="A58" s="118">
        <v>11</v>
      </c>
      <c r="B58" s="280">
        <f>'[1]Degree Days 2018'!B58</f>
        <v>31</v>
      </c>
      <c r="C58" s="280">
        <f>'[1]Degree Days 2018'!C58</f>
        <v>26</v>
      </c>
      <c r="D58" s="120">
        <f t="shared" si="8"/>
        <v>10.199999999999999</v>
      </c>
      <c r="E58" s="118">
        <v>11</v>
      </c>
      <c r="F58" s="280">
        <f>'[5]Degree Days 2018'!F58</f>
        <v>31</v>
      </c>
      <c r="G58" s="280">
        <f>'[5]Degree Days 2018'!G58</f>
        <v>26</v>
      </c>
      <c r="H58" s="120">
        <f t="shared" si="3"/>
        <v>10.199999999999999</v>
      </c>
      <c r="I58" s="118">
        <v>11</v>
      </c>
      <c r="J58" s="280">
        <f>'[5]Degree Days 2018'!J58</f>
        <v>30</v>
      </c>
      <c r="K58" s="280">
        <f>'[5]Degree Days 2018'!K58</f>
        <v>26</v>
      </c>
      <c r="L58" s="120">
        <f t="shared" si="5"/>
        <v>9.6999999999999993</v>
      </c>
      <c r="M58" s="118">
        <v>11</v>
      </c>
      <c r="N58" s="280">
        <f>'General information '!B16</f>
        <v>18</v>
      </c>
      <c r="O58" s="280">
        <f>'General information '!C16</f>
        <v>15</v>
      </c>
      <c r="P58" s="120">
        <f t="shared" si="6"/>
        <v>-1.8000000000000007</v>
      </c>
      <c r="Q58" s="118">
        <v>11</v>
      </c>
      <c r="R58" s="280">
        <f>'General information '!B16</f>
        <v>18</v>
      </c>
      <c r="S58" s="280">
        <f>'General information '!C16</f>
        <v>15</v>
      </c>
      <c r="T58" s="120">
        <f t="shared" si="7"/>
        <v>-1.8000000000000007</v>
      </c>
      <c r="U58" s="118">
        <v>11</v>
      </c>
      <c r="V58" s="119">
        <f>'General information '!B16</f>
        <v>18</v>
      </c>
      <c r="W58" s="119">
        <f>'General information '!C16</f>
        <v>15</v>
      </c>
      <c r="X58" s="120">
        <f t="shared" si="4"/>
        <v>-1.8000000000000007</v>
      </c>
    </row>
    <row r="59" spans="1:24">
      <c r="A59" s="118">
        <v>12</v>
      </c>
      <c r="B59" s="280">
        <f>'[1]Degree Days 2018'!B59</f>
        <v>31</v>
      </c>
      <c r="C59" s="280">
        <f>'[1]Degree Days 2018'!C59</f>
        <v>26</v>
      </c>
      <c r="D59" s="120">
        <f t="shared" si="8"/>
        <v>10.199999999999999</v>
      </c>
      <c r="E59" s="118">
        <v>12</v>
      </c>
      <c r="F59" s="280">
        <f>'[5]Degree Days 2018'!F59</f>
        <v>31</v>
      </c>
      <c r="G59" s="280">
        <f>'[5]Degree Days 2018'!G59</f>
        <v>26</v>
      </c>
      <c r="H59" s="120">
        <f t="shared" si="3"/>
        <v>10.199999999999999</v>
      </c>
      <c r="I59" s="118">
        <v>12</v>
      </c>
      <c r="J59" s="280">
        <f>'[5]Degree Days 2018'!J59</f>
        <v>30</v>
      </c>
      <c r="K59" s="280">
        <f>'[5]Degree Days 2018'!K59</f>
        <v>26</v>
      </c>
      <c r="L59" s="120">
        <f t="shared" si="5"/>
        <v>9.6999999999999993</v>
      </c>
      <c r="M59" s="118">
        <v>12</v>
      </c>
      <c r="N59" s="280">
        <f>'General information '!B17</f>
        <v>19</v>
      </c>
      <c r="O59" s="280">
        <f>'General information '!C17</f>
        <v>16</v>
      </c>
      <c r="P59" s="120">
        <f t="shared" si="6"/>
        <v>-0.80000000000000071</v>
      </c>
      <c r="Q59" s="118">
        <v>12</v>
      </c>
      <c r="R59" s="280">
        <f>'General information '!B17</f>
        <v>19</v>
      </c>
      <c r="S59" s="280">
        <f>'General information '!C17</f>
        <v>16</v>
      </c>
      <c r="T59" s="120">
        <f t="shared" si="7"/>
        <v>-0.80000000000000071</v>
      </c>
      <c r="U59" s="118">
        <v>12</v>
      </c>
      <c r="V59" s="119">
        <f>'General information '!B17</f>
        <v>19</v>
      </c>
      <c r="W59" s="119">
        <f>'General information '!C17</f>
        <v>16</v>
      </c>
      <c r="X59" s="120">
        <f t="shared" si="4"/>
        <v>-0.80000000000000071</v>
      </c>
    </row>
    <row r="60" spans="1:24">
      <c r="A60" s="118">
        <v>13</v>
      </c>
      <c r="B60" s="280">
        <f>'[1]Degree Days 2018'!B60</f>
        <v>31</v>
      </c>
      <c r="C60" s="280">
        <f>'[1]Degree Days 2018'!C60</f>
        <v>26</v>
      </c>
      <c r="D60" s="120">
        <f t="shared" si="8"/>
        <v>10.199999999999999</v>
      </c>
      <c r="E60" s="118">
        <v>13</v>
      </c>
      <c r="F60" s="280">
        <f>'[5]Degree Days 2018'!F60</f>
        <v>31</v>
      </c>
      <c r="G60" s="280">
        <f>'[5]Degree Days 2018'!G60</f>
        <v>26</v>
      </c>
      <c r="H60" s="120">
        <f t="shared" si="3"/>
        <v>10.199999999999999</v>
      </c>
      <c r="I60" s="118">
        <v>13</v>
      </c>
      <c r="J60" s="280">
        <f>'[5]Degree Days 2018'!J60</f>
        <v>30</v>
      </c>
      <c r="K60" s="280">
        <f>'[5]Degree Days 2018'!K60</f>
        <v>26</v>
      </c>
      <c r="L60" s="120">
        <f t="shared" si="5"/>
        <v>9.6999999999999993</v>
      </c>
      <c r="M60" s="118">
        <v>13</v>
      </c>
      <c r="N60" s="280">
        <f>'General information '!B18</f>
        <v>18</v>
      </c>
      <c r="O60" s="280">
        <f>'General information '!C18</f>
        <v>15</v>
      </c>
      <c r="P60" s="120">
        <f t="shared" si="6"/>
        <v>-1.8000000000000007</v>
      </c>
      <c r="Q60" s="118">
        <v>13</v>
      </c>
      <c r="R60" s="280">
        <f>'General information '!B18</f>
        <v>18</v>
      </c>
      <c r="S60" s="280">
        <f>'General information '!C18</f>
        <v>15</v>
      </c>
      <c r="T60" s="120">
        <f t="shared" si="7"/>
        <v>-1.8000000000000007</v>
      </c>
      <c r="U60" s="118">
        <v>13</v>
      </c>
      <c r="V60" s="119">
        <f>'General information '!B18</f>
        <v>18</v>
      </c>
      <c r="W60" s="119">
        <f>'General information '!C18</f>
        <v>15</v>
      </c>
      <c r="X60" s="120">
        <f t="shared" si="4"/>
        <v>-1.8000000000000007</v>
      </c>
    </row>
    <row r="61" spans="1:24">
      <c r="A61" s="118">
        <v>14</v>
      </c>
      <c r="B61" s="280">
        <f>'[1]Degree Days 2018'!B61</f>
        <v>32</v>
      </c>
      <c r="C61" s="280">
        <f>'[1]Degree Days 2018'!C61</f>
        <v>27</v>
      </c>
      <c r="D61" s="120">
        <f t="shared" si="8"/>
        <v>11.2</v>
      </c>
      <c r="E61" s="118">
        <v>14</v>
      </c>
      <c r="F61" s="280">
        <f>'[5]Degree Days 2018'!F61</f>
        <v>32</v>
      </c>
      <c r="G61" s="280">
        <f>'[5]Degree Days 2018'!G61</f>
        <v>27</v>
      </c>
      <c r="H61" s="120">
        <f t="shared" si="3"/>
        <v>11.2</v>
      </c>
      <c r="I61" s="118">
        <v>14</v>
      </c>
      <c r="J61" s="280">
        <f>'[5]Degree Days 2018'!J61</f>
        <v>29</v>
      </c>
      <c r="K61" s="280">
        <f>'[5]Degree Days 2018'!K61</f>
        <v>25</v>
      </c>
      <c r="L61" s="120">
        <f t="shared" si="5"/>
        <v>8.6999999999999993</v>
      </c>
      <c r="M61" s="118">
        <v>14</v>
      </c>
      <c r="N61" s="280">
        <f>'General information '!B19</f>
        <v>18</v>
      </c>
      <c r="O61" s="280">
        <f>'General information '!C19</f>
        <v>12</v>
      </c>
      <c r="P61" s="120">
        <f t="shared" si="6"/>
        <v>-3.3000000000000007</v>
      </c>
      <c r="Q61" s="118">
        <v>14</v>
      </c>
      <c r="R61" s="280">
        <f>'General information '!B19</f>
        <v>18</v>
      </c>
      <c r="S61" s="280">
        <f>'General information '!C19</f>
        <v>12</v>
      </c>
      <c r="T61" s="120">
        <f t="shared" si="7"/>
        <v>-3.3000000000000007</v>
      </c>
      <c r="U61" s="118">
        <v>14</v>
      </c>
      <c r="V61" s="119">
        <f>'General information '!B19</f>
        <v>18</v>
      </c>
      <c r="W61" s="119">
        <f>'General information '!C19</f>
        <v>12</v>
      </c>
      <c r="X61" s="120">
        <f t="shared" si="4"/>
        <v>-3.3000000000000007</v>
      </c>
    </row>
    <row r="62" spans="1:24">
      <c r="A62" s="118">
        <v>15</v>
      </c>
      <c r="B62" s="280">
        <f>'[1]Degree Days 2018'!B62</f>
        <v>31</v>
      </c>
      <c r="C62" s="280">
        <f>'[1]Degree Days 2018'!C62</f>
        <v>26</v>
      </c>
      <c r="D62" s="120">
        <f t="shared" si="8"/>
        <v>10.199999999999999</v>
      </c>
      <c r="E62" s="118">
        <v>15</v>
      </c>
      <c r="F62" s="280">
        <f>'[5]Degree Days 2018'!F62</f>
        <v>31</v>
      </c>
      <c r="G62" s="280">
        <f>'[5]Degree Days 2018'!G62</f>
        <v>26</v>
      </c>
      <c r="H62" s="120">
        <f t="shared" si="3"/>
        <v>10.199999999999999</v>
      </c>
      <c r="I62" s="118">
        <v>15</v>
      </c>
      <c r="J62" s="280">
        <f>'[5]Degree Days 2018'!J62</f>
        <v>30</v>
      </c>
      <c r="K62" s="280">
        <f>'[5]Degree Days 2018'!K62</f>
        <v>25</v>
      </c>
      <c r="L62" s="120">
        <f t="shared" si="5"/>
        <v>9.1999999999999993</v>
      </c>
      <c r="M62" s="118">
        <v>15</v>
      </c>
      <c r="N62" s="280">
        <f>'General information '!B20</f>
        <v>17</v>
      </c>
      <c r="O62" s="280">
        <f>'General information '!C20</f>
        <v>12</v>
      </c>
      <c r="P62" s="120">
        <f t="shared" si="6"/>
        <v>-3.8000000000000007</v>
      </c>
      <c r="Q62" s="118">
        <v>15</v>
      </c>
      <c r="R62" s="280">
        <f>'General information '!B20</f>
        <v>17</v>
      </c>
      <c r="S62" s="280">
        <f>'General information '!C20</f>
        <v>12</v>
      </c>
      <c r="T62" s="120">
        <f t="shared" si="7"/>
        <v>-3.8000000000000007</v>
      </c>
      <c r="U62" s="118">
        <v>15</v>
      </c>
      <c r="V62" s="119">
        <f>'General information '!B20</f>
        <v>17</v>
      </c>
      <c r="W62" s="119">
        <f>'General information '!C20</f>
        <v>12</v>
      </c>
      <c r="X62" s="120">
        <f t="shared" si="4"/>
        <v>-3.8000000000000007</v>
      </c>
    </row>
    <row r="63" spans="1:24">
      <c r="A63" s="118">
        <v>16</v>
      </c>
      <c r="B63" s="280">
        <f>'[1]Degree Days 2018'!B63</f>
        <v>31</v>
      </c>
      <c r="C63" s="280">
        <f>'[1]Degree Days 2018'!C63</f>
        <v>28</v>
      </c>
      <c r="D63" s="120">
        <f t="shared" si="8"/>
        <v>11.2</v>
      </c>
      <c r="E63" s="118">
        <v>16</v>
      </c>
      <c r="F63" s="280">
        <f>'[5]Degree Days 2018'!F63</f>
        <v>31</v>
      </c>
      <c r="G63" s="280">
        <f>'[5]Degree Days 2018'!G63</f>
        <v>28</v>
      </c>
      <c r="H63" s="120">
        <f t="shared" si="3"/>
        <v>11.2</v>
      </c>
      <c r="I63" s="118">
        <v>16</v>
      </c>
      <c r="J63" s="280">
        <f>'[5]Degree Days 2018'!J63</f>
        <v>30</v>
      </c>
      <c r="K63" s="280">
        <f>'[5]Degree Days 2018'!K63</f>
        <v>26</v>
      </c>
      <c r="L63" s="120">
        <f t="shared" si="5"/>
        <v>9.6999999999999993</v>
      </c>
      <c r="M63" s="118">
        <v>16</v>
      </c>
      <c r="N63" s="280">
        <f>'General information '!B21</f>
        <v>20</v>
      </c>
      <c r="O63" s="280">
        <f>'General information '!C21</f>
        <v>13</v>
      </c>
      <c r="P63" s="120">
        <f t="shared" si="6"/>
        <v>-1.8000000000000007</v>
      </c>
      <c r="Q63" s="118">
        <v>16</v>
      </c>
      <c r="R63" s="280">
        <f>'General information '!B21</f>
        <v>20</v>
      </c>
      <c r="S63" s="280">
        <f>'General information '!C21</f>
        <v>13</v>
      </c>
      <c r="T63" s="120">
        <f t="shared" si="7"/>
        <v>-1.8000000000000007</v>
      </c>
      <c r="U63" s="118">
        <v>16</v>
      </c>
      <c r="V63" s="119">
        <f>'General information '!B21</f>
        <v>20</v>
      </c>
      <c r="W63" s="119">
        <f>'General information '!C21</f>
        <v>13</v>
      </c>
      <c r="X63" s="120">
        <f t="shared" si="4"/>
        <v>-1.8000000000000007</v>
      </c>
    </row>
    <row r="64" spans="1:24">
      <c r="A64" s="118">
        <v>17</v>
      </c>
      <c r="B64" s="280">
        <f>'[1]Degree Days 2018'!B64</f>
        <v>30</v>
      </c>
      <c r="C64" s="280">
        <f>'[1]Degree Days 2018'!C64</f>
        <v>25</v>
      </c>
      <c r="D64" s="120">
        <f t="shared" si="8"/>
        <v>9.1999999999999993</v>
      </c>
      <c r="E64" s="118">
        <v>17</v>
      </c>
      <c r="F64" s="280">
        <f>'[5]Degree Days 2018'!F64</f>
        <v>30</v>
      </c>
      <c r="G64" s="280">
        <f>'[5]Degree Days 2018'!G64</f>
        <v>25</v>
      </c>
      <c r="H64" s="120">
        <f t="shared" si="3"/>
        <v>9.1999999999999993</v>
      </c>
      <c r="I64" s="118">
        <v>17</v>
      </c>
      <c r="J64" s="280">
        <f>'[5]Degree Days 2018'!J64</f>
        <v>30</v>
      </c>
      <c r="K64" s="280">
        <f>'[5]Degree Days 2018'!K64</f>
        <v>25</v>
      </c>
      <c r="L64" s="120">
        <f t="shared" si="5"/>
        <v>9.1999999999999993</v>
      </c>
      <c r="M64" s="118">
        <v>17</v>
      </c>
      <c r="N64" s="280">
        <f>'General information '!B22</f>
        <v>19</v>
      </c>
      <c r="O64" s="280">
        <f>'General information '!C22</f>
        <v>17</v>
      </c>
      <c r="P64" s="120">
        <f t="shared" si="6"/>
        <v>-0.30000000000000071</v>
      </c>
      <c r="Q64" s="118">
        <v>17</v>
      </c>
      <c r="R64" s="280">
        <f>'General information '!B22</f>
        <v>19</v>
      </c>
      <c r="S64" s="280">
        <f>'General information '!C22</f>
        <v>17</v>
      </c>
      <c r="T64" s="120">
        <f t="shared" si="7"/>
        <v>-0.30000000000000071</v>
      </c>
      <c r="U64" s="118">
        <v>17</v>
      </c>
      <c r="V64" s="119">
        <f>'General information '!B22</f>
        <v>19</v>
      </c>
      <c r="W64" s="119">
        <f>'General information '!C22</f>
        <v>17</v>
      </c>
      <c r="X64" s="120">
        <f t="shared" si="4"/>
        <v>-0.30000000000000071</v>
      </c>
    </row>
    <row r="65" spans="1:24">
      <c r="A65" s="118">
        <v>18</v>
      </c>
      <c r="B65" s="280">
        <f>'[1]Degree Days 2018'!B65</f>
        <v>31</v>
      </c>
      <c r="C65" s="280">
        <f>'[1]Degree Days 2018'!C65</f>
        <v>27</v>
      </c>
      <c r="D65" s="120">
        <f t="shared" si="8"/>
        <v>10.7</v>
      </c>
      <c r="E65" s="118">
        <v>18</v>
      </c>
      <c r="F65" s="280">
        <f>'[5]Degree Days 2018'!F65</f>
        <v>31</v>
      </c>
      <c r="G65" s="280">
        <f>'[5]Degree Days 2018'!G65</f>
        <v>27</v>
      </c>
      <c r="H65" s="120">
        <f t="shared" si="3"/>
        <v>10.7</v>
      </c>
      <c r="I65" s="118">
        <v>18</v>
      </c>
      <c r="J65" s="280">
        <f>'[5]Degree Days 2018'!J65</f>
        <v>30</v>
      </c>
      <c r="K65" s="280">
        <f>'[5]Degree Days 2018'!K65</f>
        <v>25</v>
      </c>
      <c r="L65" s="120">
        <f t="shared" si="5"/>
        <v>9.1999999999999993</v>
      </c>
      <c r="M65" s="118">
        <v>18</v>
      </c>
      <c r="N65" s="280">
        <f>'General information '!B23</f>
        <v>19</v>
      </c>
      <c r="O65" s="280">
        <f>'General information '!C23</f>
        <v>17</v>
      </c>
      <c r="P65" s="120">
        <f t="shared" si="6"/>
        <v>-0.30000000000000071</v>
      </c>
      <c r="Q65" s="118">
        <v>18</v>
      </c>
      <c r="R65" s="280">
        <f>'General information '!B23</f>
        <v>19</v>
      </c>
      <c r="S65" s="280">
        <f>'General information '!C23</f>
        <v>17</v>
      </c>
      <c r="T65" s="120">
        <f t="shared" si="7"/>
        <v>-0.30000000000000071</v>
      </c>
      <c r="U65" s="118">
        <v>18</v>
      </c>
      <c r="V65" s="119">
        <f>'General information '!B23</f>
        <v>19</v>
      </c>
      <c r="W65" s="119">
        <f>'General information '!C23</f>
        <v>17</v>
      </c>
      <c r="X65" s="120">
        <f t="shared" si="4"/>
        <v>-0.30000000000000071</v>
      </c>
    </row>
    <row r="66" spans="1:24">
      <c r="A66" s="118">
        <v>19</v>
      </c>
      <c r="B66" s="280">
        <f>'[1]Degree Days 2018'!B66</f>
        <v>31</v>
      </c>
      <c r="C66" s="280">
        <f>'[1]Degree Days 2018'!C66</f>
        <v>26</v>
      </c>
      <c r="D66" s="120">
        <f t="shared" si="8"/>
        <v>10.199999999999999</v>
      </c>
      <c r="E66" s="118">
        <v>19</v>
      </c>
      <c r="F66" s="280">
        <f>'[5]Degree Days 2018'!F66</f>
        <v>31</v>
      </c>
      <c r="G66" s="280">
        <f>'[5]Degree Days 2018'!G66</f>
        <v>26</v>
      </c>
      <c r="H66" s="120">
        <f t="shared" si="3"/>
        <v>10.199999999999999</v>
      </c>
      <c r="I66" s="118">
        <v>19</v>
      </c>
      <c r="J66" s="280">
        <f>'[5]Degree Days 2018'!J66</f>
        <v>31</v>
      </c>
      <c r="K66" s="280">
        <f>'[5]Degree Days 2018'!K66</f>
        <v>26</v>
      </c>
      <c r="L66" s="120">
        <f t="shared" si="5"/>
        <v>10.199999999999999</v>
      </c>
      <c r="M66" s="118">
        <v>19</v>
      </c>
      <c r="N66" s="280">
        <f>'General information '!B24</f>
        <v>20</v>
      </c>
      <c r="O66" s="280">
        <f>'General information '!C24</f>
        <v>17</v>
      </c>
      <c r="P66" s="120">
        <f t="shared" si="6"/>
        <v>0.19999999999999929</v>
      </c>
      <c r="Q66" s="118">
        <v>19</v>
      </c>
      <c r="R66" s="280">
        <f>'General information '!B24</f>
        <v>20</v>
      </c>
      <c r="S66" s="280">
        <f>'General information '!C24</f>
        <v>17</v>
      </c>
      <c r="T66" s="120">
        <f t="shared" si="7"/>
        <v>0.19999999999999929</v>
      </c>
      <c r="U66" s="118">
        <v>19</v>
      </c>
      <c r="V66" s="119">
        <f>'General information '!B24</f>
        <v>20</v>
      </c>
      <c r="W66" s="119">
        <f>'General information '!C24</f>
        <v>17</v>
      </c>
      <c r="X66" s="120">
        <f t="shared" si="4"/>
        <v>0.19999999999999929</v>
      </c>
    </row>
    <row r="67" spans="1:24">
      <c r="A67" s="118">
        <v>20</v>
      </c>
      <c r="B67" s="280">
        <f>'[1]Degree Days 2018'!B67</f>
        <v>30</v>
      </c>
      <c r="C67" s="280">
        <f>'[1]Degree Days 2018'!C67</f>
        <v>25</v>
      </c>
      <c r="D67" s="120">
        <f t="shared" si="8"/>
        <v>9.1999999999999993</v>
      </c>
      <c r="E67" s="118">
        <v>20</v>
      </c>
      <c r="F67" s="280">
        <f>'[5]Degree Days 2018'!F67</f>
        <v>30</v>
      </c>
      <c r="G67" s="280">
        <f>'[5]Degree Days 2018'!G67</f>
        <v>25</v>
      </c>
      <c r="H67" s="120">
        <f t="shared" si="3"/>
        <v>9.1999999999999993</v>
      </c>
      <c r="I67" s="118">
        <v>20</v>
      </c>
      <c r="J67" s="280">
        <f>'[5]Degree Days 2018'!J67</f>
        <v>30</v>
      </c>
      <c r="K67" s="280">
        <f>'[5]Degree Days 2018'!K67</f>
        <v>27</v>
      </c>
      <c r="L67" s="120">
        <f t="shared" si="5"/>
        <v>10.199999999999999</v>
      </c>
      <c r="M67" s="118">
        <v>20</v>
      </c>
      <c r="N67" s="280">
        <f>'General information '!B25</f>
        <v>20</v>
      </c>
      <c r="O67" s="280">
        <f>'General information '!C25</f>
        <v>14</v>
      </c>
      <c r="P67" s="120">
        <f t="shared" si="6"/>
        <v>-1.3000000000000007</v>
      </c>
      <c r="Q67" s="118">
        <v>20</v>
      </c>
      <c r="R67" s="280">
        <f>'General information '!B25</f>
        <v>20</v>
      </c>
      <c r="S67" s="280">
        <f>'General information '!C25</f>
        <v>14</v>
      </c>
      <c r="T67" s="120">
        <f t="shared" si="7"/>
        <v>-1.3000000000000007</v>
      </c>
      <c r="U67" s="118">
        <v>20</v>
      </c>
      <c r="V67" s="119">
        <f>'General information '!B25</f>
        <v>20</v>
      </c>
      <c r="W67" s="119">
        <f>'General information '!C25</f>
        <v>14</v>
      </c>
      <c r="X67" s="120">
        <f t="shared" si="4"/>
        <v>-1.3000000000000007</v>
      </c>
    </row>
    <row r="68" spans="1:24">
      <c r="A68" s="118">
        <v>21</v>
      </c>
      <c r="B68" s="280">
        <f>'[1]Degree Days 2018'!B68</f>
        <v>31</v>
      </c>
      <c r="C68" s="280">
        <f>'[1]Degree Days 2018'!C68</f>
        <v>25</v>
      </c>
      <c r="D68" s="120">
        <f t="shared" si="8"/>
        <v>9.6999999999999993</v>
      </c>
      <c r="E68" s="118">
        <v>21</v>
      </c>
      <c r="F68" s="280">
        <f>'[5]Degree Days 2018'!F68</f>
        <v>31</v>
      </c>
      <c r="G68" s="280">
        <f>'[5]Degree Days 2018'!G68</f>
        <v>25</v>
      </c>
      <c r="H68" s="120">
        <f t="shared" si="3"/>
        <v>9.6999999999999993</v>
      </c>
      <c r="I68" s="118">
        <v>21</v>
      </c>
      <c r="J68" s="280">
        <f>'[5]Degree Days 2018'!J68</f>
        <v>29</v>
      </c>
      <c r="K68" s="280">
        <f>'[5]Degree Days 2018'!K68</f>
        <v>25</v>
      </c>
      <c r="L68" s="120">
        <f t="shared" si="5"/>
        <v>8.6999999999999993</v>
      </c>
      <c r="M68" s="118">
        <v>21</v>
      </c>
      <c r="N68" s="280">
        <f>'General information '!B26</f>
        <v>20</v>
      </c>
      <c r="O68" s="280">
        <f>'General information '!C26</f>
        <v>14</v>
      </c>
      <c r="P68" s="120">
        <f t="shared" si="6"/>
        <v>-1.3000000000000007</v>
      </c>
      <c r="Q68" s="118">
        <v>21</v>
      </c>
      <c r="R68" s="280">
        <f>'General information '!B26</f>
        <v>20</v>
      </c>
      <c r="S68" s="280">
        <f>'General information '!C26</f>
        <v>14</v>
      </c>
      <c r="T68" s="120">
        <f t="shared" si="7"/>
        <v>-1.3000000000000007</v>
      </c>
      <c r="U68" s="118">
        <v>21</v>
      </c>
      <c r="V68" s="119">
        <f>'General information '!B26</f>
        <v>20</v>
      </c>
      <c r="W68" s="119">
        <f>'General information '!C26</f>
        <v>14</v>
      </c>
      <c r="X68" s="120">
        <f t="shared" si="4"/>
        <v>-1.3000000000000007</v>
      </c>
    </row>
    <row r="69" spans="1:24">
      <c r="A69" s="118">
        <v>22</v>
      </c>
      <c r="B69" s="280">
        <f>'[1]Degree Days 2018'!B69</f>
        <v>31</v>
      </c>
      <c r="C69" s="280">
        <f>'[1]Degree Days 2018'!C69</f>
        <v>26</v>
      </c>
      <c r="D69" s="120">
        <f t="shared" si="8"/>
        <v>10.199999999999999</v>
      </c>
      <c r="E69" s="118">
        <v>22</v>
      </c>
      <c r="F69" s="280">
        <f>'[5]Degree Days 2018'!F69</f>
        <v>31</v>
      </c>
      <c r="G69" s="280">
        <f>'[5]Degree Days 2018'!G69</f>
        <v>26</v>
      </c>
      <c r="H69" s="120">
        <f t="shared" si="3"/>
        <v>10.199999999999999</v>
      </c>
      <c r="I69" s="118">
        <v>22</v>
      </c>
      <c r="J69" s="280">
        <f>'[5]Degree Days 2018'!J69</f>
        <v>30</v>
      </c>
      <c r="K69" s="280">
        <f>'[5]Degree Days 2018'!K69</f>
        <v>26</v>
      </c>
      <c r="L69" s="120">
        <f t="shared" si="5"/>
        <v>9.6999999999999993</v>
      </c>
      <c r="M69" s="118">
        <v>22</v>
      </c>
      <c r="N69" s="280">
        <f>'General information '!B27</f>
        <v>20</v>
      </c>
      <c r="O69" s="280">
        <f>'General information '!C27</f>
        <v>14</v>
      </c>
      <c r="P69" s="120">
        <f t="shared" si="6"/>
        <v>-1.3000000000000007</v>
      </c>
      <c r="Q69" s="118">
        <v>22</v>
      </c>
      <c r="R69" s="280">
        <f>'General information '!B27</f>
        <v>20</v>
      </c>
      <c r="S69" s="280">
        <f>'General information '!C27</f>
        <v>14</v>
      </c>
      <c r="T69" s="120">
        <f>(R69+S69)/2-18.3</f>
        <v>-1.3000000000000007</v>
      </c>
      <c r="U69" s="118">
        <v>22</v>
      </c>
      <c r="V69" s="119">
        <f>'General information '!B27</f>
        <v>20</v>
      </c>
      <c r="W69" s="119">
        <f>'General information '!C27</f>
        <v>14</v>
      </c>
      <c r="X69" s="120">
        <f t="shared" si="4"/>
        <v>-1.3000000000000007</v>
      </c>
    </row>
    <row r="70" spans="1:24">
      <c r="A70" s="118">
        <v>23</v>
      </c>
      <c r="B70" s="280">
        <f>'[1]Degree Days 2018'!B70</f>
        <v>31</v>
      </c>
      <c r="C70" s="280">
        <f>'[1]Degree Days 2018'!C70</f>
        <v>27</v>
      </c>
      <c r="D70" s="120">
        <f t="shared" si="8"/>
        <v>10.7</v>
      </c>
      <c r="E70" s="118">
        <v>23</v>
      </c>
      <c r="F70" s="280">
        <f>'[5]Degree Days 2018'!F70</f>
        <v>31</v>
      </c>
      <c r="G70" s="280">
        <f>'[5]Degree Days 2018'!G70</f>
        <v>27</v>
      </c>
      <c r="H70" s="120">
        <f t="shared" si="3"/>
        <v>10.7</v>
      </c>
      <c r="I70" s="118">
        <v>23</v>
      </c>
      <c r="J70" s="280">
        <f>'[5]Degree Days 2018'!J70</f>
        <v>30</v>
      </c>
      <c r="K70" s="280">
        <f>'[5]Degree Days 2018'!K70</f>
        <v>25</v>
      </c>
      <c r="L70" s="120">
        <f t="shared" si="5"/>
        <v>9.1999999999999993</v>
      </c>
      <c r="M70" s="118">
        <v>23</v>
      </c>
      <c r="N70" s="280">
        <f>'General information '!B28</f>
        <v>19</v>
      </c>
      <c r="O70" s="280">
        <f>'General information '!C28</f>
        <v>16</v>
      </c>
      <c r="P70" s="120">
        <f t="shared" si="6"/>
        <v>-0.80000000000000071</v>
      </c>
      <c r="Q70" s="118">
        <v>23</v>
      </c>
      <c r="R70" s="280">
        <f>'General information '!B28</f>
        <v>19</v>
      </c>
      <c r="S70" s="280">
        <f>'General information '!C28</f>
        <v>16</v>
      </c>
      <c r="T70" s="120">
        <f t="shared" si="7"/>
        <v>-0.80000000000000071</v>
      </c>
      <c r="U70" s="118">
        <v>23</v>
      </c>
      <c r="V70" s="119">
        <f>'General information '!B28</f>
        <v>19</v>
      </c>
      <c r="W70" s="119">
        <f>'General information '!C28</f>
        <v>16</v>
      </c>
      <c r="X70" s="120">
        <f t="shared" si="4"/>
        <v>-0.80000000000000071</v>
      </c>
    </row>
    <row r="71" spans="1:24">
      <c r="A71" s="118">
        <v>24</v>
      </c>
      <c r="B71" s="280">
        <f>'[1]Degree Days 2018'!B71</f>
        <v>31</v>
      </c>
      <c r="C71" s="280">
        <f>'[1]Degree Days 2018'!C71</f>
        <v>26</v>
      </c>
      <c r="D71" s="120">
        <f t="shared" si="8"/>
        <v>10.199999999999999</v>
      </c>
      <c r="E71" s="118">
        <v>24</v>
      </c>
      <c r="F71" s="280">
        <f>'[5]Degree Days 2018'!F71</f>
        <v>31</v>
      </c>
      <c r="G71" s="280">
        <f>'[5]Degree Days 2018'!G71</f>
        <v>26</v>
      </c>
      <c r="H71" s="120">
        <f t="shared" si="3"/>
        <v>10.199999999999999</v>
      </c>
      <c r="I71" s="118">
        <v>24</v>
      </c>
      <c r="J71" s="280">
        <f>'[5]Degree Days 2018'!J71</f>
        <v>29</v>
      </c>
      <c r="K71" s="280">
        <f>'[5]Degree Days 2018'!K71</f>
        <v>24</v>
      </c>
      <c r="L71" s="120">
        <f t="shared" si="5"/>
        <v>8.1999999999999993</v>
      </c>
      <c r="M71" s="118">
        <v>24</v>
      </c>
      <c r="N71" s="280">
        <f>'General information '!B29</f>
        <v>19</v>
      </c>
      <c r="O71" s="280">
        <f>'General information '!C29</f>
        <v>15</v>
      </c>
      <c r="P71" s="120">
        <f t="shared" si="6"/>
        <v>-1.3000000000000007</v>
      </c>
      <c r="Q71" s="118">
        <v>24</v>
      </c>
      <c r="R71" s="280">
        <f>'General information '!B29</f>
        <v>19</v>
      </c>
      <c r="S71" s="280">
        <f>'General information '!C29</f>
        <v>15</v>
      </c>
      <c r="T71" s="120">
        <f t="shared" si="7"/>
        <v>-1.3000000000000007</v>
      </c>
      <c r="U71" s="118">
        <v>24</v>
      </c>
      <c r="V71" s="119">
        <f>'General information '!B29</f>
        <v>19</v>
      </c>
      <c r="W71" s="119">
        <f>'General information '!C29</f>
        <v>15</v>
      </c>
      <c r="X71" s="120">
        <f t="shared" si="4"/>
        <v>-1.3000000000000007</v>
      </c>
    </row>
    <row r="72" spans="1:24">
      <c r="A72" s="118">
        <v>25</v>
      </c>
      <c r="B72" s="280">
        <f>'[1]Degree Days 2018'!B72</f>
        <v>31</v>
      </c>
      <c r="C72" s="280">
        <f>'[1]Degree Days 2018'!C72</f>
        <v>26</v>
      </c>
      <c r="D72" s="120">
        <f t="shared" si="8"/>
        <v>10.199999999999999</v>
      </c>
      <c r="E72" s="118">
        <v>25</v>
      </c>
      <c r="F72" s="280">
        <f>'[5]Degree Days 2018'!F72</f>
        <v>31</v>
      </c>
      <c r="G72" s="280">
        <f>'[5]Degree Days 2018'!G72</f>
        <v>26</v>
      </c>
      <c r="H72" s="120">
        <f t="shared" si="3"/>
        <v>10.199999999999999</v>
      </c>
      <c r="I72" s="118">
        <v>25</v>
      </c>
      <c r="J72" s="280">
        <f>'[5]Degree Days 2018'!J72</f>
        <v>28</v>
      </c>
      <c r="K72" s="280">
        <f>'[5]Degree Days 2018'!K72</f>
        <v>24</v>
      </c>
      <c r="L72" s="120">
        <f t="shared" si="5"/>
        <v>7.6999999999999993</v>
      </c>
      <c r="M72" s="118">
        <v>25</v>
      </c>
      <c r="N72" s="280">
        <f>'General information '!B30</f>
        <v>18</v>
      </c>
      <c r="O72" s="280">
        <f>'General information '!C30</f>
        <v>14</v>
      </c>
      <c r="P72" s="120">
        <f t="shared" si="6"/>
        <v>-2.3000000000000007</v>
      </c>
      <c r="Q72" s="118">
        <v>25</v>
      </c>
      <c r="R72" s="280">
        <f>'General information '!B30</f>
        <v>18</v>
      </c>
      <c r="S72" s="280">
        <f>'General information '!C30</f>
        <v>14</v>
      </c>
      <c r="T72" s="120">
        <f t="shared" si="7"/>
        <v>-2.3000000000000007</v>
      </c>
      <c r="U72" s="118">
        <v>25</v>
      </c>
      <c r="V72" s="119">
        <f>'General information '!B30</f>
        <v>18</v>
      </c>
      <c r="W72" s="119">
        <f>'General information '!C30</f>
        <v>14</v>
      </c>
      <c r="X72" s="120">
        <f t="shared" si="4"/>
        <v>-2.3000000000000007</v>
      </c>
    </row>
    <row r="73" spans="1:24">
      <c r="A73" s="118">
        <v>26</v>
      </c>
      <c r="B73" s="280">
        <f>'[1]Degree Days 2018'!B73</f>
        <v>31</v>
      </c>
      <c r="C73" s="280">
        <f>'[1]Degree Days 2018'!C73</f>
        <v>27</v>
      </c>
      <c r="D73" s="120">
        <f t="shared" si="8"/>
        <v>10.7</v>
      </c>
      <c r="E73" s="118">
        <v>26</v>
      </c>
      <c r="F73" s="280">
        <f>'[5]Degree Days 2018'!F73</f>
        <v>31</v>
      </c>
      <c r="G73" s="280">
        <f>'[5]Degree Days 2018'!G73</f>
        <v>27</v>
      </c>
      <c r="H73" s="120">
        <f t="shared" si="3"/>
        <v>10.7</v>
      </c>
      <c r="I73" s="118">
        <v>26</v>
      </c>
      <c r="J73" s="280">
        <f>'[5]Degree Days 2018'!J73</f>
        <v>30</v>
      </c>
      <c r="K73" s="280">
        <f>'[5]Degree Days 2018'!K73</f>
        <v>25</v>
      </c>
      <c r="L73" s="120">
        <f t="shared" si="5"/>
        <v>9.1999999999999993</v>
      </c>
      <c r="M73" s="118">
        <v>26</v>
      </c>
      <c r="N73" s="280">
        <f>'General information '!B31</f>
        <v>17</v>
      </c>
      <c r="O73" s="280">
        <f>'General information '!C31</f>
        <v>14</v>
      </c>
      <c r="P73" s="120">
        <f t="shared" si="6"/>
        <v>-2.8000000000000007</v>
      </c>
      <c r="Q73" s="118">
        <v>26</v>
      </c>
      <c r="R73" s="280">
        <f>'General information '!B31</f>
        <v>17</v>
      </c>
      <c r="S73" s="280">
        <f>'General information '!C31</f>
        <v>14</v>
      </c>
      <c r="T73" s="120">
        <f t="shared" si="7"/>
        <v>-2.8000000000000007</v>
      </c>
      <c r="U73" s="118">
        <v>26</v>
      </c>
      <c r="V73" s="119">
        <f>'General information '!B31</f>
        <v>17</v>
      </c>
      <c r="W73" s="119">
        <f>'General information '!C31</f>
        <v>14</v>
      </c>
      <c r="X73" s="120">
        <f t="shared" si="4"/>
        <v>-2.8000000000000007</v>
      </c>
    </row>
    <row r="74" spans="1:24">
      <c r="A74" s="118">
        <v>27</v>
      </c>
      <c r="B74" s="280">
        <f>'[1]Degree Days 2018'!B74</f>
        <v>31</v>
      </c>
      <c r="C74" s="280">
        <f>'[1]Degree Days 2018'!C74</f>
        <v>27</v>
      </c>
      <c r="D74" s="120">
        <f t="shared" si="8"/>
        <v>10.7</v>
      </c>
      <c r="E74" s="118">
        <v>27</v>
      </c>
      <c r="F74" s="280">
        <f>'[5]Degree Days 2018'!F74</f>
        <v>31</v>
      </c>
      <c r="G74" s="280">
        <f>'[5]Degree Days 2018'!G74</f>
        <v>27</v>
      </c>
      <c r="H74" s="120">
        <f t="shared" si="3"/>
        <v>10.7</v>
      </c>
      <c r="I74" s="118">
        <v>27</v>
      </c>
      <c r="J74" s="280">
        <f>'[5]Degree Days 2018'!J74</f>
        <v>30</v>
      </c>
      <c r="K74" s="280">
        <f>'[5]Degree Days 2018'!K74</f>
        <v>24</v>
      </c>
      <c r="L74" s="120">
        <f t="shared" si="5"/>
        <v>8.6999999999999993</v>
      </c>
      <c r="M74" s="118">
        <v>27</v>
      </c>
      <c r="N74" s="280">
        <f>'General information '!B32</f>
        <v>16</v>
      </c>
      <c r="O74" s="280">
        <f>'General information '!C32</f>
        <v>13</v>
      </c>
      <c r="P74" s="120">
        <f t="shared" si="6"/>
        <v>-3.8000000000000007</v>
      </c>
      <c r="Q74" s="118">
        <v>27</v>
      </c>
      <c r="R74" s="280">
        <f>'General information '!B32</f>
        <v>16</v>
      </c>
      <c r="S74" s="280">
        <f>'General information '!C32</f>
        <v>13</v>
      </c>
      <c r="T74" s="120">
        <f t="shared" si="7"/>
        <v>-3.8000000000000007</v>
      </c>
      <c r="U74" s="118">
        <v>27</v>
      </c>
      <c r="V74" s="119">
        <f>'General information '!B32</f>
        <v>16</v>
      </c>
      <c r="W74" s="119">
        <f>'General information '!C32</f>
        <v>13</v>
      </c>
      <c r="X74" s="120">
        <f t="shared" si="4"/>
        <v>-3.8000000000000007</v>
      </c>
    </row>
    <row r="75" spans="1:24">
      <c r="A75" s="118">
        <v>28</v>
      </c>
      <c r="B75" s="280">
        <f>'[1]Degree Days 2018'!B75</f>
        <v>31</v>
      </c>
      <c r="C75" s="280">
        <f>'[1]Degree Days 2018'!C75</f>
        <v>27</v>
      </c>
      <c r="D75" s="120">
        <f t="shared" si="8"/>
        <v>10.7</v>
      </c>
      <c r="E75" s="118">
        <v>28</v>
      </c>
      <c r="F75" s="280">
        <f>'[5]Degree Days 2018'!F75</f>
        <v>31</v>
      </c>
      <c r="G75" s="280">
        <f>'[5]Degree Days 2018'!G75</f>
        <v>27</v>
      </c>
      <c r="H75" s="120">
        <f t="shared" si="3"/>
        <v>10.7</v>
      </c>
      <c r="I75" s="118">
        <v>28</v>
      </c>
      <c r="J75" s="280">
        <f>'[5]Degree Days 2018'!J75</f>
        <v>31</v>
      </c>
      <c r="K75" s="280">
        <f>'[5]Degree Days 2018'!K75</f>
        <v>25</v>
      </c>
      <c r="L75" s="120">
        <f t="shared" si="5"/>
        <v>9.6999999999999993</v>
      </c>
      <c r="M75" s="118">
        <v>28</v>
      </c>
      <c r="N75" s="280">
        <f>'General information '!B33</f>
        <v>17</v>
      </c>
      <c r="O75" s="280">
        <f>'General information '!C33</f>
        <v>13</v>
      </c>
      <c r="P75" s="120">
        <f t="shared" si="6"/>
        <v>-3.3000000000000007</v>
      </c>
      <c r="Q75" s="118">
        <v>28</v>
      </c>
      <c r="R75" s="280">
        <f>'General information '!B33</f>
        <v>17</v>
      </c>
      <c r="S75" s="280">
        <f>'General information '!C33</f>
        <v>13</v>
      </c>
      <c r="T75" s="120">
        <f t="shared" si="7"/>
        <v>-3.3000000000000007</v>
      </c>
      <c r="U75" s="118">
        <v>28</v>
      </c>
      <c r="V75" s="119">
        <f>'General information '!B33</f>
        <v>17</v>
      </c>
      <c r="W75" s="119">
        <f>'General information '!C33</f>
        <v>13</v>
      </c>
      <c r="X75" s="120">
        <f t="shared" si="4"/>
        <v>-3.3000000000000007</v>
      </c>
    </row>
    <row r="76" spans="1:24">
      <c r="A76" s="118">
        <v>29</v>
      </c>
      <c r="B76" s="280">
        <f>'[1]Degree Days 2018'!B76</f>
        <v>31</v>
      </c>
      <c r="C76" s="280">
        <f>'[1]Degree Days 2018'!C76</f>
        <v>27</v>
      </c>
      <c r="D76" s="120">
        <f t="shared" si="8"/>
        <v>10.7</v>
      </c>
      <c r="E76" s="118">
        <v>29</v>
      </c>
      <c r="F76" s="280">
        <f>'[5]Degree Days 2018'!F76</f>
        <v>31</v>
      </c>
      <c r="G76" s="280">
        <f>'[5]Degree Days 2018'!G76</f>
        <v>27</v>
      </c>
      <c r="H76" s="120">
        <f t="shared" si="3"/>
        <v>10.7</v>
      </c>
      <c r="I76" s="118">
        <v>29</v>
      </c>
      <c r="J76" s="280">
        <f>'[5]Degree Days 2018'!J76</f>
        <v>29</v>
      </c>
      <c r="K76" s="280">
        <f>'[5]Degree Days 2018'!K76</f>
        <v>25</v>
      </c>
      <c r="L76" s="120">
        <f t="shared" si="5"/>
        <v>8.6999999999999993</v>
      </c>
      <c r="M76" s="118">
        <v>29</v>
      </c>
      <c r="N76" s="280">
        <f>'General information '!B34</f>
        <v>16</v>
      </c>
      <c r="O76" s="280">
        <f>'General information '!C34</f>
        <v>13</v>
      </c>
      <c r="P76" s="120">
        <f t="shared" si="6"/>
        <v>-3.8000000000000007</v>
      </c>
      <c r="Q76" s="118">
        <v>29</v>
      </c>
      <c r="R76" s="280">
        <f>'General information '!B34</f>
        <v>16</v>
      </c>
      <c r="S76" s="280">
        <f>'General information '!C34</f>
        <v>13</v>
      </c>
      <c r="T76" s="120">
        <f t="shared" si="7"/>
        <v>-3.8000000000000007</v>
      </c>
      <c r="U76" s="118">
        <v>29</v>
      </c>
      <c r="V76" s="119">
        <f>'General information '!B34</f>
        <v>16</v>
      </c>
      <c r="W76" s="119">
        <f>'General information '!C34</f>
        <v>13</v>
      </c>
      <c r="X76" s="120">
        <f t="shared" si="4"/>
        <v>-3.8000000000000007</v>
      </c>
    </row>
    <row r="77" spans="1:24">
      <c r="A77" s="118">
        <v>30</v>
      </c>
      <c r="B77" s="280">
        <f>'[1]Degree Days 2018'!B77</f>
        <v>31</v>
      </c>
      <c r="C77" s="280">
        <f>'[1]Degree Days 2018'!C77</f>
        <v>27</v>
      </c>
      <c r="D77" s="120">
        <f t="shared" si="8"/>
        <v>10.7</v>
      </c>
      <c r="E77" s="118">
        <v>30</v>
      </c>
      <c r="F77" s="280">
        <f>'[5]Degree Days 2018'!F77</f>
        <v>31</v>
      </c>
      <c r="G77" s="280">
        <f>'[5]Degree Days 2018'!G77</f>
        <v>27</v>
      </c>
      <c r="H77" s="120">
        <f t="shared" si="3"/>
        <v>10.7</v>
      </c>
      <c r="I77" s="118">
        <v>30</v>
      </c>
      <c r="J77" s="280">
        <f>'[5]Degree Days 2018'!J77</f>
        <v>28</v>
      </c>
      <c r="K77" s="280">
        <f>'[5]Degree Days 2018'!K77</f>
        <v>25</v>
      </c>
      <c r="L77" s="120">
        <f t="shared" si="5"/>
        <v>8.1999999999999993</v>
      </c>
      <c r="M77" s="118">
        <v>30</v>
      </c>
      <c r="N77" s="280">
        <f>'General information '!B35</f>
        <v>16</v>
      </c>
      <c r="O77" s="280">
        <f>'General information '!C35</f>
        <v>12</v>
      </c>
      <c r="P77" s="120">
        <f t="shared" si="6"/>
        <v>-4.3000000000000007</v>
      </c>
      <c r="Q77" s="118">
        <v>30</v>
      </c>
      <c r="R77" s="280">
        <f>'General information '!B35</f>
        <v>16</v>
      </c>
      <c r="S77" s="280">
        <f>'General information '!C35</f>
        <v>12</v>
      </c>
      <c r="T77" s="120">
        <f t="shared" si="7"/>
        <v>-4.3000000000000007</v>
      </c>
      <c r="U77" s="118">
        <v>30</v>
      </c>
      <c r="V77" s="119">
        <f>'General information '!B35</f>
        <v>16</v>
      </c>
      <c r="W77" s="119">
        <f>'General information '!C35</f>
        <v>12</v>
      </c>
      <c r="X77" s="120">
        <f t="shared" si="4"/>
        <v>-4.3000000000000007</v>
      </c>
    </row>
    <row r="78" spans="1:24">
      <c r="A78" s="121">
        <v>31</v>
      </c>
      <c r="B78" s="280">
        <f>'[1]Degree Days 2018'!B78</f>
        <v>32</v>
      </c>
      <c r="C78" s="280">
        <f>'[1]Degree Days 2018'!C78</f>
        <v>28</v>
      </c>
      <c r="D78" s="120">
        <f t="shared" si="8"/>
        <v>11.7</v>
      </c>
      <c r="E78" s="121">
        <v>31</v>
      </c>
      <c r="F78" s="280">
        <f>'[5]Degree Days 2018'!F78</f>
        <v>32</v>
      </c>
      <c r="G78" s="280">
        <f>'[5]Degree Days 2018'!G78</f>
        <v>28</v>
      </c>
      <c r="H78" s="120">
        <f t="shared" si="3"/>
        <v>11.7</v>
      </c>
      <c r="I78" s="121"/>
      <c r="J78" s="280">
        <f>'[5]Degree Days 2018'!J78</f>
        <v>0</v>
      </c>
      <c r="K78" s="280">
        <f>'[5]Degree Days 2018'!K78</f>
        <v>0</v>
      </c>
      <c r="L78" s="123"/>
      <c r="M78" s="121">
        <v>31</v>
      </c>
      <c r="N78" s="280">
        <f>'General information '!B36</f>
        <v>16</v>
      </c>
      <c r="O78" s="280">
        <f>'General information '!C36</f>
        <v>11</v>
      </c>
      <c r="P78" s="123">
        <f t="shared" si="6"/>
        <v>-4.8000000000000007</v>
      </c>
      <c r="Q78" s="121"/>
      <c r="R78" s="280"/>
      <c r="S78" s="280"/>
      <c r="T78" s="123"/>
      <c r="U78" s="121">
        <v>31</v>
      </c>
      <c r="V78" s="119"/>
      <c r="W78" s="11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0</v>
      </c>
      <c r="C81" s="120">
        <f>SUMIF(D48:D78,"&gt;0")</f>
        <v>321.19999999999982</v>
      </c>
      <c r="D81" s="131"/>
      <c r="E81" s="130"/>
      <c r="F81" s="120">
        <f>SUMIF(H48:H78,"&lt;0")</f>
        <v>0</v>
      </c>
      <c r="G81" s="120">
        <f>SUMIF(H48:H78,"&gt;0")</f>
        <v>321.19999999999982</v>
      </c>
      <c r="H81" s="131"/>
      <c r="I81" s="130"/>
      <c r="J81" s="120">
        <f>SUMIF(L48:L78,"&lt;0")</f>
        <v>0</v>
      </c>
      <c r="K81" s="120">
        <f>SUMIF(L48:L78,"&gt;0")</f>
        <v>286.49999999999983</v>
      </c>
      <c r="L81" s="131"/>
      <c r="M81" s="130"/>
      <c r="N81" s="120">
        <f>SUMIF(P48:P78,"&lt;0")</f>
        <v>-64.899999999999977</v>
      </c>
      <c r="O81" s="120">
        <f>SUMIF(P48:P78,"&gt;0")</f>
        <v>1.0999999999999979</v>
      </c>
      <c r="P81" s="131"/>
      <c r="Q81" s="130"/>
      <c r="R81" s="120">
        <f>SUMIF(T48:T78,"&lt;0")</f>
        <v>-60.09999999999998</v>
      </c>
      <c r="S81" s="120">
        <f>SUMIF(T48:T78,"&gt;0")</f>
        <v>1.0999999999999979</v>
      </c>
      <c r="T81" s="131"/>
      <c r="U81" s="130"/>
      <c r="V81" s="120">
        <f>SUMIF(X48:X78,"&lt;0")</f>
        <v>-60.09999999999998</v>
      </c>
      <c r="W81" s="120">
        <f>SUMIF(X48:X78,"&gt;0")</f>
        <v>1.0999999999999979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50" t="s">
        <v>174</v>
      </c>
      <c r="O84" s="650" t="s">
        <v>175</v>
      </c>
      <c r="P84" s="135"/>
      <c r="T84" s="135"/>
      <c r="X84" s="135"/>
    </row>
    <row r="85" spans="1:24" ht="20.25" thickBot="1">
      <c r="D85" s="135"/>
      <c r="I85" s="652" t="s">
        <v>182</v>
      </c>
      <c r="J85" s="653"/>
      <c r="K85" s="653"/>
      <c r="L85" s="653"/>
      <c r="N85" s="651"/>
      <c r="O85" s="651"/>
      <c r="P85" s="135"/>
      <c r="R85" s="17"/>
      <c r="S85" s="17"/>
      <c r="T85" s="141"/>
      <c r="U85" s="142"/>
      <c r="X85" s="135"/>
    </row>
    <row r="86" spans="1:24" ht="18.75" thickBot="1">
      <c r="D86" s="135"/>
      <c r="I86" s="654" t="s">
        <v>183</v>
      </c>
      <c r="J86" s="654"/>
      <c r="K86" s="654"/>
      <c r="L86" s="654"/>
      <c r="N86" s="143">
        <f>B43+F43+J43+N43+R43+V43+B81+F81+J81+N81+R81+V81</f>
        <v>-547.69999999999982</v>
      </c>
      <c r="O86" s="143">
        <f>C43+G43+K43+O43+S43+W43+C81+G81+K81+O81+S81+W81</f>
        <v>1226.9999999999993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44"/>
      <c r="C88" s="644"/>
      <c r="D88" s="644"/>
      <c r="E88" s="644"/>
      <c r="F88" s="644"/>
      <c r="G88" s="644"/>
      <c r="H88" s="644"/>
      <c r="I88" s="644"/>
      <c r="J88" s="644"/>
      <c r="K88" s="644"/>
      <c r="L88" s="644"/>
      <c r="M88" s="644"/>
      <c r="N88" s="644"/>
      <c r="O88" s="644"/>
      <c r="P88" s="644"/>
      <c r="Q88" s="644"/>
      <c r="R88" s="644"/>
      <c r="S88" s="644"/>
      <c r="T88" s="644"/>
      <c r="U88" s="644"/>
      <c r="V88" s="644"/>
      <c r="W88" s="644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1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1780</v>
      </c>
      <c r="C2" s="3">
        <f>ELEC!N3</f>
        <v>14340.200000000186</v>
      </c>
      <c r="D2" s="3">
        <f>C2-E2</f>
        <v>11808.199999999124</v>
      </c>
      <c r="E2" s="3">
        <f>ELEC!Q3</f>
        <v>2532.0000000010623</v>
      </c>
      <c r="F2" s="3">
        <f>GEN!Z2</f>
        <v>4.6900000000005093</v>
      </c>
      <c r="G2" s="3">
        <f>WATER!C5+WATER!H5</f>
        <v>80</v>
      </c>
      <c r="H2" s="3">
        <f>WATER!L5</f>
        <v>4</v>
      </c>
      <c r="I2" s="15">
        <f>WATER!BC5+WATER!BD5+WATER!BE6-Sheet1!G2</f>
        <v>-138.1</v>
      </c>
      <c r="J2" s="9">
        <f>'B5'!A4</f>
        <v>43799</v>
      </c>
    </row>
    <row r="3" spans="1:10">
      <c r="A3" s="3">
        <f>ELEC!T4+ELEC!X2+ELEC!AB4</f>
        <v>6</v>
      </c>
      <c r="B3" s="3">
        <f>ELEC!AF4</f>
        <v>819</v>
      </c>
      <c r="C3" s="3">
        <f>ELEC!N4</f>
        <v>14840</v>
      </c>
      <c r="D3" s="3">
        <f t="shared" ref="D3:D30" si="0">C3-E3</f>
        <v>12672.000000000335</v>
      </c>
      <c r="E3" s="3">
        <f>ELEC!Q4</f>
        <v>2167.9999999996653</v>
      </c>
      <c r="F3" s="3">
        <f>GEN!Z3</f>
        <v>2.5900000000001455</v>
      </c>
      <c r="G3" s="3">
        <f>WATER!C6+WATER!H6</f>
        <v>155</v>
      </c>
      <c r="H3" s="3">
        <f>WATER!L6</f>
        <v>0</v>
      </c>
      <c r="I3" s="15">
        <f>WATER!BC6+WATER!BD6+WATER!BE7-Sheet1!G3</f>
        <v>-135.80000000000001</v>
      </c>
      <c r="J3" s="9">
        <f>'B5'!A5</f>
        <v>43800</v>
      </c>
    </row>
    <row r="4" spans="1:10">
      <c r="A4" s="3">
        <f>ELEC!T5+ELEC!X5+ELEC!AB5</f>
        <v>11</v>
      </c>
      <c r="B4" s="3">
        <f>ELEC!AF5</f>
        <v>2227</v>
      </c>
      <c r="C4" s="3">
        <f>ELEC!N5</f>
        <v>15111</v>
      </c>
      <c r="D4" s="3">
        <f t="shared" si="0"/>
        <v>13111</v>
      </c>
      <c r="E4" s="3">
        <f>ELEC!Q5</f>
        <v>2000</v>
      </c>
      <c r="F4" s="3">
        <f>GEN!Z4</f>
        <v>2.7199999999993452</v>
      </c>
      <c r="G4" s="3">
        <f>WATER!C7+WATER!H7</f>
        <v>0</v>
      </c>
      <c r="H4" s="3">
        <f>WATER!L7</f>
        <v>4</v>
      </c>
      <c r="I4" s="15">
        <f>WATER!BC7+WATER!BD7+WATER!BE8-Sheet1!G4</f>
        <v>45.9</v>
      </c>
      <c r="J4" s="9">
        <f>'B5'!A6</f>
        <v>43801</v>
      </c>
    </row>
    <row r="5" spans="1:10">
      <c r="A5" s="3">
        <f>ELEC!T6+ELEC!X6+ELEC!AB6</f>
        <v>7</v>
      </c>
      <c r="B5" s="3">
        <f>ELEC!AF6</f>
        <v>1417</v>
      </c>
      <c r="C5" s="3">
        <f>ELEC!N6</f>
        <v>15739</v>
      </c>
      <c r="D5" s="3">
        <f t="shared" si="0"/>
        <v>13166.999999999884</v>
      </c>
      <c r="E5" s="3">
        <f>ELEC!Q6</f>
        <v>2572.0000000001164</v>
      </c>
      <c r="F5" s="3">
        <f>GEN!Z5</f>
        <v>4</v>
      </c>
      <c r="G5" s="3">
        <f>WATER!C8+WATER!H8</f>
        <v>266</v>
      </c>
      <c r="H5" s="3">
        <f>WATER!L8</f>
        <v>3</v>
      </c>
      <c r="I5" s="15">
        <f>WATER!BC8+WATER!BD8+WATER!BE9-Sheet1!G5</f>
        <v>-256.09999999999997</v>
      </c>
      <c r="J5" s="9">
        <f>'B5'!A7</f>
        <v>43802</v>
      </c>
    </row>
    <row r="6" spans="1:10">
      <c r="A6" s="3">
        <f>ELEC!T7+ELEC!X7+ELEC!AB7</f>
        <v>6</v>
      </c>
      <c r="B6" s="3">
        <f>ELEC!AF7</f>
        <v>1474</v>
      </c>
      <c r="C6" s="3">
        <f>ELEC!N7</f>
        <v>13473</v>
      </c>
      <c r="D6" s="3">
        <f t="shared" si="0"/>
        <v>11459.000000000786</v>
      </c>
      <c r="E6" s="3">
        <f>ELEC!Q24</f>
        <v>2013.9999999992142</v>
      </c>
      <c r="F6" s="3">
        <f>GEN!Z6</f>
        <v>3</v>
      </c>
      <c r="G6" s="3">
        <f>WATER!C9+WATER!H9</f>
        <v>0</v>
      </c>
      <c r="H6" s="3">
        <f>WATER!L9</f>
        <v>2</v>
      </c>
      <c r="I6" s="15">
        <f>WATER!BC9+WATER!BD9+WATER!BE10-Sheet1!G6</f>
        <v>9.5</v>
      </c>
      <c r="J6" s="9">
        <f>'B5'!A8</f>
        <v>43803</v>
      </c>
    </row>
    <row r="7" spans="1:10">
      <c r="A7" s="3">
        <f>ELEC!T8+ELEC!X8+ELEC!AB8</f>
        <v>6</v>
      </c>
      <c r="B7" s="3">
        <f>ELEC!AF8</f>
        <v>1055</v>
      </c>
      <c r="C7" s="3">
        <f>ELEC!N8</f>
        <v>14010.399999999907</v>
      </c>
      <c r="D7" s="3">
        <f t="shared" si="0"/>
        <v>10954.399999999412</v>
      </c>
      <c r="E7" s="3">
        <f>ELEC!Q8</f>
        <v>3056.0000000004948</v>
      </c>
      <c r="F7" s="3">
        <f>GEN!Z7</f>
        <v>3.3999999999996362</v>
      </c>
      <c r="G7" s="3">
        <f>WATER!C10+WATER!H10</f>
        <v>189</v>
      </c>
      <c r="H7" s="3">
        <f>WATER!L10</f>
        <v>4</v>
      </c>
      <c r="I7" s="15">
        <f>WATER!BC10+WATER!BD10+WATER!BE11-Sheet1!G7</f>
        <v>-270.70000000000005</v>
      </c>
      <c r="J7" s="9">
        <f>'B5'!A9</f>
        <v>43804</v>
      </c>
    </row>
    <row r="8" spans="1:10">
      <c r="A8" s="3">
        <f>ELEC!T9+ELEC!X9+ELEC!AB9</f>
        <v>11</v>
      </c>
      <c r="B8" s="3">
        <f>ELEC!AF9</f>
        <v>1806</v>
      </c>
      <c r="C8" s="3">
        <f>ELEC!N9</f>
        <v>15285.600000000093</v>
      </c>
      <c r="D8" s="3">
        <f t="shared" si="0"/>
        <v>13411.600000000297</v>
      </c>
      <c r="E8" s="3">
        <f>ELEC!Q9</f>
        <v>1873.9999999997963</v>
      </c>
      <c r="F8" s="3">
        <f>GEN!Z8</f>
        <v>4.1700000000000728</v>
      </c>
      <c r="G8" s="3">
        <f>WATER!C11+WATER!H11</f>
        <v>0</v>
      </c>
      <c r="H8" s="3">
        <f>WATER!L11</f>
        <v>9</v>
      </c>
      <c r="I8" s="15">
        <f>WATER!BC11+WATER!BD11+WATER!BE12-Sheet1!G8</f>
        <v>-22.499999999999993</v>
      </c>
      <c r="J8" s="9">
        <f>'B5'!A10</f>
        <v>43805</v>
      </c>
    </row>
    <row r="9" spans="1:10">
      <c r="A9" s="3">
        <f>ELEC!T10+ELEC!X10+ELEC!AB10</f>
        <v>5</v>
      </c>
      <c r="B9" s="3">
        <f>ELEC!AF10</f>
        <v>925</v>
      </c>
      <c r="C9" s="3">
        <f>ELEC!N10</f>
        <v>16664</v>
      </c>
      <c r="D9" s="3">
        <f t="shared" si="0"/>
        <v>14664</v>
      </c>
      <c r="E9" s="3">
        <f>ELEC!Q10</f>
        <v>2000</v>
      </c>
      <c r="F9" s="3">
        <f>GEN!Z9</f>
        <v>4.430000000000291</v>
      </c>
      <c r="G9" s="3">
        <f>WATER!C12+WATER!H12</f>
        <v>158</v>
      </c>
      <c r="H9" s="3">
        <f>WATER!L12</f>
        <v>3</v>
      </c>
      <c r="I9" s="15">
        <f>WATER!BC12+WATER!BD12+WATER!BE13-Sheet1!G9</f>
        <v>-183.4</v>
      </c>
      <c r="J9" s="9">
        <f>'B5'!A11</f>
        <v>43806</v>
      </c>
    </row>
    <row r="10" spans="1:10">
      <c r="A10" s="3">
        <f>ELEC!T11+ELEC!X11+ELEC!AB11</f>
        <v>7</v>
      </c>
      <c r="B10" s="3">
        <f>ELEC!AF11</f>
        <v>1200</v>
      </c>
      <c r="C10" s="3">
        <f>ELEC!N11</f>
        <v>13515</v>
      </c>
      <c r="D10" s="3">
        <f t="shared" si="0"/>
        <v>10772.999999999811</v>
      </c>
      <c r="E10" s="3">
        <f>ELEC!Q11</f>
        <v>2742.0000000001892</v>
      </c>
      <c r="F10" s="3">
        <f>GEN!Z10</f>
        <v>3</v>
      </c>
      <c r="G10" s="3">
        <f>WATER!C13+WATER!H13</f>
        <v>80</v>
      </c>
      <c r="H10" s="3">
        <f>WATER!L13</f>
        <v>3</v>
      </c>
      <c r="I10" s="15">
        <f>WATER!BC13+WATER!BD13+WATER!BE14-Sheet1!G10</f>
        <v>68.599999999999994</v>
      </c>
      <c r="J10" s="9">
        <f>'B5'!A12</f>
        <v>43807</v>
      </c>
    </row>
    <row r="11" spans="1:10">
      <c r="A11" s="3">
        <f>ELEC!T12+ELEC!X12+ELEC!AB12</f>
        <v>7</v>
      </c>
      <c r="B11" s="3">
        <f>ELEC!AF12</f>
        <v>1354</v>
      </c>
      <c r="C11" s="3">
        <f>ELEC!N12</f>
        <v>15465</v>
      </c>
      <c r="D11" s="3">
        <f t="shared" si="0"/>
        <v>13457.000000000189</v>
      </c>
      <c r="E11" s="3">
        <f>ELEC!Q12</f>
        <v>2007.9999999998108</v>
      </c>
      <c r="F11" s="3">
        <f>GEN!Z11</f>
        <v>3</v>
      </c>
      <c r="G11" s="3">
        <f>WATER!C14+WATER!H14</f>
        <v>124</v>
      </c>
      <c r="H11" s="3">
        <f>WATER!L14</f>
        <v>3</v>
      </c>
      <c r="I11" s="15">
        <f>WATER!BC14+WATER!BD14+WATER!BE15-Sheet1!G11</f>
        <v>-91.099999999999966</v>
      </c>
      <c r="J11" s="9">
        <f>'B5'!A13</f>
        <v>43808</v>
      </c>
    </row>
    <row r="12" spans="1:10">
      <c r="A12" s="3">
        <f>ELEC!T13+ELEC!X13+ELEC!AB13</f>
        <v>9</v>
      </c>
      <c r="B12" s="3">
        <f>ELEC!AF13</f>
        <v>1615</v>
      </c>
      <c r="C12" s="3">
        <f>ELEC!N13</f>
        <v>13877</v>
      </c>
      <c r="D12" s="3">
        <f t="shared" si="0"/>
        <v>11534.999999999447</v>
      </c>
      <c r="E12" s="3">
        <f>ELEC!Q13</f>
        <v>2342.000000000553</v>
      </c>
      <c r="F12" s="3">
        <f>GEN!Z12</f>
        <v>4</v>
      </c>
      <c r="G12" s="3">
        <f>WATER!C15+WATER!H15</f>
        <v>0</v>
      </c>
      <c r="H12" s="3">
        <f>WATER!L15</f>
        <v>5</v>
      </c>
      <c r="I12" s="15">
        <f>WATER!BC15+WATER!BD15+WATER!BE16-Sheet1!G12</f>
        <v>81</v>
      </c>
      <c r="J12" s="9">
        <f>'B5'!A14</f>
        <v>43809</v>
      </c>
    </row>
    <row r="13" spans="1:10">
      <c r="A13" s="3">
        <f>ELEC!T14+ELEC!X14+ELEC!AB14</f>
        <v>5</v>
      </c>
      <c r="B13" s="3">
        <f>ELEC!AF14</f>
        <v>949</v>
      </c>
      <c r="C13" s="3">
        <f>ELEC!N14</f>
        <v>14595</v>
      </c>
      <c r="D13" s="3">
        <f t="shared" si="0"/>
        <v>12687.000000000553</v>
      </c>
      <c r="E13" s="3">
        <f>ELEC!Q14</f>
        <v>1907.999999999447</v>
      </c>
      <c r="F13" s="3">
        <f>GEN!Z13</f>
        <v>3</v>
      </c>
      <c r="G13" s="3">
        <f>WATER!C16+WATER!H16</f>
        <v>0</v>
      </c>
      <c r="H13" s="3">
        <f>WATER!L16</f>
        <v>3</v>
      </c>
      <c r="I13" s="15">
        <f>WATER!BC16+WATER!BD16+WATER!BE17-Sheet1!G13</f>
        <v>31.499999999999972</v>
      </c>
      <c r="J13" s="9">
        <f>'B5'!A15</f>
        <v>43810</v>
      </c>
    </row>
    <row r="14" spans="1:10">
      <c r="A14" s="3">
        <f>ELEC!T15+ELEC!X15+ELEC!AB15</f>
        <v>6</v>
      </c>
      <c r="B14" s="3">
        <f>ELEC!AF15</f>
        <v>1469</v>
      </c>
      <c r="C14" s="3">
        <f>ELEC!N15</f>
        <v>15369</v>
      </c>
      <c r="D14" s="3">
        <f t="shared" si="0"/>
        <v>12004.000000000218</v>
      </c>
      <c r="E14" s="3">
        <f>ELEC!Q15</f>
        <v>3364.9999999997817</v>
      </c>
      <c r="F14" s="3">
        <f>GEN!Z14</f>
        <v>3</v>
      </c>
      <c r="G14" s="3">
        <f>WATER!C17+WATER!H17</f>
        <v>0</v>
      </c>
      <c r="H14" s="3">
        <f>WATER!L17</f>
        <v>7</v>
      </c>
      <c r="I14" s="15">
        <f>WATER!BC17+WATER!BD17+WATER!BE18-Sheet1!G14</f>
        <v>32.999999999999986</v>
      </c>
      <c r="J14" s="9">
        <f>'B5'!A16</f>
        <v>43811</v>
      </c>
    </row>
    <row r="15" spans="1:10">
      <c r="A15" s="3">
        <f>ELEC!T16+ELEC!X16+ELEC!AB16</f>
        <v>9</v>
      </c>
      <c r="B15" s="3">
        <f>ELEC!AF16</f>
        <v>1631</v>
      </c>
      <c r="C15" s="3">
        <f>ELEC!N16</f>
        <v>15707</v>
      </c>
      <c r="D15" s="3">
        <f t="shared" si="0"/>
        <v>13071.999999999782</v>
      </c>
      <c r="E15" s="3">
        <f>ELEC!Q16</f>
        <v>2635.0000000002183</v>
      </c>
      <c r="F15" s="3">
        <f>GEN!Z15</f>
        <v>4</v>
      </c>
      <c r="G15" s="3">
        <f>WATER!C18+WATER!H18</f>
        <v>0</v>
      </c>
      <c r="H15" s="3">
        <f>WATER!L18</f>
        <v>3</v>
      </c>
      <c r="I15" s="15">
        <f>WATER!BC18+WATER!BD18+WATER!BE19-Sheet1!G15</f>
        <v>-7.0999999999999872</v>
      </c>
      <c r="J15" s="9">
        <f>'B5'!A17</f>
        <v>43812</v>
      </c>
    </row>
    <row r="16" spans="1:10">
      <c r="A16" s="3">
        <f>ELEC!T17+ELEC!X17+ELEC!AB17</f>
        <v>5</v>
      </c>
      <c r="B16" s="3">
        <f>ELEC!AF17</f>
        <v>1113</v>
      </c>
      <c r="C16" s="3">
        <f>ELEC!N17</f>
        <v>12865</v>
      </c>
      <c r="D16" s="3">
        <f t="shared" si="0"/>
        <v>9714.0000000001601</v>
      </c>
      <c r="E16" s="3">
        <f>ELEC!Q17</f>
        <v>3150.9999999998399</v>
      </c>
      <c r="F16" s="3">
        <f>GEN!Z16</f>
        <v>4</v>
      </c>
      <c r="G16" s="3">
        <f>WATER!C19+WATER!H19</f>
        <v>0</v>
      </c>
      <c r="H16" s="3">
        <f>WATER!L19</f>
        <v>5</v>
      </c>
      <c r="I16" s="15">
        <f>WATER!BC19+WATER!BD19+WATER!BE20-Sheet1!G16</f>
        <v>151.5</v>
      </c>
      <c r="J16" s="9">
        <f>'B5'!A18</f>
        <v>43813</v>
      </c>
    </row>
    <row r="17" spans="1:10">
      <c r="A17" s="3">
        <f>ELEC!T18+ELEC!X18+ELEC!AB18</f>
        <v>9</v>
      </c>
      <c r="B17" s="3">
        <f>ELEC!AF18</f>
        <v>1830</v>
      </c>
      <c r="C17" s="3">
        <f>ELEC!N18</f>
        <v>15541</v>
      </c>
      <c r="D17" s="3">
        <f t="shared" si="0"/>
        <v>13691.99999999984</v>
      </c>
      <c r="E17" s="3">
        <f>ELEC!Q18</f>
        <v>1849.0000000001601</v>
      </c>
      <c r="F17" s="3">
        <f>GEN!Z17</f>
        <v>4</v>
      </c>
      <c r="G17" s="3">
        <f>WATER!C20+WATER!H20</f>
        <v>295</v>
      </c>
      <c r="H17" s="3">
        <f>WATER!L20</f>
        <v>1</v>
      </c>
      <c r="I17" s="15">
        <f>WATER!BC20+WATER!BD20+WATER!BE21-Sheet1!G17</f>
        <v>-222</v>
      </c>
      <c r="J17" s="9">
        <f>'B5'!A19</f>
        <v>43814</v>
      </c>
    </row>
    <row r="18" spans="1:10">
      <c r="A18" s="3">
        <f>ELEC!T19+ELEC!X19+ELEC!AB19</f>
        <v>11</v>
      </c>
      <c r="B18" s="3">
        <f>ELEC!AF19</f>
        <v>2042</v>
      </c>
      <c r="C18" s="3">
        <f>ELEC!N19</f>
        <v>15509.600000000093</v>
      </c>
      <c r="D18" s="3">
        <f t="shared" si="0"/>
        <v>12296.600000000355</v>
      </c>
      <c r="E18" s="3">
        <f>ELEC!Q19</f>
        <v>3212.9999999997381</v>
      </c>
      <c r="F18" s="3">
        <f>GEN!Z18</f>
        <v>4</v>
      </c>
      <c r="G18" s="3">
        <f>WATER!C21+WATER!H21</f>
        <v>20</v>
      </c>
      <c r="H18" s="3">
        <f>WATER!L21</f>
        <v>1</v>
      </c>
      <c r="I18" s="15">
        <f>WATER!BC21+WATER!BD21+WATER!BE22-Sheet1!G18</f>
        <v>-72.199999999999989</v>
      </c>
      <c r="J18" s="9">
        <f>'B5'!A20</f>
        <v>43815</v>
      </c>
    </row>
    <row r="19" spans="1:10">
      <c r="A19" s="3">
        <f>ELEC!T20+ELEC!X20+ELEC!AB20</f>
        <v>4</v>
      </c>
      <c r="B19" s="3">
        <f>ELEC!AF20</f>
        <v>1601</v>
      </c>
      <c r="C19" s="3">
        <f>ELEC!N20</f>
        <v>15084.399999999907</v>
      </c>
      <c r="D19" s="3">
        <f t="shared" si="0"/>
        <v>12829.399999998888</v>
      </c>
      <c r="E19" s="3">
        <f>ELEC!Q20</f>
        <v>2255.0000000010186</v>
      </c>
      <c r="F19" s="3">
        <f>GEN!Z19</f>
        <v>3</v>
      </c>
      <c r="G19" s="3">
        <f>WATER!C22+WATER!H22</f>
        <v>285</v>
      </c>
      <c r="H19" s="3">
        <f>WATER!L22</f>
        <v>8</v>
      </c>
      <c r="I19" s="15">
        <f>WATER!BC22+WATER!BD22+WATER!BE23-Sheet1!G19</f>
        <v>-420</v>
      </c>
      <c r="J19" s="9">
        <f>'B5'!A21</f>
        <v>43816</v>
      </c>
    </row>
    <row r="20" spans="1:10">
      <c r="A20" s="3">
        <f>ELEC!T21+ELEC!X21+ELEC!AB21</f>
        <v>13</v>
      </c>
      <c r="B20" s="3">
        <f>ELEC!AF21</f>
        <v>1677</v>
      </c>
      <c r="C20" s="3">
        <f>ELEC!N21</f>
        <v>16194</v>
      </c>
      <c r="D20" s="3">
        <f t="shared" si="0"/>
        <v>14101.000000001062</v>
      </c>
      <c r="E20" s="3">
        <f>ELEC!Q21</f>
        <v>2092.9999999989377</v>
      </c>
      <c r="F20" s="3">
        <f>GEN!Z20</f>
        <v>3</v>
      </c>
      <c r="G20" s="3">
        <f>WATER!C23+WATER!H23</f>
        <v>18</v>
      </c>
      <c r="H20" s="3">
        <f>WATER!L23</f>
        <v>6</v>
      </c>
      <c r="I20" s="15">
        <f>WATER!BC23+WATER!BD23+WATER!BE24-Sheet1!G20</f>
        <v>99.2</v>
      </c>
      <c r="J20" s="9">
        <f>'B5'!A22</f>
        <v>43817</v>
      </c>
    </row>
    <row r="21" spans="1:10">
      <c r="A21" s="3">
        <f>ELEC!T22+ELEC!X22+ELEC!AB22</f>
        <v>11</v>
      </c>
      <c r="B21" s="3">
        <f>ELEC!AF22</f>
        <v>2060</v>
      </c>
      <c r="C21" s="3">
        <f>ELEC!N22</f>
        <v>15960</v>
      </c>
      <c r="D21" s="3">
        <f t="shared" si="0"/>
        <v>13285.999999999112</v>
      </c>
      <c r="E21" s="3">
        <f>ELEC!Q22</f>
        <v>2674.0000000008877</v>
      </c>
      <c r="F21" s="3">
        <f>GEN!Z21</f>
        <v>4</v>
      </c>
      <c r="G21" s="3">
        <f>WATER!C24+WATER!H24</f>
        <v>306</v>
      </c>
      <c r="H21" s="3">
        <f>WATER!L24</f>
        <v>4</v>
      </c>
      <c r="I21" s="15">
        <f>WATER!BC24+WATER!BD24+WATER!BE25-Sheet1!G21</f>
        <v>-393.20000000000005</v>
      </c>
      <c r="J21" s="9">
        <f>'B5'!A23</f>
        <v>43818</v>
      </c>
    </row>
    <row r="22" spans="1:10">
      <c r="A22" s="3">
        <f>ELEC!T23+ELEC!X23+ELEC!AB23</f>
        <v>6</v>
      </c>
      <c r="B22" s="3">
        <f>ELEC!AF23</f>
        <v>1416</v>
      </c>
      <c r="C22" s="3">
        <f>ELEC!N23</f>
        <v>14265.200000000186</v>
      </c>
      <c r="D22" s="3">
        <f t="shared" si="0"/>
        <v>11800.200000000041</v>
      </c>
      <c r="E22" s="3">
        <f>ELEC!Q23</f>
        <v>2465.0000000001455</v>
      </c>
      <c r="F22" s="3">
        <f>GEN!Z22</f>
        <v>3</v>
      </c>
      <c r="G22" s="3">
        <f>WATER!C25+WATER!H25</f>
        <v>0</v>
      </c>
      <c r="H22" s="3">
        <f>WATER!L25</f>
        <v>11</v>
      </c>
      <c r="I22" s="15">
        <f>WATER!BC25+WATER!BD25+WATER!BE26-Sheet1!G22</f>
        <v>-9.0000000000000142</v>
      </c>
      <c r="J22" s="9">
        <f>'B5'!A24</f>
        <v>43819</v>
      </c>
    </row>
    <row r="23" spans="1:10">
      <c r="A23" s="3">
        <f>ELEC!T24+ELEC!X24+ELEC!AB24</f>
        <v>6</v>
      </c>
      <c r="B23" s="3">
        <f>ELEC!AF24</f>
        <v>1281</v>
      </c>
      <c r="C23" s="3">
        <f>ELEC!N24</f>
        <v>15174.799999999814</v>
      </c>
      <c r="D23" s="3">
        <f t="shared" si="0"/>
        <v>13160.8000000006</v>
      </c>
      <c r="E23" s="3">
        <f>ELEC!Q24</f>
        <v>2013.9999999992142</v>
      </c>
      <c r="F23" s="3">
        <f>GEN!Z23</f>
        <v>3.8299999999999272</v>
      </c>
      <c r="G23" s="3">
        <f>WATER!C26+WATER!H26</f>
        <v>234</v>
      </c>
      <c r="H23" s="3">
        <f>WATER!L26</f>
        <v>3</v>
      </c>
      <c r="I23" s="15">
        <f>WATER!BC26+WATER!BD26+WATER!BE27-Sheet1!G23</f>
        <v>-415.59999999999997</v>
      </c>
      <c r="J23" s="9">
        <f>'B5'!A25</f>
        <v>43820</v>
      </c>
    </row>
    <row r="24" spans="1:10">
      <c r="A24" s="3">
        <f>ELEC!T25+ELEC!X25+ELEC!AB25</f>
        <v>12</v>
      </c>
      <c r="B24" s="3">
        <f>ELEC!AF25</f>
        <v>2622</v>
      </c>
      <c r="C24" s="3">
        <f>ELEC!N25</f>
        <v>17513.200000000186</v>
      </c>
      <c r="D24" s="3">
        <f t="shared" si="0"/>
        <v>14211.200000000506</v>
      </c>
      <c r="E24" s="3">
        <f>ELEC!Q25</f>
        <v>3301.9999999996799</v>
      </c>
      <c r="F24" s="3">
        <f>GEN!Z24</f>
        <v>2.680000000000291</v>
      </c>
      <c r="G24" s="3">
        <f>WATER!C27+WATER!H27</f>
        <v>0</v>
      </c>
      <c r="H24" s="3">
        <f>WATER!L27</f>
        <v>8</v>
      </c>
      <c r="I24" s="15">
        <f>WATER!BC27+WATER!BD27+WATER!BE28-Sheet1!G24</f>
        <v>57.399999999999991</v>
      </c>
      <c r="J24" s="9">
        <f>'B5'!A26</f>
        <v>43821</v>
      </c>
    </row>
    <row r="25" spans="1:10">
      <c r="A25" s="3">
        <f>ELEC!T26+ELEC!X26+ELEC!AB26</f>
        <v>7</v>
      </c>
      <c r="B25" s="3">
        <f>ELEC!AF26</f>
        <v>1260</v>
      </c>
      <c r="C25" s="3">
        <f>ELEC!N26</f>
        <v>15392.799999999814</v>
      </c>
      <c r="D25" s="3">
        <f t="shared" si="0"/>
        <v>13408.799999999435</v>
      </c>
      <c r="E25" s="3">
        <f>ELEC!Q26</f>
        <v>1984.0000000003783</v>
      </c>
      <c r="F25" s="3">
        <f>GEN!Z25</f>
        <v>4.4899999999997817</v>
      </c>
      <c r="G25" s="3">
        <f>WATER!C28+WATER!H28</f>
        <v>262</v>
      </c>
      <c r="H25" s="3">
        <f>WATER!L28</f>
        <v>3</v>
      </c>
      <c r="I25" s="15">
        <f>WATER!BC28+WATER!BD28+WATER!BE29-Sheet1!G25</f>
        <v>-371.1</v>
      </c>
      <c r="J25" s="9">
        <f>'B5'!A27</f>
        <v>43822</v>
      </c>
    </row>
    <row r="26" spans="1:10">
      <c r="A26" s="3">
        <f>ELEC!T27+ELEC!X27+ELEC!AB27</f>
        <v>6</v>
      </c>
      <c r="B26" s="3">
        <f>ELEC!AF27</f>
        <v>973</v>
      </c>
      <c r="C26" s="3">
        <f>ELEC!N27</f>
        <v>13694</v>
      </c>
      <c r="D26" s="3">
        <f t="shared" si="0"/>
        <v>10694</v>
      </c>
      <c r="E26" s="3">
        <f>ELEC!Q27</f>
        <v>3000</v>
      </c>
      <c r="F26" s="3">
        <f>GEN!Z26</f>
        <v>3.2099999999991269</v>
      </c>
      <c r="G26" s="3">
        <f>WATER!C29+WATER!H29</f>
        <v>0</v>
      </c>
      <c r="H26" s="3">
        <f>WATER!L29</f>
        <v>9</v>
      </c>
      <c r="I26" s="15">
        <f>WATER!BC29+WATER!BD29+WATER!BE30-Sheet1!G26</f>
        <v>80.000000000000028</v>
      </c>
      <c r="J26" s="9">
        <f>'B5'!A28</f>
        <v>43823</v>
      </c>
    </row>
    <row r="27" spans="1:10">
      <c r="A27" s="3">
        <f>ELEC!T28+ELEC!X28+ELEC!AB28</f>
        <v>4</v>
      </c>
      <c r="B27" s="3">
        <f>ELEC!AF28</f>
        <v>839</v>
      </c>
      <c r="C27" s="3">
        <f>ELEC!N28</f>
        <v>13820</v>
      </c>
      <c r="D27" s="3">
        <f t="shared" si="0"/>
        <v>10643.00000000032</v>
      </c>
      <c r="E27" s="3">
        <f>ELEC!Q28</f>
        <v>3176.9999999996799</v>
      </c>
      <c r="F27" s="3">
        <f>GEN!Z27</f>
        <v>4.1100000000005821</v>
      </c>
      <c r="G27" s="3">
        <f>WATER!C30+WATER!H30</f>
        <v>198</v>
      </c>
      <c r="H27" s="3">
        <f>WATER!L30</f>
        <v>4</v>
      </c>
      <c r="I27" s="15">
        <f>WATER!BC30+WATER!BD30+WATER!BE31-Sheet1!G27</f>
        <v>-266.60000000000002</v>
      </c>
      <c r="J27" s="9">
        <f>'B5'!A29</f>
        <v>43824</v>
      </c>
    </row>
    <row r="28" spans="1:10">
      <c r="A28" s="3">
        <f>ELEC!T29+ELEC!X29+ELEC!AB29</f>
        <v>7</v>
      </c>
      <c r="B28" s="3">
        <f>ELEC!AF29</f>
        <v>1438</v>
      </c>
      <c r="C28" s="3">
        <f>ELEC!N29</f>
        <v>16588</v>
      </c>
      <c r="D28" s="3">
        <f t="shared" si="0"/>
        <v>12764.99999999968</v>
      </c>
      <c r="E28" s="3">
        <f>ELEC!Q29</f>
        <v>3823.0000000003201</v>
      </c>
      <c r="F28" s="3">
        <f>GEN!Z28</f>
        <v>4.680000000000291</v>
      </c>
      <c r="G28" s="3">
        <f>WATER!C31+WATER!H31</f>
        <v>0</v>
      </c>
      <c r="H28" s="3">
        <f>WATER!L31</f>
        <v>2</v>
      </c>
      <c r="I28" s="15">
        <f>WATER!BC31+WATER!BD31+WATER!BE32-Sheet1!G28</f>
        <v>25</v>
      </c>
      <c r="J28" s="9">
        <f>'B5'!A30</f>
        <v>43825</v>
      </c>
    </row>
    <row r="29" spans="1:10">
      <c r="A29" s="3">
        <f>ELEC!T30+ELEC!X30+ELEC!AB30</f>
        <v>9</v>
      </c>
      <c r="B29" s="3">
        <f>ELEC!AF30</f>
        <v>1388</v>
      </c>
      <c r="C29" s="3">
        <f>ELEC!N30</f>
        <v>15682</v>
      </c>
      <c r="D29" s="3">
        <f t="shared" si="0"/>
        <v>12682</v>
      </c>
      <c r="E29" s="3">
        <f>ELEC!Q30</f>
        <v>3000</v>
      </c>
      <c r="F29" s="3">
        <f>GEN!Z29</f>
        <v>8.3500000000003638</v>
      </c>
      <c r="G29" s="3">
        <f>WATER!C32+WATER!H32</f>
        <v>335</v>
      </c>
      <c r="H29" s="3">
        <f>WATER!L32</f>
        <v>0</v>
      </c>
      <c r="I29" s="15">
        <f>WATER!BC32+WATER!BD32+WATER!BE33-Sheet1!G29</f>
        <v>-404.90000000000003</v>
      </c>
      <c r="J29" s="9">
        <f>'B5'!A31</f>
        <v>43826</v>
      </c>
    </row>
    <row r="30" spans="1:10">
      <c r="A30" s="3" t="e">
        <f>ELEC!T31+ELEC!X31+ELEC!#REF!</f>
        <v>#REF!</v>
      </c>
      <c r="B30" s="3">
        <f>ELEC!AF31</f>
        <v>1680</v>
      </c>
      <c r="C30" s="3">
        <f>ELEC!N31</f>
        <v>17673</v>
      </c>
      <c r="D30" s="3">
        <f t="shared" si="0"/>
        <v>13995.000000000116</v>
      </c>
      <c r="E30" s="3">
        <f>ELEC!Q31</f>
        <v>3677.9999999998836</v>
      </c>
      <c r="F30" s="3">
        <f>GEN!Z30</f>
        <v>4</v>
      </c>
      <c r="G30" s="3">
        <f>WATER!C33+WATER!H33</f>
        <v>0</v>
      </c>
      <c r="H30" s="3">
        <f>WATER!L33</f>
        <v>11</v>
      </c>
      <c r="I30" s="15">
        <f>WATER!BC33+WATER!BD33+WATER!BE34-Sheet1!G30</f>
        <v>16.099999999999994</v>
      </c>
      <c r="J30" s="9">
        <f>'B5'!A32</f>
        <v>43827</v>
      </c>
    </row>
    <row r="31" spans="1:10">
      <c r="A31" s="3">
        <f>ELEC!T32+ELEC!X32+ELEC!AB31</f>
        <v>13</v>
      </c>
      <c r="B31" s="3">
        <f>ELEC!AF32</f>
        <v>1902</v>
      </c>
      <c r="C31" s="3">
        <f>ELEC!N32</f>
        <v>18161</v>
      </c>
      <c r="D31" s="3">
        <f>C31-E31</f>
        <v>15133.999999999956</v>
      </c>
      <c r="E31" s="3">
        <f>ELEC!Q32</f>
        <v>3027.0000000000437</v>
      </c>
      <c r="F31" s="3">
        <f>GEN!Z31</f>
        <v>4.6499999999996362</v>
      </c>
      <c r="G31" s="3">
        <f>WATER!C34+WATER!H34</f>
        <v>269</v>
      </c>
      <c r="H31" s="3">
        <f>WATER!L34</f>
        <v>4</v>
      </c>
      <c r="I31" s="15">
        <f>WATER!BC34+WATER!BD34+WATER!BE35-Sheet1!G31</f>
        <v>-358.9</v>
      </c>
      <c r="J31" s="9">
        <f>'B5'!A33</f>
        <v>43828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8"/>
      <c r="B1" s="655" t="s">
        <v>119</v>
      </c>
      <c r="C1" s="655" t="s">
        <v>118</v>
      </c>
      <c r="D1" s="660" t="s">
        <v>113</v>
      </c>
      <c r="E1" s="660" t="s">
        <v>114</v>
      </c>
      <c r="F1" s="661" t="s">
        <v>120</v>
      </c>
      <c r="G1" s="662" t="s">
        <v>75</v>
      </c>
      <c r="H1" s="663" t="s">
        <v>115</v>
      </c>
      <c r="I1" s="664" t="s">
        <v>116</v>
      </c>
      <c r="J1" s="663" t="s">
        <v>117</v>
      </c>
      <c r="K1" s="657" t="s">
        <v>121</v>
      </c>
      <c r="L1" s="657" t="s">
        <v>122</v>
      </c>
      <c r="M1" s="657" t="s">
        <v>123</v>
      </c>
      <c r="N1" s="657" t="s">
        <v>124</v>
      </c>
    </row>
    <row r="2" spans="1:14">
      <c r="A2" s="659"/>
      <c r="B2" s="656"/>
      <c r="C2" s="656"/>
      <c r="D2" s="660"/>
      <c r="E2" s="660"/>
      <c r="F2" s="661"/>
      <c r="G2" s="662"/>
      <c r="H2" s="663"/>
      <c r="I2" s="665"/>
      <c r="J2" s="663"/>
      <c r="K2" s="657"/>
      <c r="L2" s="657"/>
      <c r="M2" s="657"/>
      <c r="N2" s="657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70">
        <v>810</v>
      </c>
      <c r="C4" s="270">
        <v>-606.10000000000582</v>
      </c>
      <c r="D4" s="270">
        <v>1420.5021097047013</v>
      </c>
      <c r="E4" s="270">
        <v>1624.4021097046955</v>
      </c>
      <c r="F4" s="270">
        <v>106</v>
      </c>
      <c r="G4" s="270">
        <v>-58.399999999999977</v>
      </c>
      <c r="H4" s="270">
        <v>6284</v>
      </c>
      <c r="I4" s="270">
        <v>2398.9999999994325</v>
      </c>
      <c r="J4" s="270">
        <v>23932.000000000568</v>
      </c>
      <c r="K4" s="270">
        <v>0</v>
      </c>
      <c r="L4" s="270">
        <v>0</v>
      </c>
      <c r="M4" s="270">
        <v>0</v>
      </c>
      <c r="N4" s="270">
        <v>0</v>
      </c>
    </row>
    <row r="5" spans="1:14">
      <c r="A5" s="63">
        <f>'B5'!A5</f>
        <v>43800</v>
      </c>
      <c r="B5" s="77">
        <f>'B5'!V5</f>
        <v>229</v>
      </c>
      <c r="C5" s="77">
        <f>'B5'!AH5</f>
        <v>0</v>
      </c>
      <c r="D5" s="77">
        <f>GEN!AI3</f>
        <v>651.69620253191908</v>
      </c>
      <c r="E5" s="249">
        <f t="shared" ref="E5:E33" si="0">B5+C5+D5</f>
        <v>880.69620253191908</v>
      </c>
      <c r="F5" s="76">
        <f>WATER!L5</f>
        <v>4</v>
      </c>
      <c r="G5" s="79">
        <f>WATER!BG5</f>
        <v>-7.1000000000000227</v>
      </c>
      <c r="H5" s="80">
        <f>ELEC!AF3</f>
        <v>1780</v>
      </c>
      <c r="I5" s="80">
        <f>ELEC!Q3</f>
        <v>2532.0000000010623</v>
      </c>
      <c r="J5" s="80">
        <f>ELEC!R3</f>
        <v>11808.199999999124</v>
      </c>
      <c r="K5" s="81"/>
      <c r="L5" s="3"/>
      <c r="M5" s="3"/>
      <c r="N5" s="3"/>
    </row>
    <row r="6" spans="1:14">
      <c r="A6" s="63">
        <f>'B5'!A6</f>
        <v>43801</v>
      </c>
      <c r="B6" s="77">
        <f>'B5'!V6</f>
        <v>215</v>
      </c>
      <c r="C6" s="77">
        <f>'B5'!AH6</f>
        <v>114</v>
      </c>
      <c r="D6" s="77">
        <f>GEN!AI4</f>
        <v>558.00843881847925</v>
      </c>
      <c r="E6" s="249">
        <f t="shared" si="0"/>
        <v>887.00843881847925</v>
      </c>
      <c r="F6" s="76">
        <f>WATER!L6</f>
        <v>0</v>
      </c>
      <c r="G6" s="79">
        <f>WATER!BG6</f>
        <v>29.100000000000023</v>
      </c>
      <c r="H6" s="80">
        <f>ELEC!AF4</f>
        <v>819</v>
      </c>
      <c r="I6" s="80">
        <f>ELEC!Q4</f>
        <v>2167.9999999996653</v>
      </c>
      <c r="J6" s="80">
        <f>ELEC!R4</f>
        <v>12672.000000000335</v>
      </c>
      <c r="K6" s="3"/>
      <c r="L6" s="3"/>
      <c r="M6" s="3"/>
      <c r="N6" s="3"/>
    </row>
    <row r="7" spans="1:14">
      <c r="A7" s="63">
        <f>'B5'!A7</f>
        <v>43802</v>
      </c>
      <c r="B7" s="77">
        <f>'B5'!V7</f>
        <v>262</v>
      </c>
      <c r="C7" s="77">
        <f>'B5'!AH7</f>
        <v>362.70000000001164</v>
      </c>
      <c r="D7" s="77">
        <f>GEN!AI5</f>
        <v>514.76793248945148</v>
      </c>
      <c r="E7" s="249">
        <f t="shared" si="0"/>
        <v>1139.4679324894632</v>
      </c>
      <c r="F7" s="76">
        <f>WATER!L7</f>
        <v>4</v>
      </c>
      <c r="G7" s="79">
        <f>WATER!BG7</f>
        <v>-46.800000000000018</v>
      </c>
      <c r="H7" s="80">
        <f>ELEC!AF5</f>
        <v>2227</v>
      </c>
      <c r="I7" s="80">
        <f>ELEC!Q5</f>
        <v>2000</v>
      </c>
      <c r="J7" s="80">
        <f>ELEC!R5</f>
        <v>13111</v>
      </c>
      <c r="K7" s="3"/>
      <c r="L7" s="3"/>
      <c r="M7" s="3"/>
      <c r="N7" s="3"/>
    </row>
    <row r="8" spans="1:14">
      <c r="A8" s="63">
        <f>'B5'!A8</f>
        <v>43803</v>
      </c>
      <c r="B8" s="77">
        <f>'B5'!V8</f>
        <v>449</v>
      </c>
      <c r="C8" s="77">
        <f>'B5'!AH8</f>
        <v>0.89999999999417923</v>
      </c>
      <c r="D8" s="77">
        <f>GEN!AI6</f>
        <v>661.99156118146459</v>
      </c>
      <c r="E8" s="249">
        <f t="shared" si="0"/>
        <v>1111.8915611814587</v>
      </c>
      <c r="F8" s="76">
        <f>WATER!L8</f>
        <v>3</v>
      </c>
      <c r="G8" s="79">
        <f>WATER!BG8</f>
        <v>59.400000000000006</v>
      </c>
      <c r="H8" s="80">
        <f>ELEC!AF6</f>
        <v>1417</v>
      </c>
      <c r="I8" s="80">
        <f>ELEC!Q6</f>
        <v>2572.0000000001164</v>
      </c>
      <c r="J8" s="80">
        <f>ELEC!R6</f>
        <v>13166.999999999884</v>
      </c>
      <c r="K8" s="3"/>
      <c r="L8" s="3"/>
      <c r="M8" s="3"/>
      <c r="N8" s="3"/>
    </row>
    <row r="9" spans="1:14">
      <c r="A9" s="63">
        <f>'B5'!A9</f>
        <v>43804</v>
      </c>
      <c r="B9" s="77">
        <f>'B5'!V9</f>
        <v>498</v>
      </c>
      <c r="C9" s="77">
        <f>'B5'!AH9</f>
        <v>0</v>
      </c>
      <c r="D9" s="77">
        <f>GEN!AI7</f>
        <v>642.9451476792201</v>
      </c>
      <c r="E9" s="249">
        <f t="shared" si="0"/>
        <v>1140.9451476792201</v>
      </c>
      <c r="F9" s="76">
        <f>WATER!L9</f>
        <v>2</v>
      </c>
      <c r="G9" s="79">
        <f>WATER!BG9</f>
        <v>-60.3</v>
      </c>
      <c r="H9" s="80">
        <f>ELEC!AF7</f>
        <v>1474</v>
      </c>
      <c r="I9" s="80">
        <f>ELEC!Q7</f>
        <v>2497.9999999995925</v>
      </c>
      <c r="J9" s="80">
        <f>ELEC!R7</f>
        <v>11459.000000000786</v>
      </c>
      <c r="K9" s="3"/>
      <c r="L9" s="3"/>
      <c r="M9" s="3"/>
      <c r="N9" s="3"/>
    </row>
    <row r="10" spans="1:14">
      <c r="A10" s="63">
        <f>'B5'!A10</f>
        <v>43805</v>
      </c>
      <c r="B10" s="77">
        <f>'B5'!V10</f>
        <v>499</v>
      </c>
      <c r="C10" s="77">
        <f>'B5'!AH10</f>
        <v>206.80000000000291</v>
      </c>
      <c r="D10" s="77">
        <f>GEN!AI8</f>
        <v>786.56540084400922</v>
      </c>
      <c r="E10" s="249">
        <f t="shared" si="0"/>
        <v>1492.3654008440121</v>
      </c>
      <c r="F10" s="76">
        <f>WATER!L10</f>
        <v>4</v>
      </c>
      <c r="G10" s="79">
        <f>WATER!BG10</f>
        <v>57.199999999999989</v>
      </c>
      <c r="H10" s="80">
        <f>ELEC!AF8</f>
        <v>1055</v>
      </c>
      <c r="I10" s="80">
        <f>ELEC!Q8</f>
        <v>3056.0000000004948</v>
      </c>
      <c r="J10" s="80">
        <f>ELEC!R8</f>
        <v>10954.399999999412</v>
      </c>
      <c r="K10" s="3"/>
      <c r="L10" s="3"/>
      <c r="M10" s="3"/>
      <c r="N10" s="3"/>
    </row>
    <row r="11" spans="1:14">
      <c r="A11" s="63">
        <f>'B5'!A11</f>
        <v>43806</v>
      </c>
      <c r="B11" s="77">
        <f>'B5'!V11</f>
        <v>583</v>
      </c>
      <c r="C11" s="77">
        <f>'B5'!AH11</f>
        <v>377.30000000000291</v>
      </c>
      <c r="D11" s="77">
        <f>GEN!AI9</f>
        <v>482.33755274256362</v>
      </c>
      <c r="E11" s="249">
        <f t="shared" si="0"/>
        <v>1442.6375527425666</v>
      </c>
      <c r="F11" s="76">
        <f>WATER!L11</f>
        <v>9</v>
      </c>
      <c r="G11" s="79">
        <f>WATER!BG11</f>
        <v>-73.200000000000017</v>
      </c>
      <c r="H11" s="80">
        <f>ELEC!AF9</f>
        <v>1806</v>
      </c>
      <c r="I11" s="80">
        <f>ELEC!Q9</f>
        <v>1873.9999999997963</v>
      </c>
      <c r="J11" s="80">
        <f>ELEC!R9</f>
        <v>13411.600000000297</v>
      </c>
      <c r="K11" s="3"/>
      <c r="L11" s="3"/>
      <c r="M11" s="3"/>
      <c r="N11" s="3"/>
    </row>
    <row r="12" spans="1:14">
      <c r="A12" s="63">
        <f>'B5'!A12</f>
        <v>43807</v>
      </c>
      <c r="B12" s="77">
        <f>'B5'!V12</f>
        <v>642</v>
      </c>
      <c r="C12" s="77">
        <f>'B5'!AH12</f>
        <v>0</v>
      </c>
      <c r="D12" s="77">
        <f>GEN!AI10</f>
        <v>514.76793248945148</v>
      </c>
      <c r="E12" s="249">
        <f t="shared" si="0"/>
        <v>1156.7679324894516</v>
      </c>
      <c r="F12" s="76">
        <f>WATER!L12</f>
        <v>3</v>
      </c>
      <c r="G12" s="79">
        <f>WATER!BG12</f>
        <v>5.7000000000000171</v>
      </c>
      <c r="H12" s="80">
        <f>ELEC!AF10</f>
        <v>925</v>
      </c>
      <c r="I12" s="80">
        <f>ELEC!Q10</f>
        <v>2000</v>
      </c>
      <c r="J12" s="80">
        <f>ELEC!R10</f>
        <v>14664</v>
      </c>
      <c r="K12" s="3"/>
      <c r="L12" s="3"/>
      <c r="M12" s="3"/>
      <c r="N12" s="3"/>
    </row>
    <row r="13" spans="1:14">
      <c r="A13" s="63">
        <f>'B5'!A13</f>
        <v>43808</v>
      </c>
      <c r="B13" s="77">
        <f>'B5'!V13</f>
        <v>624</v>
      </c>
      <c r="C13" s="77">
        <f>'B5'!AH13</f>
        <v>0</v>
      </c>
      <c r="D13" s="77">
        <f>GEN!AI11</f>
        <v>705.74683544308675</v>
      </c>
      <c r="E13" s="249">
        <f t="shared" si="0"/>
        <v>1329.7468354430866</v>
      </c>
      <c r="F13" s="76">
        <f>WATER!L13</f>
        <v>3</v>
      </c>
      <c r="G13" s="79">
        <f>WATER!BG13</f>
        <v>-7.7000000000000171</v>
      </c>
      <c r="H13" s="80">
        <f>ELEC!AF11</f>
        <v>1200</v>
      </c>
      <c r="I13" s="80">
        <f>ELEC!Q11</f>
        <v>2742.0000000001892</v>
      </c>
      <c r="J13" s="80">
        <f>ELEC!R11</f>
        <v>10772.999999999811</v>
      </c>
      <c r="K13" s="3"/>
      <c r="L13" s="3"/>
      <c r="M13" s="3"/>
      <c r="N13" s="3"/>
    </row>
    <row r="14" spans="1:14">
      <c r="A14" s="63">
        <f>'B5'!A14</f>
        <v>43809</v>
      </c>
      <c r="B14" s="77">
        <f>'B5'!V14</f>
        <v>672</v>
      </c>
      <c r="C14" s="77">
        <f>'B5'!AH14</f>
        <v>90.19999999999709</v>
      </c>
      <c r="D14" s="77">
        <f>GEN!AI12</f>
        <v>516.82700421936067</v>
      </c>
      <c r="E14" s="249">
        <f t="shared" si="0"/>
        <v>1279.0270042193579</v>
      </c>
      <c r="F14" s="76">
        <f>WATER!L14</f>
        <v>3</v>
      </c>
      <c r="G14" s="79">
        <f>WATER!BG14</f>
        <v>105.00000000000001</v>
      </c>
      <c r="H14" s="80">
        <f>ELEC!AF12</f>
        <v>1354</v>
      </c>
      <c r="I14" s="80">
        <f>ELEC!Q12</f>
        <v>2007.9999999998108</v>
      </c>
      <c r="J14" s="80">
        <f>ELEC!R12</f>
        <v>13457.000000000189</v>
      </c>
      <c r="K14" s="3"/>
      <c r="L14" s="3"/>
      <c r="M14" s="3"/>
      <c r="N14" s="3"/>
    </row>
    <row r="15" spans="1:14">
      <c r="A15" s="63">
        <f>'B5'!A15</f>
        <v>43810</v>
      </c>
      <c r="B15" s="77">
        <f>'B5'!V15</f>
        <v>428</v>
      </c>
      <c r="C15" s="77">
        <f>'B5'!AH15</f>
        <v>410.19999999999709</v>
      </c>
      <c r="D15" s="77">
        <f>GEN!AI13</f>
        <v>602.79324894529009</v>
      </c>
      <c r="E15" s="249">
        <f t="shared" si="0"/>
        <v>1440.9932489452872</v>
      </c>
      <c r="F15" s="76">
        <f>WATER!L15</f>
        <v>5</v>
      </c>
      <c r="G15" s="79">
        <f>WATER!BG15</f>
        <v>-29.79999999999999</v>
      </c>
      <c r="H15" s="80">
        <f>ELEC!AF13</f>
        <v>1615</v>
      </c>
      <c r="I15" s="80">
        <f>ELEC!Q13</f>
        <v>2342.000000000553</v>
      </c>
      <c r="J15" s="80">
        <f>ELEC!R13</f>
        <v>11534.999999999447</v>
      </c>
      <c r="K15" s="3"/>
      <c r="L15" s="3"/>
      <c r="M15" s="3"/>
      <c r="N15" s="3"/>
    </row>
    <row r="16" spans="1:14">
      <c r="A16" s="63">
        <f>'B5'!A16</f>
        <v>43811</v>
      </c>
      <c r="B16" s="77">
        <f>'B5'!V16</f>
        <v>661</v>
      </c>
      <c r="C16" s="77">
        <f>'B5'!AH16</f>
        <v>0</v>
      </c>
      <c r="D16" s="77">
        <f>GEN!AI14</f>
        <v>491.08860759479444</v>
      </c>
      <c r="E16" s="249">
        <f t="shared" si="0"/>
        <v>1152.0886075947944</v>
      </c>
      <c r="F16" s="76">
        <f>WATER!L16</f>
        <v>3</v>
      </c>
      <c r="G16" s="79">
        <f>WATER!BG16</f>
        <v>103.6</v>
      </c>
      <c r="H16" s="80">
        <f>ELEC!AF14</f>
        <v>949</v>
      </c>
      <c r="I16" s="80">
        <f>ELEC!Q14</f>
        <v>1907.999999999447</v>
      </c>
      <c r="J16" s="80">
        <f>ELEC!R14</f>
        <v>12687.000000000553</v>
      </c>
      <c r="K16" s="3"/>
      <c r="L16" s="3"/>
      <c r="M16" s="3"/>
      <c r="N16" s="3"/>
    </row>
    <row r="17" spans="1:14">
      <c r="A17" s="63">
        <f>'B5'!A17</f>
        <v>43812</v>
      </c>
      <c r="B17" s="77">
        <f>'B5'!V17</f>
        <v>867</v>
      </c>
      <c r="C17" s="77">
        <f>'B5'!AH17</f>
        <v>0</v>
      </c>
      <c r="D17" s="77">
        <f>GEN!AI15</f>
        <v>866.09704641344604</v>
      </c>
      <c r="E17" s="249">
        <f t="shared" si="0"/>
        <v>1733.0970464134462</v>
      </c>
      <c r="F17" s="76">
        <f>WATER!L17</f>
        <v>7</v>
      </c>
      <c r="G17" s="79">
        <f>WATER!BG17</f>
        <v>-58.600000000000023</v>
      </c>
      <c r="H17" s="80">
        <f>ELEC!AF15</f>
        <v>1469</v>
      </c>
      <c r="I17" s="80">
        <f>ELEC!Q15</f>
        <v>3364.9999999997817</v>
      </c>
      <c r="J17" s="80">
        <f>ELEC!R15</f>
        <v>12004.000000000218</v>
      </c>
      <c r="K17" s="3"/>
      <c r="L17" s="3"/>
      <c r="M17" s="3"/>
      <c r="N17" s="3"/>
    </row>
    <row r="18" spans="1:14">
      <c r="A18" s="63">
        <f>'B5'!A18</f>
        <v>43813</v>
      </c>
      <c r="B18" s="77">
        <f>'B5'!V18</f>
        <v>794</v>
      </c>
      <c r="C18" s="77">
        <f>'B5'!AH18</f>
        <v>124.40000000000873</v>
      </c>
      <c r="D18" s="77">
        <f>GEN!AI16</f>
        <v>678.20675105490852</v>
      </c>
      <c r="E18" s="249">
        <f t="shared" si="0"/>
        <v>1596.6067510549174</v>
      </c>
      <c r="F18" s="76">
        <f>WATER!L18</f>
        <v>3</v>
      </c>
      <c r="G18" s="79">
        <f>WATER!BG18</f>
        <v>91.600000000000009</v>
      </c>
      <c r="H18" s="80">
        <f>ELEC!AF16</f>
        <v>1631</v>
      </c>
      <c r="I18" s="80">
        <f>ELEC!Q16</f>
        <v>2635.0000000002183</v>
      </c>
      <c r="J18" s="80">
        <f>ELEC!R16</f>
        <v>13071.999999999782</v>
      </c>
      <c r="K18" s="3"/>
      <c r="L18" s="3"/>
      <c r="M18" s="3"/>
      <c r="N18" s="3"/>
    </row>
    <row r="19" spans="1:14">
      <c r="A19" s="63">
        <f>'B5'!A19</f>
        <v>43814</v>
      </c>
      <c r="B19" s="77">
        <f>'B5'!V19</f>
        <v>758</v>
      </c>
      <c r="C19" s="77">
        <f>'B5'!AH19</f>
        <v>405.30000000000291</v>
      </c>
      <c r="D19" s="77">
        <f>GEN!AI17</f>
        <v>811.01687763708969</v>
      </c>
      <c r="E19" s="249">
        <f t="shared" si="0"/>
        <v>1974.3168776370926</v>
      </c>
      <c r="F19" s="76">
        <f>WATER!L19</f>
        <v>5</v>
      </c>
      <c r="G19" s="79">
        <f>WATER!BG19</f>
        <v>-60.899999999999984</v>
      </c>
      <c r="H19" s="80">
        <f>ELEC!AF17</f>
        <v>1113</v>
      </c>
      <c r="I19" s="80">
        <f>ELEC!Q17</f>
        <v>3150.9999999998399</v>
      </c>
      <c r="J19" s="80">
        <f>ELEC!R17</f>
        <v>9714.0000000001601</v>
      </c>
      <c r="K19" s="3"/>
      <c r="L19" s="3"/>
      <c r="M19" s="3"/>
      <c r="N19" s="3"/>
    </row>
    <row r="20" spans="1:14">
      <c r="A20" s="63">
        <f>'B5'!A20</f>
        <v>43815</v>
      </c>
      <c r="B20" s="77">
        <f>'B5'!V20</f>
        <v>840</v>
      </c>
      <c r="C20" s="77">
        <f>'B5'!AH20</f>
        <v>0</v>
      </c>
      <c r="D20" s="77">
        <f>GEN!AI18</f>
        <v>475.90295358653913</v>
      </c>
      <c r="E20" s="249">
        <f t="shared" si="0"/>
        <v>1315.9029535865391</v>
      </c>
      <c r="F20" s="76">
        <f>WATER!L20</f>
        <v>1</v>
      </c>
      <c r="G20" s="79">
        <f>WATER!BG20</f>
        <v>156.6</v>
      </c>
      <c r="H20" s="80">
        <f>ELEC!AF18</f>
        <v>1830</v>
      </c>
      <c r="I20" s="80">
        <f>ELEC!Q18</f>
        <v>1849.0000000001601</v>
      </c>
      <c r="J20" s="80">
        <f>ELEC!R18</f>
        <v>13691.99999999984</v>
      </c>
      <c r="K20" s="3"/>
      <c r="L20" s="3"/>
      <c r="M20" s="3"/>
      <c r="N20" s="3"/>
    </row>
    <row r="21" spans="1:14">
      <c r="A21" s="63">
        <f>'B5'!A21</f>
        <v>43816</v>
      </c>
      <c r="B21" s="77">
        <f>'B5'!V21</f>
        <v>787</v>
      </c>
      <c r="C21" s="77">
        <f>'B5'!AH21</f>
        <v>0</v>
      </c>
      <c r="D21" s="77">
        <f>GEN!AI19</f>
        <v>826.97468354423643</v>
      </c>
      <c r="E21" s="249">
        <f t="shared" si="0"/>
        <v>1613.9746835442365</v>
      </c>
      <c r="F21" s="76">
        <f>WATER!L21</f>
        <v>1</v>
      </c>
      <c r="G21" s="79">
        <f>WATER!BG21</f>
        <v>-130.39999999999998</v>
      </c>
      <c r="H21" s="80">
        <f>ELEC!AF19</f>
        <v>2042</v>
      </c>
      <c r="I21" s="80">
        <f>ELEC!Q19</f>
        <v>3212.9999999997381</v>
      </c>
      <c r="J21" s="80">
        <f>ELEC!R19</f>
        <v>12296.600000000355</v>
      </c>
      <c r="K21" s="3"/>
      <c r="L21" s="3"/>
      <c r="M21" s="3"/>
      <c r="N21" s="3"/>
    </row>
    <row r="22" spans="1:14">
      <c r="A22" s="63">
        <f>'B5'!A22</f>
        <v>43817</v>
      </c>
      <c r="B22" s="77">
        <f>'B5'!V22</f>
        <v>682</v>
      </c>
      <c r="C22" s="77">
        <f>'B5'!AH22</f>
        <v>134.59999999999127</v>
      </c>
      <c r="D22" s="77">
        <f>GEN!AI20</f>
        <v>580.40084388211881</v>
      </c>
      <c r="E22" s="249">
        <f t="shared" si="0"/>
        <v>1397.0008438821101</v>
      </c>
      <c r="F22" s="76">
        <f>WATER!L22</f>
        <v>8</v>
      </c>
      <c r="G22" s="79">
        <f>WATER!BG22</f>
        <v>78.199999999999989</v>
      </c>
      <c r="H22" s="80">
        <f>ELEC!AF20</f>
        <v>1601</v>
      </c>
      <c r="I22" s="80">
        <f>ELEC!Q20</f>
        <v>2255.0000000010186</v>
      </c>
      <c r="J22" s="80">
        <f>ELEC!R20</f>
        <v>12829.399999998888</v>
      </c>
      <c r="K22" s="3"/>
      <c r="L22" s="3"/>
      <c r="M22" s="3"/>
      <c r="N22" s="3"/>
    </row>
    <row r="23" spans="1:14">
      <c r="A23" s="63">
        <f>'B5'!A23</f>
        <v>43818</v>
      </c>
      <c r="B23" s="77">
        <f>'B5'!V23</f>
        <v>755</v>
      </c>
      <c r="C23" s="77">
        <f>'B5'!AH23</f>
        <v>388.69999999999709</v>
      </c>
      <c r="D23" s="77">
        <f>GEN!AI21</f>
        <v>538.70464134993756</v>
      </c>
      <c r="E23" s="249">
        <f t="shared" si="0"/>
        <v>1682.4046413499345</v>
      </c>
      <c r="F23" s="76">
        <f>WATER!L23</f>
        <v>6</v>
      </c>
      <c r="G23" s="79">
        <f>WATER!BG23</f>
        <v>-78.199999999999974</v>
      </c>
      <c r="H23" s="80">
        <f>ELEC!AF21</f>
        <v>1677</v>
      </c>
      <c r="I23" s="80">
        <f>ELEC!Q21</f>
        <v>2092.9999999989377</v>
      </c>
      <c r="J23" s="80">
        <f>ELEC!R21</f>
        <v>14101.000000001062</v>
      </c>
      <c r="K23" s="3"/>
      <c r="L23" s="3"/>
      <c r="M23" s="3"/>
      <c r="N23" s="3"/>
    </row>
    <row r="24" spans="1:14">
      <c r="A24" s="63">
        <f>'B5'!A24</f>
        <v>43819</v>
      </c>
      <c r="B24" s="77">
        <f>'B5'!V24</f>
        <v>705</v>
      </c>
      <c r="C24" s="77">
        <f>'B5'!AH24</f>
        <v>0</v>
      </c>
      <c r="D24" s="77">
        <f>GEN!AI22</f>
        <v>688.24472573862511</v>
      </c>
      <c r="E24" s="249">
        <f t="shared" si="0"/>
        <v>1393.2447257386252</v>
      </c>
      <c r="F24" s="76">
        <f>WATER!L24</f>
        <v>4</v>
      </c>
      <c r="G24" s="79">
        <f>WATER!BG24</f>
        <v>94.599999999999966</v>
      </c>
      <c r="H24" s="80">
        <f>ELEC!AF22</f>
        <v>2060</v>
      </c>
      <c r="I24" s="80">
        <f>ELEC!Q22</f>
        <v>2674.0000000008877</v>
      </c>
      <c r="J24" s="80">
        <f>ELEC!R22</f>
        <v>13285.999999999112</v>
      </c>
      <c r="K24" s="3"/>
      <c r="L24" s="3"/>
      <c r="M24" s="3"/>
      <c r="N24" s="3"/>
    </row>
    <row r="25" spans="1:14">
      <c r="A25" s="63">
        <f>'B5'!A25</f>
        <v>43820</v>
      </c>
      <c r="B25" s="77">
        <f>'B5'!V25</f>
        <v>814</v>
      </c>
      <c r="C25" s="77">
        <f>'B5'!AH25</f>
        <v>0</v>
      </c>
      <c r="D25" s="77">
        <f>GEN!AI23</f>
        <v>634.45147679328647</v>
      </c>
      <c r="E25" s="249">
        <f t="shared" si="0"/>
        <v>1448.4514767932865</v>
      </c>
      <c r="F25" s="76">
        <f>WATER!L25</f>
        <v>11</v>
      </c>
      <c r="G25" s="79">
        <f>WATER!BG25</f>
        <v>-117.00000000000003</v>
      </c>
      <c r="H25" s="80">
        <f>ELEC!AF23</f>
        <v>1416</v>
      </c>
      <c r="I25" s="80">
        <f>ELEC!Q23</f>
        <v>2465.0000000001455</v>
      </c>
      <c r="J25" s="80">
        <f>ELEC!R23</f>
        <v>11800.200000000041</v>
      </c>
      <c r="K25" s="3"/>
      <c r="L25" s="3"/>
      <c r="M25" s="3"/>
      <c r="N25" s="3"/>
    </row>
    <row r="26" spans="1:14">
      <c r="A26" s="63">
        <f>'B5'!A26</f>
        <v>43821</v>
      </c>
      <c r="B26" s="77">
        <f>'B5'!V26</f>
        <v>596</v>
      </c>
      <c r="C26" s="77">
        <f>'B5'!AH26</f>
        <v>162.60000000000582</v>
      </c>
      <c r="D26" s="77">
        <f>GEN!AI24</f>
        <v>518.37130801667547</v>
      </c>
      <c r="E26" s="249">
        <f t="shared" si="0"/>
        <v>1276.9713080166812</v>
      </c>
      <c r="F26" s="76">
        <f>WATER!L26</f>
        <v>3</v>
      </c>
      <c r="G26" s="79">
        <f>WATER!BG26</f>
        <v>27</v>
      </c>
      <c r="H26" s="80">
        <f>ELEC!AF24</f>
        <v>1281</v>
      </c>
      <c r="I26" s="80">
        <f>ELEC!Q24</f>
        <v>2013.9999999992142</v>
      </c>
      <c r="J26" s="80">
        <f>ELEC!R24</f>
        <v>13160.8000000006</v>
      </c>
      <c r="K26" s="3"/>
      <c r="L26" s="3"/>
      <c r="M26" s="3"/>
      <c r="N26" s="3"/>
    </row>
    <row r="27" spans="1:14">
      <c r="A27" s="63">
        <f>'B5'!A27</f>
        <v>43822</v>
      </c>
      <c r="B27" s="77">
        <f>'B5'!V27</f>
        <v>696</v>
      </c>
      <c r="C27" s="77">
        <f>'B5'!AH27</f>
        <v>399.30000000000291</v>
      </c>
      <c r="D27" s="77">
        <f>GEN!AI25</f>
        <v>849.8818565400021</v>
      </c>
      <c r="E27" s="249">
        <f t="shared" si="0"/>
        <v>1945.1818565400049</v>
      </c>
      <c r="F27" s="76">
        <f>WATER!L27</f>
        <v>8</v>
      </c>
      <c r="G27" s="79">
        <f>WATER!BG27</f>
        <v>-100.59999999999998</v>
      </c>
      <c r="H27" s="80">
        <f>ELEC!AF25</f>
        <v>2622</v>
      </c>
      <c r="I27" s="80">
        <f>ELEC!Q25</f>
        <v>3301.9999999996799</v>
      </c>
      <c r="J27" s="80">
        <f>ELEC!R25</f>
        <v>14211.200000000506</v>
      </c>
      <c r="K27" s="3"/>
      <c r="L27" s="3"/>
      <c r="M27" s="3"/>
      <c r="N27" s="3"/>
    </row>
    <row r="28" spans="1:14">
      <c r="A28" s="63">
        <f>'B5'!A28</f>
        <v>43823</v>
      </c>
      <c r="B28" s="77">
        <f>'B5'!V28</f>
        <v>466</v>
      </c>
      <c r="C28" s="77">
        <f>'B5'!AH28</f>
        <v>82</v>
      </c>
      <c r="D28" s="77">
        <f>GEN!AI26</f>
        <v>510.64978902963327</v>
      </c>
      <c r="E28" s="249">
        <f t="shared" si="0"/>
        <v>1058.6497890296332</v>
      </c>
      <c r="F28" s="76">
        <f>WATER!L28</f>
        <v>3</v>
      </c>
      <c r="G28" s="79">
        <f>WATER!BG28</f>
        <v>52.699999999999989</v>
      </c>
      <c r="H28" s="80">
        <f>ELEC!AF26</f>
        <v>1260</v>
      </c>
      <c r="I28" s="80">
        <f>ELEC!Q26</f>
        <v>1984.0000000003783</v>
      </c>
      <c r="J28" s="80">
        <f>ELEC!R26</f>
        <v>13408.799999999435</v>
      </c>
      <c r="K28" s="3"/>
      <c r="L28" s="3"/>
      <c r="M28" s="3"/>
      <c r="N28" s="3"/>
    </row>
    <row r="29" spans="1:14">
      <c r="A29" s="63">
        <f>'B5'!A29</f>
        <v>43824</v>
      </c>
      <c r="B29" s="77">
        <f>'B5'!V29</f>
        <v>541</v>
      </c>
      <c r="C29" s="77">
        <f>'B5'!AH29</f>
        <v>411.39999999999418</v>
      </c>
      <c r="D29" s="77">
        <f>GEN!AI27</f>
        <v>772.15189873417728</v>
      </c>
      <c r="E29" s="78">
        <f t="shared" si="0"/>
        <v>1724.5518987341716</v>
      </c>
      <c r="F29" s="76">
        <f>WATER!L29</f>
        <v>9</v>
      </c>
      <c r="G29" s="79">
        <f>WATER!BG29</f>
        <v>-91.59999999999998</v>
      </c>
      <c r="H29" s="80">
        <f>ELEC!AF27</f>
        <v>973</v>
      </c>
      <c r="I29" s="80">
        <f>ELEC!Q27</f>
        <v>3000</v>
      </c>
      <c r="J29" s="80">
        <f>ELEC!R27</f>
        <v>10694</v>
      </c>
      <c r="K29" s="3"/>
      <c r="L29" s="3"/>
      <c r="M29" s="3"/>
      <c r="N29" s="3"/>
    </row>
    <row r="30" spans="1:14">
      <c r="A30" s="63">
        <f>'B5'!A30</f>
        <v>43825</v>
      </c>
      <c r="B30" s="77">
        <f>'B5'!V30</f>
        <v>941</v>
      </c>
      <c r="C30" s="77">
        <f>'B5'!AH30</f>
        <v>76.600000000005821</v>
      </c>
      <c r="D30" s="77">
        <f>GEN!AI28</f>
        <v>817.70886075941132</v>
      </c>
      <c r="E30" s="78">
        <f t="shared" si="0"/>
        <v>1835.3088607594173</v>
      </c>
      <c r="F30" s="76">
        <f>WATER!L30</f>
        <v>4</v>
      </c>
      <c r="G30" s="79">
        <f>WATER!BG30</f>
        <v>80.7</v>
      </c>
      <c r="H30" s="80">
        <f>ELEC!AF28</f>
        <v>839</v>
      </c>
      <c r="I30" s="80">
        <f>ELEC!Q28</f>
        <v>3176.9999999996799</v>
      </c>
      <c r="J30" s="80">
        <f>ELEC!R28</f>
        <v>10643.00000000032</v>
      </c>
      <c r="K30" s="3"/>
      <c r="L30" s="3"/>
      <c r="M30" s="3"/>
      <c r="N30" s="3"/>
    </row>
    <row r="31" spans="1:14">
      <c r="A31" s="63">
        <f>'B5'!A31</f>
        <v>43826</v>
      </c>
      <c r="B31" s="77">
        <f>'B5'!V31</f>
        <v>783</v>
      </c>
      <c r="C31" s="77">
        <f>'B5'!AH31</f>
        <v>420.69999999999709</v>
      </c>
      <c r="D31" s="77">
        <f>GEN!AI29</f>
        <v>983.97890295366892</v>
      </c>
      <c r="E31" s="78">
        <f t="shared" si="0"/>
        <v>2187.6789029536658</v>
      </c>
      <c r="F31" s="76">
        <f>WATER!L31</f>
        <v>2</v>
      </c>
      <c r="G31" s="79">
        <f>WATER!BG31</f>
        <v>-80.900000000000006</v>
      </c>
      <c r="H31" s="80">
        <f>ELEC!AF29</f>
        <v>1438</v>
      </c>
      <c r="I31" s="80">
        <f>ELEC!Q29</f>
        <v>3823.0000000003201</v>
      </c>
      <c r="J31" s="80">
        <f>ELEC!R29</f>
        <v>12764.99999999968</v>
      </c>
      <c r="K31" s="3"/>
      <c r="L31" s="3"/>
      <c r="M31" s="3"/>
      <c r="N31" s="3"/>
    </row>
    <row r="32" spans="1:14">
      <c r="A32" s="63">
        <f>'B5'!A32</f>
        <v>43827</v>
      </c>
      <c r="B32" s="77">
        <f>'B5'!V32</f>
        <v>896</v>
      </c>
      <c r="C32" s="77">
        <f>'B5'!AH32</f>
        <v>177.89999999996508</v>
      </c>
      <c r="D32" s="77">
        <f>GEN!AI30</f>
        <v>772.15189873417728</v>
      </c>
      <c r="E32" s="78">
        <f t="shared" si="0"/>
        <v>1846.0518987341425</v>
      </c>
      <c r="F32" s="76">
        <f>WATER!L32</f>
        <v>0</v>
      </c>
      <c r="G32" s="79">
        <f>WATER!BG32</f>
        <v>60.899999999999977</v>
      </c>
      <c r="H32" s="80">
        <f>ELEC!AF30</f>
        <v>1388</v>
      </c>
      <c r="I32" s="80">
        <f>ELEC!Q30</f>
        <v>3000</v>
      </c>
      <c r="J32" s="80">
        <f>ELEC!R30</f>
        <v>12682</v>
      </c>
      <c r="K32" s="3"/>
      <c r="L32" s="3"/>
      <c r="M32" s="3"/>
      <c r="N32" s="3"/>
    </row>
    <row r="33" spans="1:14">
      <c r="A33" s="63">
        <f>'B5'!A33</f>
        <v>43828</v>
      </c>
      <c r="B33" s="77">
        <f>'B5'!V33</f>
        <v>851</v>
      </c>
      <c r="C33" s="77">
        <f>'B5'!AH33</f>
        <v>291.20000000001164</v>
      </c>
      <c r="D33" s="77">
        <f>GEN!AI31</f>
        <v>946.65822784807142</v>
      </c>
      <c r="E33" s="78">
        <f t="shared" si="0"/>
        <v>2088.8582278480831</v>
      </c>
      <c r="F33" s="76">
        <f>WATER!L33</f>
        <v>11</v>
      </c>
      <c r="G33" s="79">
        <f>WATER!BG33</f>
        <v>-83.100000000000023</v>
      </c>
      <c r="H33" s="80">
        <f>ELEC!AF31</f>
        <v>1680</v>
      </c>
      <c r="I33" s="80">
        <f>ELEC!Q31</f>
        <v>3677.9999999998836</v>
      </c>
      <c r="J33" s="80">
        <f>ELEC!R31</f>
        <v>13995.000000000116</v>
      </c>
      <c r="K33" s="3"/>
      <c r="L33" s="3"/>
      <c r="M33" s="3"/>
      <c r="N33" s="3"/>
    </row>
    <row r="34" spans="1:14">
      <c r="A34" s="63">
        <f>'B5'!A34</f>
        <v>43495</v>
      </c>
      <c r="B34" s="77">
        <f>'B5'!V34</f>
        <v>838</v>
      </c>
      <c r="C34" s="77">
        <f>'B5'!AH34</f>
        <v>133.40000000002328</v>
      </c>
      <c r="D34" s="77">
        <f>GEN!AI32</f>
        <v>779.10126582279611</v>
      </c>
      <c r="E34" s="78">
        <f>B34+C34+D34</f>
        <v>1750.5012658228193</v>
      </c>
      <c r="F34" s="76">
        <f>WATER!L34</f>
        <v>4</v>
      </c>
      <c r="G34" s="79">
        <f>WATER!BG34</f>
        <v>83.9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66" t="s">
        <v>151</v>
      </c>
      <c r="U3" s="666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4</v>
      </c>
      <c r="E5">
        <f t="shared" ref="E5:E37" si="0">D5*90</f>
        <v>360</v>
      </c>
      <c r="F5">
        <f>'B5'!AM4</f>
        <v>0</v>
      </c>
      <c r="G5">
        <f t="shared" ref="G5:G37" si="1">F5*107</f>
        <v>0</v>
      </c>
      <c r="H5">
        <f>GEN!Z3</f>
        <v>2.5900000000001455</v>
      </c>
    </row>
    <row r="6" spans="3:21">
      <c r="C6" s="100">
        <v>42430</v>
      </c>
      <c r="D6">
        <f>'B5'!AL5</f>
        <v>3</v>
      </c>
      <c r="E6">
        <f t="shared" si="0"/>
        <v>270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3</v>
      </c>
      <c r="E7">
        <f t="shared" si="0"/>
        <v>270</v>
      </c>
      <c r="F7">
        <f>'B5'!AM6</f>
        <v>2</v>
      </c>
      <c r="G7">
        <f t="shared" si="1"/>
        <v>214</v>
      </c>
    </row>
    <row r="8" spans="3:21">
      <c r="C8" s="100">
        <v>42432</v>
      </c>
      <c r="D8">
        <f>'B5'!AL7</f>
        <v>4</v>
      </c>
      <c r="E8">
        <f t="shared" si="0"/>
        <v>360</v>
      </c>
      <c r="F8">
        <f>'B5'!AM7</f>
        <v>7</v>
      </c>
      <c r="G8">
        <f t="shared" si="1"/>
        <v>749</v>
      </c>
    </row>
    <row r="9" spans="3:21">
      <c r="C9" s="100">
        <v>42433</v>
      </c>
      <c r="D9">
        <f>'B5'!AL8</f>
        <v>5</v>
      </c>
      <c r="E9">
        <f t="shared" si="0"/>
        <v>450</v>
      </c>
      <c r="F9">
        <f>'B5'!AM8</f>
        <v>0</v>
      </c>
      <c r="G9">
        <f t="shared" si="1"/>
        <v>0</v>
      </c>
    </row>
    <row r="10" spans="3:21">
      <c r="C10" s="100">
        <v>42434</v>
      </c>
      <c r="D10">
        <f>'B5'!AL9</f>
        <v>7</v>
      </c>
      <c r="E10">
        <f t="shared" si="0"/>
        <v>630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7</v>
      </c>
      <c r="E11">
        <f t="shared" si="0"/>
        <v>630</v>
      </c>
      <c r="F11">
        <f>'B5'!AM10</f>
        <v>4</v>
      </c>
      <c r="G11">
        <f t="shared" si="1"/>
        <v>428</v>
      </c>
    </row>
    <row r="12" spans="3:21">
      <c r="C12" s="100">
        <v>42436</v>
      </c>
      <c r="D12">
        <f>'B5'!AL11</f>
        <v>7</v>
      </c>
      <c r="E12">
        <f t="shared" si="0"/>
        <v>630</v>
      </c>
      <c r="F12">
        <f>'B5'!AM11</f>
        <v>7</v>
      </c>
      <c r="G12">
        <f t="shared" si="1"/>
        <v>749</v>
      </c>
    </row>
    <row r="13" spans="3:21">
      <c r="C13" s="100">
        <v>42437</v>
      </c>
      <c r="D13">
        <f>'B5'!AL12</f>
        <v>10</v>
      </c>
      <c r="E13">
        <f t="shared" si="0"/>
        <v>900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9</v>
      </c>
      <c r="E14">
        <f t="shared" si="0"/>
        <v>810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8</v>
      </c>
      <c r="E15">
        <f t="shared" si="0"/>
        <v>720</v>
      </c>
      <c r="F15">
        <f>'B5'!AM14</f>
        <v>2</v>
      </c>
      <c r="G15">
        <f t="shared" si="1"/>
        <v>214</v>
      </c>
    </row>
    <row r="16" spans="3:21">
      <c r="C16" s="100">
        <v>42440</v>
      </c>
      <c r="D16">
        <f>'B5'!AL15</f>
        <v>6</v>
      </c>
      <c r="E16">
        <f t="shared" si="0"/>
        <v>540</v>
      </c>
      <c r="F16">
        <f>'B5'!AM15</f>
        <v>8</v>
      </c>
      <c r="G16">
        <f t="shared" si="1"/>
        <v>856</v>
      </c>
    </row>
    <row r="17" spans="3:7">
      <c r="C17" s="100">
        <v>42441</v>
      </c>
      <c r="D17">
        <f>'B5'!AL16</f>
        <v>9</v>
      </c>
      <c r="E17">
        <f t="shared" si="0"/>
        <v>810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11</v>
      </c>
      <c r="E18">
        <f t="shared" si="0"/>
        <v>990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10</v>
      </c>
      <c r="E19">
        <f t="shared" si="0"/>
        <v>900</v>
      </c>
      <c r="F19">
        <f>'B5'!AM18</f>
        <v>2</v>
      </c>
      <c r="G19">
        <f t="shared" si="1"/>
        <v>214</v>
      </c>
    </row>
    <row r="20" spans="3:7">
      <c r="C20" s="100">
        <v>42444</v>
      </c>
      <c r="D20">
        <f>'B5'!AL19</f>
        <v>5</v>
      </c>
      <c r="E20">
        <f t="shared" si="0"/>
        <v>450</v>
      </c>
      <c r="F20">
        <f>'B5'!AM19</f>
        <v>8</v>
      </c>
      <c r="G20">
        <f t="shared" si="1"/>
        <v>856</v>
      </c>
    </row>
    <row r="21" spans="3:7">
      <c r="C21" s="100">
        <v>42445</v>
      </c>
      <c r="D21">
        <f>'B5'!AL20</f>
        <v>16</v>
      </c>
      <c r="E21">
        <f t="shared" si="0"/>
        <v>1440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11</v>
      </c>
      <c r="E22">
        <f t="shared" si="0"/>
        <v>990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8</v>
      </c>
      <c r="E23">
        <f t="shared" si="0"/>
        <v>720</v>
      </c>
      <c r="F23">
        <f>'B5'!AM22</f>
        <v>2</v>
      </c>
      <c r="G23">
        <f t="shared" si="1"/>
        <v>214</v>
      </c>
    </row>
    <row r="24" spans="3:7">
      <c r="C24" s="100">
        <v>42448</v>
      </c>
      <c r="D24">
        <f>'B5'!AL23</f>
        <v>10</v>
      </c>
      <c r="E24">
        <f t="shared" si="0"/>
        <v>900</v>
      </c>
      <c r="F24">
        <f>'B5'!AM23</f>
        <v>8</v>
      </c>
      <c r="G24">
        <f t="shared" si="1"/>
        <v>856</v>
      </c>
    </row>
    <row r="25" spans="3:7">
      <c r="C25" s="100">
        <v>42449</v>
      </c>
      <c r="D25">
        <f>'B5'!AL24</f>
        <v>8</v>
      </c>
      <c r="E25">
        <f t="shared" si="0"/>
        <v>720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11</v>
      </c>
      <c r="E26">
        <f t="shared" si="0"/>
        <v>990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7</v>
      </c>
      <c r="E27">
        <f t="shared" si="0"/>
        <v>630</v>
      </c>
      <c r="F27">
        <f>'B5'!AM26</f>
        <v>3</v>
      </c>
      <c r="G27">
        <f t="shared" si="1"/>
        <v>321</v>
      </c>
    </row>
    <row r="28" spans="3:7">
      <c r="C28" s="100">
        <v>42452</v>
      </c>
      <c r="D28">
        <f>'B5'!AL27</f>
        <v>9</v>
      </c>
      <c r="E28">
        <f t="shared" si="0"/>
        <v>810</v>
      </c>
      <c r="F28">
        <f>'B5'!AM27</f>
        <v>8</v>
      </c>
      <c r="G28">
        <f t="shared" si="1"/>
        <v>856</v>
      </c>
    </row>
    <row r="29" spans="3:7">
      <c r="C29" s="100">
        <v>42453</v>
      </c>
      <c r="D29">
        <f>'B5'!AL28</f>
        <v>6</v>
      </c>
      <c r="E29">
        <f t="shared" si="0"/>
        <v>540</v>
      </c>
      <c r="F29">
        <f>'B5'!AM28</f>
        <v>1</v>
      </c>
      <c r="G29">
        <f t="shared" si="1"/>
        <v>107</v>
      </c>
    </row>
    <row r="30" spans="3:7">
      <c r="C30" s="100">
        <v>42454</v>
      </c>
      <c r="D30">
        <f>'B5'!AL29</f>
        <v>6</v>
      </c>
      <c r="E30">
        <f t="shared" si="0"/>
        <v>540</v>
      </c>
      <c r="F30">
        <f>'B5'!AM29</f>
        <v>8</v>
      </c>
      <c r="G30">
        <f t="shared" si="1"/>
        <v>856</v>
      </c>
    </row>
    <row r="31" spans="3:7">
      <c r="C31" s="100">
        <v>42455</v>
      </c>
      <c r="D31">
        <f>'B5'!AL30</f>
        <v>14</v>
      </c>
      <c r="E31">
        <f t="shared" si="0"/>
        <v>1260</v>
      </c>
      <c r="F31">
        <f>'B5'!AM30</f>
        <v>1</v>
      </c>
      <c r="G31">
        <f t="shared" si="1"/>
        <v>107</v>
      </c>
    </row>
    <row r="32" spans="3:7">
      <c r="C32" s="100">
        <v>42456</v>
      </c>
      <c r="D32">
        <f>'B5'!AL31</f>
        <v>10</v>
      </c>
      <c r="E32">
        <f t="shared" si="0"/>
        <v>900</v>
      </c>
      <c r="F32">
        <f>'B5'!AM31</f>
        <v>9</v>
      </c>
      <c r="G32">
        <f t="shared" si="1"/>
        <v>963</v>
      </c>
    </row>
    <row r="33" spans="3:7">
      <c r="C33" s="100">
        <v>42457</v>
      </c>
      <c r="D33">
        <f>'B5'!AL32</f>
        <v>12</v>
      </c>
      <c r="E33">
        <f t="shared" si="0"/>
        <v>1080</v>
      </c>
      <c r="F33">
        <f>'B5'!AM32</f>
        <v>2</v>
      </c>
      <c r="G33">
        <f t="shared" si="1"/>
        <v>214</v>
      </c>
    </row>
    <row r="34" spans="3:7">
      <c r="C34" s="100">
        <v>42458</v>
      </c>
      <c r="D34">
        <f>'B5'!AL33</f>
        <v>12</v>
      </c>
      <c r="E34">
        <f t="shared" si="0"/>
        <v>1080</v>
      </c>
      <c r="F34">
        <f>'B5'!AM33</f>
        <v>7</v>
      </c>
      <c r="G34">
        <f t="shared" si="1"/>
        <v>749</v>
      </c>
    </row>
    <row r="35" spans="3:7">
      <c r="C35" s="100">
        <v>42459</v>
      </c>
      <c r="D35">
        <f>'B5'!AL34</f>
        <v>11</v>
      </c>
      <c r="E35">
        <f t="shared" si="0"/>
        <v>990</v>
      </c>
      <c r="F35">
        <f>'B5'!AM34</f>
        <v>1</v>
      </c>
      <c r="G35">
        <f t="shared" si="1"/>
        <v>107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B2:L33"/>
  <sheetViews>
    <sheetView tabSelected="1" workbookViewId="0">
      <selection activeCell="J6" sqref="J6"/>
    </sheetView>
  </sheetViews>
  <sheetFormatPr defaultRowHeight="15"/>
  <cols>
    <col min="2" max="2" width="14.85546875" customWidth="1"/>
    <col min="3" max="3" width="12.28515625" bestFit="1" customWidth="1"/>
    <col min="4" max="4" width="9" bestFit="1" customWidth="1"/>
    <col min="5" max="5" width="17.7109375" bestFit="1" customWidth="1"/>
    <col min="6" max="6" width="15" bestFit="1" customWidth="1"/>
    <col min="7" max="7" width="14.7109375" style="179" customWidth="1"/>
    <col min="8" max="8" width="16.7109375" bestFit="1" customWidth="1"/>
    <col min="9" max="9" width="16" customWidth="1"/>
    <col min="10" max="10" width="16" bestFit="1" customWidth="1"/>
    <col min="11" max="11" width="15.28515625" bestFit="1" customWidth="1"/>
    <col min="12" max="12" width="16.140625" bestFit="1" customWidth="1"/>
    <col min="13" max="13" width="10.5703125" bestFit="1" customWidth="1"/>
    <col min="15" max="15" width="15.28515625" bestFit="1" customWidth="1"/>
    <col min="16" max="16" width="10.5703125" bestFit="1" customWidth="1"/>
  </cols>
  <sheetData>
    <row r="2" spans="2:12">
      <c r="B2" s="667" t="s">
        <v>216</v>
      </c>
      <c r="C2" s="667"/>
      <c r="D2" s="667"/>
      <c r="E2" s="667"/>
      <c r="F2" s="667"/>
      <c r="G2" s="667"/>
      <c r="H2" s="667"/>
      <c r="I2" s="667"/>
      <c r="J2" s="667"/>
    </row>
    <row r="3" spans="2:12">
      <c r="B3" s="198">
        <v>43800</v>
      </c>
      <c r="C3" s="182"/>
      <c r="D3" s="182"/>
      <c r="E3" s="182"/>
      <c r="F3" s="182"/>
      <c r="G3" s="182"/>
      <c r="H3" s="182"/>
      <c r="I3" s="182"/>
      <c r="J3" s="3"/>
    </row>
    <row r="4" spans="2:12">
      <c r="B4" s="3"/>
      <c r="C4" s="3"/>
      <c r="D4" s="3" t="s">
        <v>223</v>
      </c>
      <c r="E4" s="3">
        <v>1507.5</v>
      </c>
      <c r="F4" s="3"/>
      <c r="G4" s="201">
        <f>'EDl log'!A36</f>
        <v>31</v>
      </c>
      <c r="H4" s="200">
        <v>31</v>
      </c>
      <c r="I4" s="200"/>
      <c r="J4" s="200"/>
    </row>
    <row r="5" spans="2:12">
      <c r="B5" s="252" t="s">
        <v>232</v>
      </c>
      <c r="C5" s="180" t="s">
        <v>231</v>
      </c>
      <c r="D5" s="180" t="s">
        <v>228</v>
      </c>
      <c r="E5" s="180" t="s">
        <v>229</v>
      </c>
      <c r="F5" s="180" t="s">
        <v>230</v>
      </c>
      <c r="G5" s="253" t="s">
        <v>227</v>
      </c>
      <c r="H5" s="255" t="s">
        <v>337</v>
      </c>
      <c r="I5" s="255" t="s">
        <v>336</v>
      </c>
      <c r="J5" s="199" t="s">
        <v>233</v>
      </c>
      <c r="L5" s="459"/>
    </row>
    <row r="6" spans="2:12">
      <c r="B6" s="189" t="s">
        <v>217</v>
      </c>
      <c r="C6" s="373">
        <f>WATER!C37</f>
        <v>672</v>
      </c>
      <c r="D6" s="348">
        <v>1.48</v>
      </c>
      <c r="E6" s="189">
        <f>SUM(D6*C6)*E4</f>
        <v>1499299.2</v>
      </c>
      <c r="F6" s="472">
        <f>SUM(E6/E4)/G4</f>
        <v>32.082580645161286</v>
      </c>
      <c r="G6" s="190">
        <f>SUM(F6*G4)</f>
        <v>994.55999999999983</v>
      </c>
      <c r="H6" s="191">
        <f>SUM(C6*D6)</f>
        <v>994.56</v>
      </c>
      <c r="I6" s="190">
        <v>0</v>
      </c>
      <c r="J6" s="364">
        <f>12300-J7</f>
        <v>4800</v>
      </c>
      <c r="K6" s="287"/>
    </row>
    <row r="7" spans="2:12">
      <c r="B7" s="189" t="s">
        <v>218</v>
      </c>
      <c r="C7" s="373">
        <f>WATER!H37</f>
        <v>2938</v>
      </c>
      <c r="D7" s="189">
        <v>7500</v>
      </c>
      <c r="E7" s="192">
        <f>SUM(D7)*E4</f>
        <v>11306250</v>
      </c>
      <c r="F7" s="190">
        <f>SUM(J7/H4)</f>
        <v>241.93548387096774</v>
      </c>
      <c r="G7" s="190">
        <f>SUM(F7*G4)</f>
        <v>7500</v>
      </c>
      <c r="H7" s="565">
        <f>F7*$H$4</f>
        <v>7500</v>
      </c>
      <c r="I7" s="364">
        <f>J7</f>
        <v>7500</v>
      </c>
      <c r="J7" s="190">
        <v>7500</v>
      </c>
      <c r="K7" s="287"/>
    </row>
    <row r="8" spans="2:12">
      <c r="B8" s="195" t="s">
        <v>219</v>
      </c>
      <c r="C8" s="374">
        <f>tanks!AT37</f>
        <v>47690</v>
      </c>
      <c r="D8" s="542">
        <f>SUM(tanks!AU37)</f>
        <v>0.54218</v>
      </c>
      <c r="E8" s="196">
        <f>SUM(C8*D8)*E4</f>
        <v>38978770.531500004</v>
      </c>
      <c r="F8" s="197">
        <f>SUM(E8/E4/G4)</f>
        <v>834.08271612903241</v>
      </c>
      <c r="G8" s="197">
        <f>SUM(F8*G4)</f>
        <v>25856.564200000004</v>
      </c>
      <c r="H8" s="565">
        <f>F8*$H$4</f>
        <v>25856.564200000004</v>
      </c>
      <c r="I8" s="364">
        <f t="shared" ref="I8:I10" si="0">J8</f>
        <v>54100</v>
      </c>
      <c r="J8" s="197">
        <v>54100</v>
      </c>
      <c r="K8" s="287"/>
    </row>
    <row r="9" spans="2:12">
      <c r="B9" s="2" t="s">
        <v>220</v>
      </c>
      <c r="C9" s="375">
        <f>'B5'!AV36</f>
        <v>5500</v>
      </c>
      <c r="D9" s="372">
        <v>0.7</v>
      </c>
      <c r="E9" s="193">
        <f>SUM(C9*D9)*E4</f>
        <v>5803874.9999999991</v>
      </c>
      <c r="F9" s="194">
        <f>SUM(D9*C9)/G4</f>
        <v>124.19354838709675</v>
      </c>
      <c r="G9" s="194">
        <f>SUM(F9*G4)</f>
        <v>3849.9999999999995</v>
      </c>
      <c r="H9" s="565">
        <f>F9*$H$4</f>
        <v>3849.9999999999995</v>
      </c>
      <c r="I9" s="364">
        <f t="shared" si="0"/>
        <v>10500</v>
      </c>
      <c r="J9" s="194">
        <v>10500</v>
      </c>
      <c r="K9" s="287"/>
    </row>
    <row r="10" spans="2:12">
      <c r="B10" s="186" t="s">
        <v>221</v>
      </c>
      <c r="C10" s="376"/>
      <c r="D10" s="186"/>
      <c r="E10" s="188">
        <f>SUM('EDl log'!AB31)</f>
        <v>34900525</v>
      </c>
      <c r="F10" s="187">
        <f>SUM(E10/E4/G4)</f>
        <v>746.81485047878891</v>
      </c>
      <c r="G10" s="187">
        <f>SUM(F10*G4)</f>
        <v>23151.260364842456</v>
      </c>
      <c r="H10" s="565">
        <f>F10*$H$4</f>
        <v>23151.260364842456</v>
      </c>
      <c r="I10" s="364">
        <f t="shared" si="0"/>
        <v>27400</v>
      </c>
      <c r="J10" s="290">
        <v>27400</v>
      </c>
      <c r="K10" s="287"/>
    </row>
    <row r="11" spans="2:12">
      <c r="K11" s="287"/>
    </row>
    <row r="12" spans="2:12" ht="42.75" customHeight="1">
      <c r="F12" s="458">
        <f>SUM(F6:F11)</f>
        <v>1979.1091795110472</v>
      </c>
      <c r="G12" s="185">
        <f>SUM(G6:G10)</f>
        <v>61352.384564842461</v>
      </c>
      <c r="H12" s="184">
        <f>SUM(H6:H10)</f>
        <v>61352.384564842461</v>
      </c>
      <c r="I12" s="184">
        <f>SUM(I6:I10)</f>
        <v>99500</v>
      </c>
      <c r="J12" s="226">
        <f>SUM(J6:J10)</f>
        <v>104300</v>
      </c>
    </row>
    <row r="13" spans="2:12" ht="30">
      <c r="B13" s="3"/>
      <c r="C13" s="180" t="s">
        <v>227</v>
      </c>
      <c r="D13" s="446" t="s">
        <v>387</v>
      </c>
      <c r="E13" s="446" t="s">
        <v>391</v>
      </c>
      <c r="F13" s="446" t="s">
        <v>388</v>
      </c>
      <c r="G13" s="17"/>
      <c r="H13" s="448"/>
      <c r="I13" s="17"/>
      <c r="J13" s="17"/>
      <c r="K13" s="17"/>
    </row>
    <row r="14" spans="2:12">
      <c r="B14" s="3" t="s">
        <v>303</v>
      </c>
      <c r="C14" s="465">
        <f>'Degree Days 2018'!AB14</f>
        <v>151</v>
      </c>
      <c r="D14" s="172">
        <f>'[9]Utility Cost '!D13</f>
        <v>27.099999999999991</v>
      </c>
      <c r="E14" s="172">
        <f>SUM(D14)</f>
        <v>27.099999999999991</v>
      </c>
      <c r="F14" s="172">
        <f>C14-D14</f>
        <v>123.9</v>
      </c>
      <c r="G14" s="17"/>
      <c r="H14" s="448"/>
      <c r="I14" s="449">
        <f>SUM(H12-I12)</f>
        <v>-38147.615435157539</v>
      </c>
      <c r="J14" s="449">
        <f>SUM(H12-J12)</f>
        <v>-42947.615435157539</v>
      </c>
    </row>
    <row r="15" spans="2:12">
      <c r="B15" s="3" t="s">
        <v>304</v>
      </c>
      <c r="C15" s="180">
        <f>'Degree Days 2018'!AA14</f>
        <v>-18.3</v>
      </c>
      <c r="D15" s="172">
        <f>'[9]Utility Cost '!D14</f>
        <v>-38.399999999999991</v>
      </c>
      <c r="E15" s="172">
        <f>SUM(D15)</f>
        <v>-38.399999999999991</v>
      </c>
      <c r="F15" s="172">
        <f>C15-D15</f>
        <v>20.099999999999991</v>
      </c>
      <c r="G15" s="17"/>
      <c r="H15" s="448"/>
      <c r="I15" s="17"/>
      <c r="J15" s="17"/>
      <c r="K15" s="17"/>
    </row>
    <row r="16" spans="2:12">
      <c r="B16" s="3" t="s">
        <v>305</v>
      </c>
      <c r="C16" s="466">
        <f>'General information '!D38</f>
        <v>16.241935483870968</v>
      </c>
      <c r="D16" s="172">
        <f>'[9]Utility Cost '!D15</f>
        <v>17.93548387096774</v>
      </c>
      <c r="E16" s="462">
        <f>SUM(D16)</f>
        <v>17.93548387096774</v>
      </c>
      <c r="F16" s="464">
        <f>C16-D16</f>
        <v>-1.6935483870967722</v>
      </c>
      <c r="G16" s="450"/>
      <c r="H16" s="448"/>
      <c r="I16" s="17"/>
      <c r="J16" s="17"/>
      <c r="K16" s="17"/>
    </row>
    <row r="17" spans="2:11">
      <c r="B17" s="286" t="s">
        <v>317</v>
      </c>
      <c r="C17" s="467">
        <f>'General information '!F37</f>
        <v>0.21316774193548382</v>
      </c>
      <c r="D17" s="564">
        <f>'[9]Utility Cost '!D16</f>
        <v>0.49185161290322582</v>
      </c>
      <c r="E17" s="517">
        <v>0.71509999999999996</v>
      </c>
      <c r="F17" s="463">
        <f>C17-E17</f>
        <v>-0.50193225806451613</v>
      </c>
      <c r="G17"/>
      <c r="H17" s="17"/>
      <c r="I17" s="17"/>
      <c r="J17" s="17"/>
      <c r="K17" s="17"/>
    </row>
    <row r="18" spans="2:11">
      <c r="B18" s="457" t="s">
        <v>389</v>
      </c>
      <c r="C18" s="469">
        <f>GEN!Z34</f>
        <v>120.30999999999949</v>
      </c>
      <c r="D18" s="172">
        <f>'[9]Utility Cost '!D17</f>
        <v>199</v>
      </c>
      <c r="E18" s="461">
        <v>230</v>
      </c>
      <c r="F18" s="461">
        <f>C18-D18</f>
        <v>-78.690000000000509</v>
      </c>
      <c r="G18"/>
    </row>
    <row r="19" spans="2:11">
      <c r="B19" s="457"/>
      <c r="C19" s="468">
        <f>SUM(C18/G4)</f>
        <v>3.8809677419354673</v>
      </c>
      <c r="D19" s="461"/>
      <c r="E19" s="461"/>
      <c r="F19" s="461"/>
      <c r="G19"/>
    </row>
    <row r="20" spans="2:11">
      <c r="G20"/>
    </row>
    <row r="21" spans="2:11" ht="27" customHeight="1">
      <c r="G21"/>
    </row>
    <row r="22" spans="2:11">
      <c r="G22"/>
    </row>
    <row r="23" spans="2:11">
      <c r="G23"/>
    </row>
    <row r="24" spans="2:11">
      <c r="G24"/>
    </row>
    <row r="25" spans="2:11">
      <c r="G25"/>
    </row>
    <row r="26" spans="2:11">
      <c r="G26"/>
    </row>
    <row r="27" spans="2:11">
      <c r="G27"/>
    </row>
    <row r="28" spans="2:11">
      <c r="G28"/>
    </row>
    <row r="29" spans="2:11">
      <c r="G29"/>
    </row>
    <row r="30" spans="2:11">
      <c r="G30"/>
    </row>
    <row r="31" spans="2:11">
      <c r="G31"/>
    </row>
    <row r="32" spans="2:11">
      <c r="G32"/>
    </row>
    <row r="33" spans="7:7">
      <c r="G33"/>
    </row>
  </sheetData>
  <mergeCells count="1">
    <mergeCell ref="B2:J2"/>
  </mergeCells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3" t="s">
        <v>235</v>
      </c>
      <c r="B1" s="204" t="s">
        <v>236</v>
      </c>
      <c r="C1" s="204" t="s">
        <v>237</v>
      </c>
      <c r="D1" s="204" t="s">
        <v>238</v>
      </c>
      <c r="E1" s="204" t="s">
        <v>308</v>
      </c>
      <c r="F1" s="204" t="s">
        <v>239</v>
      </c>
      <c r="G1" s="204" t="s">
        <v>240</v>
      </c>
      <c r="H1" s="204" t="s">
        <v>241</v>
      </c>
      <c r="I1" s="204" t="s">
        <v>51</v>
      </c>
    </row>
    <row r="2" spans="1:9">
      <c r="A2" s="205" t="s">
        <v>242</v>
      </c>
      <c r="B2" s="205" t="s">
        <v>243</v>
      </c>
      <c r="C2" s="205"/>
      <c r="D2" s="205"/>
      <c r="E2" s="205"/>
      <c r="F2" s="205"/>
      <c r="G2" s="205" t="s">
        <v>244</v>
      </c>
      <c r="H2" s="205"/>
      <c r="I2" s="205"/>
    </row>
    <row r="3" spans="1:9">
      <c r="A3" s="206" t="s">
        <v>245</v>
      </c>
      <c r="B3" s="206" t="s">
        <v>246</v>
      </c>
      <c r="C3" s="206"/>
      <c r="D3" s="206"/>
      <c r="E3" s="206"/>
      <c r="F3" s="206"/>
      <c r="G3" s="206" t="s">
        <v>306</v>
      </c>
      <c r="H3" s="206"/>
      <c r="I3" s="206"/>
    </row>
    <row r="4" spans="1:9">
      <c r="A4" s="206" t="s">
        <v>247</v>
      </c>
      <c r="B4" s="206" t="s">
        <v>248</v>
      </c>
      <c r="C4" s="206"/>
      <c r="D4" s="206"/>
      <c r="E4" s="206"/>
      <c r="F4" s="206"/>
      <c r="G4" s="206" t="s">
        <v>307</v>
      </c>
      <c r="H4" s="206"/>
      <c r="I4" s="206"/>
    </row>
    <row r="5" spans="1:9">
      <c r="A5" s="206" t="s">
        <v>249</v>
      </c>
      <c r="B5" s="206" t="s">
        <v>248</v>
      </c>
      <c r="C5" s="206"/>
      <c r="D5" s="206"/>
      <c r="E5" s="206"/>
      <c r="F5" s="206"/>
      <c r="G5" s="206" t="s">
        <v>249</v>
      </c>
      <c r="H5" s="206"/>
      <c r="I5" s="206"/>
    </row>
    <row r="6" spans="1:9" ht="15.75" thickBot="1">
      <c r="A6" s="207" t="s">
        <v>250</v>
      </c>
      <c r="B6" s="207" t="s">
        <v>248</v>
      </c>
      <c r="C6" s="207"/>
      <c r="D6" s="207"/>
      <c r="E6" s="207"/>
      <c r="F6" s="207"/>
      <c r="G6" s="207" t="s">
        <v>307</v>
      </c>
      <c r="H6" s="207"/>
      <c r="I6" s="207"/>
    </row>
    <row r="7" spans="1:9" ht="15.75" thickBot="1">
      <c r="A7" s="203" t="s">
        <v>251</v>
      </c>
      <c r="B7" s="204" t="s">
        <v>236</v>
      </c>
      <c r="C7" s="204" t="s">
        <v>237</v>
      </c>
      <c r="D7" s="204" t="s">
        <v>252</v>
      </c>
      <c r="E7" s="204" t="s">
        <v>308</v>
      </c>
      <c r="F7" s="204" t="s">
        <v>253</v>
      </c>
      <c r="G7" s="204"/>
      <c r="H7" s="204"/>
      <c r="I7" s="204"/>
    </row>
    <row r="8" spans="1:9">
      <c r="A8" s="205" t="s">
        <v>254</v>
      </c>
      <c r="B8" s="205" t="s">
        <v>243</v>
      </c>
      <c r="C8" s="205"/>
      <c r="D8" s="205"/>
      <c r="E8" s="205"/>
      <c r="F8" s="205"/>
      <c r="G8" s="210" t="s">
        <v>309</v>
      </c>
      <c r="H8" s="205"/>
      <c r="I8" s="205"/>
    </row>
    <row r="9" spans="1:9">
      <c r="A9" s="206" t="s">
        <v>255</v>
      </c>
      <c r="B9" s="206" t="s">
        <v>256</v>
      </c>
      <c r="C9" s="206"/>
      <c r="D9" s="206"/>
      <c r="E9" s="206"/>
      <c r="F9" s="206"/>
      <c r="G9" s="206" t="s">
        <v>310</v>
      </c>
      <c r="H9" s="206"/>
      <c r="I9" s="206"/>
    </row>
    <row r="10" spans="1:9">
      <c r="A10" s="206" t="s">
        <v>257</v>
      </c>
      <c r="B10" s="206" t="s">
        <v>256</v>
      </c>
      <c r="C10" s="206"/>
      <c r="D10" s="206"/>
      <c r="E10" s="206"/>
      <c r="F10" s="206"/>
      <c r="G10" s="206" t="s">
        <v>311</v>
      </c>
      <c r="H10" s="206"/>
      <c r="I10" s="206"/>
    </row>
    <row r="11" spans="1:9">
      <c r="A11" s="206" t="s">
        <v>258</v>
      </c>
      <c r="B11" s="206" t="s">
        <v>256</v>
      </c>
      <c r="C11" s="206"/>
      <c r="D11" s="206"/>
      <c r="E11" s="206"/>
      <c r="F11" s="206"/>
      <c r="G11" s="206" t="s">
        <v>312</v>
      </c>
      <c r="H11" s="206"/>
      <c r="I11" s="206"/>
    </row>
    <row r="12" spans="1:9">
      <c r="A12" s="206" t="s">
        <v>259</v>
      </c>
      <c r="B12" s="206" t="s">
        <v>260</v>
      </c>
      <c r="C12" s="206"/>
      <c r="D12" s="206"/>
      <c r="E12" s="206"/>
      <c r="F12" s="206"/>
      <c r="G12" s="206" t="s">
        <v>310</v>
      </c>
      <c r="H12" s="206"/>
      <c r="I12" s="206"/>
    </row>
    <row r="13" spans="1:9" ht="15.75" thickBot="1">
      <c r="A13" s="207" t="s">
        <v>261</v>
      </c>
      <c r="B13" s="207" t="s">
        <v>243</v>
      </c>
      <c r="C13" s="207"/>
      <c r="D13" s="207"/>
      <c r="E13" s="207"/>
      <c r="F13" s="207"/>
      <c r="G13" s="207" t="s">
        <v>262</v>
      </c>
      <c r="H13" s="207"/>
      <c r="I13" s="207"/>
    </row>
    <row r="14" spans="1:9" ht="15.75" thickBot="1">
      <c r="A14" s="203" t="s">
        <v>263</v>
      </c>
      <c r="B14" s="204" t="s">
        <v>264</v>
      </c>
      <c r="C14" s="204" t="s">
        <v>265</v>
      </c>
      <c r="D14" s="204" t="s">
        <v>266</v>
      </c>
      <c r="E14" s="204" t="s">
        <v>308</v>
      </c>
      <c r="F14" s="204" t="s">
        <v>267</v>
      </c>
      <c r="G14" s="204"/>
      <c r="H14" s="204"/>
      <c r="I14" s="204"/>
    </row>
    <row r="15" spans="1:9">
      <c r="A15" s="205" t="s">
        <v>268</v>
      </c>
      <c r="B15" s="205" t="s">
        <v>243</v>
      </c>
      <c r="C15" s="205"/>
      <c r="D15" s="205"/>
      <c r="E15" s="205"/>
      <c r="F15" s="205"/>
      <c r="G15" s="210" t="s">
        <v>313</v>
      </c>
      <c r="H15" s="205"/>
      <c r="I15" s="205"/>
    </row>
    <row r="16" spans="1:9">
      <c r="A16" s="206" t="s">
        <v>269</v>
      </c>
      <c r="B16" s="206">
        <v>400</v>
      </c>
      <c r="C16" s="206"/>
      <c r="D16" s="206"/>
      <c r="E16" s="206"/>
      <c r="F16" s="206"/>
      <c r="G16" s="206" t="s">
        <v>270</v>
      </c>
      <c r="H16" s="206"/>
      <c r="I16" s="206"/>
    </row>
    <row r="17" spans="1:9">
      <c r="A17" s="206" t="s">
        <v>271</v>
      </c>
      <c r="B17" s="206">
        <v>400</v>
      </c>
      <c r="C17" s="206"/>
      <c r="D17" s="206"/>
      <c r="E17" s="206"/>
      <c r="F17" s="206"/>
      <c r="G17" s="206" t="s">
        <v>272</v>
      </c>
      <c r="H17" s="206"/>
      <c r="I17" s="206"/>
    </row>
    <row r="18" spans="1:9">
      <c r="A18" s="206" t="s">
        <v>273</v>
      </c>
      <c r="B18" s="206">
        <v>400</v>
      </c>
      <c r="C18" s="206"/>
      <c r="D18" s="206"/>
      <c r="E18" s="206"/>
      <c r="F18" s="206"/>
      <c r="G18" s="206" t="s">
        <v>274</v>
      </c>
      <c r="H18" s="206"/>
      <c r="I18" s="206"/>
    </row>
    <row r="19" spans="1:9">
      <c r="A19" s="206" t="s">
        <v>275</v>
      </c>
      <c r="B19" s="206">
        <v>400</v>
      </c>
      <c r="C19" s="206"/>
      <c r="D19" s="206"/>
      <c r="E19" s="206"/>
      <c r="F19" s="206"/>
      <c r="G19" s="183" t="s">
        <v>276</v>
      </c>
      <c r="H19" s="206"/>
      <c r="I19" s="206"/>
    </row>
    <row r="20" spans="1:9">
      <c r="A20" s="206" t="s">
        <v>277</v>
      </c>
      <c r="B20" s="206">
        <v>400</v>
      </c>
      <c r="C20" s="206"/>
      <c r="D20" s="206"/>
      <c r="E20" s="206"/>
      <c r="F20" s="206"/>
      <c r="G20" s="206" t="s">
        <v>278</v>
      </c>
      <c r="H20" s="206"/>
      <c r="I20" s="206"/>
    </row>
    <row r="21" spans="1:9">
      <c r="A21" s="206" t="s">
        <v>279</v>
      </c>
      <c r="B21" s="206">
        <v>800</v>
      </c>
      <c r="C21" s="206"/>
      <c r="D21" s="206"/>
      <c r="E21" s="206"/>
      <c r="F21" s="206"/>
      <c r="G21" s="206" t="s">
        <v>280</v>
      </c>
      <c r="H21" s="206"/>
      <c r="I21" s="206"/>
    </row>
    <row r="22" spans="1:9" ht="15.75" thickBot="1">
      <c r="A22" s="207" t="s">
        <v>281</v>
      </c>
      <c r="B22" s="207" t="s">
        <v>243</v>
      </c>
      <c r="C22" s="207"/>
      <c r="D22" s="207"/>
      <c r="E22" s="207"/>
      <c r="F22" s="207"/>
      <c r="G22" s="207" t="s">
        <v>262</v>
      </c>
      <c r="H22" s="207"/>
      <c r="I22" s="207"/>
    </row>
    <row r="23" spans="1:9" ht="15.75" thickBot="1">
      <c r="A23" s="203" t="s">
        <v>282</v>
      </c>
      <c r="B23" s="204" t="s">
        <v>264</v>
      </c>
      <c r="C23" s="204" t="s">
        <v>265</v>
      </c>
      <c r="D23" s="204" t="s">
        <v>266</v>
      </c>
      <c r="E23" s="204" t="s">
        <v>308</v>
      </c>
      <c r="F23" s="204" t="s">
        <v>267</v>
      </c>
      <c r="G23" s="204"/>
      <c r="H23" s="204"/>
      <c r="I23" s="204"/>
    </row>
    <row r="24" spans="1:9">
      <c r="A24" s="205" t="s">
        <v>283</v>
      </c>
      <c r="B24" s="205" t="s">
        <v>243</v>
      </c>
      <c r="C24" s="205"/>
      <c r="D24" s="205"/>
      <c r="E24" s="205"/>
      <c r="F24" s="205"/>
      <c r="G24" s="183" t="s">
        <v>244</v>
      </c>
      <c r="H24" s="205"/>
      <c r="I24" s="205"/>
    </row>
    <row r="25" spans="1:9">
      <c r="A25" s="206" t="s">
        <v>284</v>
      </c>
      <c r="B25" s="206">
        <v>400</v>
      </c>
      <c r="C25" s="206" t="s">
        <v>285</v>
      </c>
      <c r="D25" s="206"/>
      <c r="E25" s="206"/>
      <c r="F25" s="206"/>
      <c r="G25" s="206" t="s">
        <v>131</v>
      </c>
      <c r="H25" s="206"/>
      <c r="I25" s="206"/>
    </row>
    <row r="26" spans="1:9">
      <c r="A26" s="206" t="s">
        <v>286</v>
      </c>
      <c r="B26" s="206">
        <v>400</v>
      </c>
      <c r="C26" s="206" t="s">
        <v>285</v>
      </c>
      <c r="D26" s="206"/>
      <c r="E26" s="206"/>
      <c r="F26" s="206"/>
      <c r="G26" s="206" t="s">
        <v>314</v>
      </c>
      <c r="H26" s="206"/>
      <c r="I26" s="206"/>
    </row>
    <row r="27" spans="1:9">
      <c r="A27" s="206" t="s">
        <v>287</v>
      </c>
      <c r="B27" s="206">
        <v>400</v>
      </c>
      <c r="C27" s="206"/>
      <c r="D27" s="206"/>
      <c r="E27" s="206"/>
      <c r="F27" s="206"/>
      <c r="G27" s="206" t="s">
        <v>315</v>
      </c>
      <c r="H27" s="206"/>
      <c r="I27" s="206"/>
    </row>
    <row r="28" spans="1:9">
      <c r="A28" s="206" t="s">
        <v>288</v>
      </c>
      <c r="B28" s="206">
        <v>1000</v>
      </c>
      <c r="C28" s="206"/>
      <c r="D28" s="206"/>
      <c r="E28" s="206"/>
      <c r="F28" s="206"/>
      <c r="G28" s="206" t="s">
        <v>288</v>
      </c>
      <c r="H28" s="206"/>
      <c r="I28" s="206"/>
    </row>
    <row r="29" spans="1:9" ht="15.75" thickBot="1">
      <c r="A29" s="430" t="s">
        <v>382</v>
      </c>
      <c r="B29" s="207">
        <v>1000</v>
      </c>
      <c r="C29" s="207"/>
      <c r="D29" s="207"/>
      <c r="E29" s="207"/>
      <c r="F29" s="207"/>
      <c r="G29" s="207"/>
      <c r="H29" s="207"/>
      <c r="I29" s="207"/>
    </row>
    <row r="30" spans="1:9" ht="15.75" thickBot="1">
      <c r="A30" s="203" t="s">
        <v>290</v>
      </c>
      <c r="B30" s="204" t="s">
        <v>264</v>
      </c>
      <c r="C30" s="204" t="s">
        <v>265</v>
      </c>
      <c r="D30" s="204" t="s">
        <v>266</v>
      </c>
      <c r="E30" s="204" t="s">
        <v>308</v>
      </c>
      <c r="F30" s="204" t="s">
        <v>267</v>
      </c>
      <c r="G30" s="204"/>
      <c r="H30" s="204"/>
      <c r="I30" s="204"/>
    </row>
    <row r="31" spans="1:9">
      <c r="A31" s="205" t="s">
        <v>28</v>
      </c>
      <c r="B31" s="205" t="s">
        <v>243</v>
      </c>
      <c r="C31" s="205"/>
      <c r="D31" s="205"/>
      <c r="E31" s="205"/>
      <c r="F31" s="205"/>
      <c r="G31" s="183" t="s">
        <v>244</v>
      </c>
      <c r="H31" s="205"/>
      <c r="I31" s="205"/>
    </row>
    <row r="32" spans="1:9">
      <c r="A32" s="206" t="s">
        <v>291</v>
      </c>
      <c r="B32" s="206">
        <v>1000</v>
      </c>
      <c r="C32" s="206"/>
      <c r="D32" s="206"/>
      <c r="E32" s="206"/>
      <c r="F32" s="206"/>
      <c r="G32" s="206" t="s">
        <v>292</v>
      </c>
      <c r="H32" s="206"/>
      <c r="I32" s="206"/>
    </row>
    <row r="33" spans="1:9">
      <c r="A33" s="206" t="s">
        <v>293</v>
      </c>
      <c r="B33" s="206">
        <v>630</v>
      </c>
      <c r="C33" s="206"/>
      <c r="D33" s="206"/>
      <c r="E33" s="206"/>
      <c r="F33" s="206"/>
      <c r="G33" s="206" t="s">
        <v>294</v>
      </c>
      <c r="H33" s="206"/>
      <c r="I33" s="206"/>
    </row>
    <row r="34" spans="1:9">
      <c r="A34" s="206" t="s">
        <v>295</v>
      </c>
      <c r="B34" s="206">
        <v>630</v>
      </c>
      <c r="C34" s="206"/>
      <c r="D34" s="206"/>
      <c r="E34" s="206"/>
      <c r="F34" s="206"/>
      <c r="G34" s="206" t="s">
        <v>296</v>
      </c>
      <c r="H34" s="206"/>
      <c r="I34" s="206"/>
    </row>
    <row r="35" spans="1:9">
      <c r="A35" s="206" t="s">
        <v>297</v>
      </c>
      <c r="B35" s="206">
        <v>630</v>
      </c>
      <c r="C35" s="206"/>
      <c r="D35" s="206"/>
      <c r="E35" s="206"/>
      <c r="F35" s="206"/>
      <c r="G35" s="206" t="s">
        <v>298</v>
      </c>
      <c r="H35" s="206"/>
      <c r="I35" s="206"/>
    </row>
    <row r="36" spans="1:9">
      <c r="A36" s="206" t="s">
        <v>299</v>
      </c>
      <c r="B36" s="206">
        <v>400</v>
      </c>
      <c r="C36" s="206"/>
      <c r="D36" s="206"/>
      <c r="E36" s="206"/>
      <c r="F36" s="206"/>
      <c r="G36" s="206" t="s">
        <v>274</v>
      </c>
      <c r="H36" s="206"/>
      <c r="I36" s="206"/>
    </row>
    <row r="37" spans="1:9">
      <c r="A37" s="207" t="s">
        <v>289</v>
      </c>
      <c r="B37" s="207">
        <v>1000</v>
      </c>
      <c r="C37" s="207"/>
      <c r="D37" s="207"/>
      <c r="E37" s="207"/>
      <c r="F37" s="207"/>
      <c r="G37" s="207" t="s">
        <v>289</v>
      </c>
      <c r="H37" s="207"/>
      <c r="I37" s="207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ySplit="1" topLeftCell="A19" activePane="bottomLeft" state="frozen"/>
      <selection pane="bottomLeft" activeCell="K36" sqref="K36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34" customWidth="1"/>
    <col min="12" max="12" width="25.5703125" bestFit="1" customWidth="1"/>
    <col min="14" max="14" width="14.28515625" customWidth="1"/>
  </cols>
  <sheetData>
    <row r="1" spans="1:18" ht="39.75" customHeight="1" thickBot="1">
      <c r="A1" s="668" t="s">
        <v>51</v>
      </c>
      <c r="B1" s="680" t="s">
        <v>321</v>
      </c>
      <c r="C1" s="681"/>
      <c r="D1" s="683"/>
      <c r="E1" s="680" t="s">
        <v>322</v>
      </c>
      <c r="F1" s="681"/>
      <c r="G1" s="682"/>
      <c r="H1" s="677" t="s">
        <v>327</v>
      </c>
      <c r="I1" s="674" t="s">
        <v>328</v>
      </c>
      <c r="J1" s="671" t="s">
        <v>43</v>
      </c>
    </row>
    <row r="2" spans="1:18" ht="38.25" thickBot="1">
      <c r="A2" s="669"/>
      <c r="B2" s="265" t="s">
        <v>323</v>
      </c>
      <c r="C2" s="266" t="s">
        <v>324</v>
      </c>
      <c r="D2" s="240"/>
      <c r="E2" s="241">
        <v>3.5</v>
      </c>
      <c r="F2" s="267" t="s">
        <v>324</v>
      </c>
      <c r="G2" s="242"/>
      <c r="H2" s="678"/>
      <c r="I2" s="675"/>
      <c r="J2" s="672"/>
    </row>
    <row r="3" spans="1:18" ht="24" customHeight="1" thickBot="1">
      <c r="A3" s="670"/>
      <c r="B3" s="243" t="s">
        <v>331</v>
      </c>
      <c r="C3" s="244" t="s">
        <v>325</v>
      </c>
      <c r="D3" s="244" t="s">
        <v>332</v>
      </c>
      <c r="E3" s="245" t="s">
        <v>331</v>
      </c>
      <c r="F3" s="244" t="s">
        <v>325</v>
      </c>
      <c r="G3" s="245" t="s">
        <v>332</v>
      </c>
      <c r="H3" s="679"/>
      <c r="I3" s="676"/>
      <c r="J3" s="673"/>
    </row>
    <row r="4" spans="1:18" ht="19.5" thickBot="1">
      <c r="A4" s="250"/>
      <c r="B4" s="562"/>
      <c r="C4" s="562"/>
      <c r="D4" s="562"/>
      <c r="E4" s="562"/>
      <c r="F4" s="562"/>
      <c r="G4" s="562"/>
      <c r="H4" s="251">
        <v>0</v>
      </c>
      <c r="I4" s="251"/>
      <c r="J4" s="529"/>
      <c r="L4" s="3"/>
      <c r="M4" s="3" t="s">
        <v>393</v>
      </c>
      <c r="N4" s="3" t="s">
        <v>394</v>
      </c>
      <c r="O4" s="3" t="s">
        <v>395</v>
      </c>
    </row>
    <row r="5" spans="1:18" ht="16.5" customHeight="1" thickBot="1">
      <c r="A5" s="560">
        <f>ELEC!C2</f>
        <v>43799</v>
      </c>
      <c r="B5" s="563"/>
      <c r="C5" s="563"/>
      <c r="D5" s="563"/>
      <c r="E5" s="563"/>
      <c r="F5" s="563"/>
      <c r="G5" s="563"/>
      <c r="H5" s="561" t="s">
        <v>413</v>
      </c>
      <c r="I5" s="432">
        <f>'[1]Swimming Pool quality check '!I36</f>
        <v>10</v>
      </c>
      <c r="J5" s="432">
        <f>'[1]Swimming Pool quality check '!J36</f>
        <v>0.33333333333333398</v>
      </c>
      <c r="K5" s="432">
        <v>0</v>
      </c>
      <c r="L5" s="559">
        <f>'[1]Swimming Pool quality check '!L36</f>
        <v>43800</v>
      </c>
      <c r="M5" s="561" t="s">
        <v>413</v>
      </c>
      <c r="N5" s="561" t="s">
        <v>413</v>
      </c>
      <c r="O5" s="561" t="s">
        <v>413</v>
      </c>
    </row>
    <row r="6" spans="1:18" ht="15.75" customHeight="1" thickBot="1">
      <c r="A6" s="246">
        <f>ELEC!C3</f>
        <v>43800</v>
      </c>
      <c r="B6" s="563">
        <v>2</v>
      </c>
      <c r="C6" s="563">
        <v>8.4</v>
      </c>
      <c r="D6" s="563">
        <v>26</v>
      </c>
      <c r="E6" s="563"/>
      <c r="F6" s="563"/>
      <c r="G6" s="563"/>
      <c r="H6" s="432">
        <f>+M6</f>
        <v>5644</v>
      </c>
      <c r="I6" s="248">
        <v>0</v>
      </c>
      <c r="J6" s="530">
        <v>0.29166666666666669</v>
      </c>
      <c r="L6" s="100">
        <f t="shared" ref="L6:L35" si="0">A6</f>
        <v>43800</v>
      </c>
      <c r="M6" s="3">
        <v>5644</v>
      </c>
      <c r="N6" s="3">
        <v>0</v>
      </c>
      <c r="O6" s="3">
        <f>SUM(M6:N6)</f>
        <v>5644</v>
      </c>
    </row>
    <row r="7" spans="1:18" ht="15.75" thickBot="1">
      <c r="A7" s="246">
        <f>ELEC!C4</f>
        <v>43801</v>
      </c>
      <c r="B7" s="563">
        <v>2</v>
      </c>
      <c r="C7" s="563">
        <v>8.1</v>
      </c>
      <c r="D7" s="563">
        <v>26</v>
      </c>
      <c r="E7" s="563"/>
      <c r="F7" s="563"/>
      <c r="G7" s="563"/>
      <c r="H7" s="432">
        <f t="shared" ref="H7:H36" si="1">+M7</f>
        <v>5648</v>
      </c>
      <c r="I7" s="248">
        <f>H7-H6</f>
        <v>4</v>
      </c>
      <c r="J7" s="531">
        <v>0.29166666666666669</v>
      </c>
      <c r="L7" s="100">
        <f t="shared" si="0"/>
        <v>43801</v>
      </c>
      <c r="M7" s="3">
        <v>5648</v>
      </c>
      <c r="N7" s="3">
        <v>0</v>
      </c>
      <c r="O7" s="3">
        <f>SUM(M7:N7)</f>
        <v>5648</v>
      </c>
    </row>
    <row r="8" spans="1:18" ht="15.75" thickBot="1">
      <c r="A8" s="246">
        <f>ELEC!C5</f>
        <v>43802</v>
      </c>
      <c r="B8" s="563">
        <v>2</v>
      </c>
      <c r="C8" s="563">
        <v>8</v>
      </c>
      <c r="D8" s="563">
        <v>26</v>
      </c>
      <c r="E8" s="563">
        <v>1.5</v>
      </c>
      <c r="F8" s="563">
        <v>7.8</v>
      </c>
      <c r="G8" s="563">
        <v>29</v>
      </c>
      <c r="H8" s="432">
        <f t="shared" si="1"/>
        <v>5651</v>
      </c>
      <c r="I8" s="248">
        <f>H8-H7</f>
        <v>3</v>
      </c>
      <c r="J8" s="531">
        <v>0.29166666666666669</v>
      </c>
      <c r="L8" s="100">
        <f t="shared" si="0"/>
        <v>43802</v>
      </c>
      <c r="M8" s="3">
        <v>5651</v>
      </c>
      <c r="N8" s="3">
        <v>0</v>
      </c>
      <c r="O8" s="3">
        <f>SUM(M8:N8)</f>
        <v>5651</v>
      </c>
    </row>
    <row r="9" spans="1:18" ht="15.75" thickBot="1">
      <c r="A9" s="246">
        <f>ELEC!C6</f>
        <v>43803</v>
      </c>
      <c r="B9" s="563">
        <v>2</v>
      </c>
      <c r="C9" s="563">
        <v>7.8</v>
      </c>
      <c r="D9" s="563">
        <v>22</v>
      </c>
      <c r="E9" s="563">
        <v>1.5</v>
      </c>
      <c r="F9" s="563">
        <v>8</v>
      </c>
      <c r="G9" s="563">
        <v>29</v>
      </c>
      <c r="H9" s="432">
        <f t="shared" si="1"/>
        <v>5653</v>
      </c>
      <c r="I9" s="248">
        <f>H9-H8</f>
        <v>2</v>
      </c>
      <c r="J9" s="531">
        <v>0.29166666666666669</v>
      </c>
      <c r="L9" s="100">
        <f t="shared" si="0"/>
        <v>43803</v>
      </c>
      <c r="M9" s="3">
        <v>5653</v>
      </c>
      <c r="N9" s="3">
        <v>0</v>
      </c>
      <c r="O9" s="3">
        <f t="shared" ref="O9:O36" si="2">SUM(M9:N9)</f>
        <v>5653</v>
      </c>
    </row>
    <row r="10" spans="1:18" ht="15.75" thickBot="1">
      <c r="A10" s="246">
        <f>ELEC!C7</f>
        <v>43804</v>
      </c>
      <c r="B10" s="563">
        <v>1.9</v>
      </c>
      <c r="C10" s="563">
        <v>8</v>
      </c>
      <c r="D10" s="563">
        <v>20</v>
      </c>
      <c r="E10" s="563">
        <v>2.5</v>
      </c>
      <c r="F10" s="563">
        <v>8</v>
      </c>
      <c r="G10" s="563">
        <v>20</v>
      </c>
      <c r="H10" s="432">
        <f t="shared" si="1"/>
        <v>5657</v>
      </c>
      <c r="I10" s="248">
        <f t="shared" ref="I10:I35" si="3">H10-H9</f>
        <v>4</v>
      </c>
      <c r="J10" s="531">
        <v>0.29166666666666669</v>
      </c>
      <c r="L10" s="100">
        <f t="shared" si="0"/>
        <v>43804</v>
      </c>
      <c r="M10" s="3">
        <v>5657</v>
      </c>
      <c r="N10" s="3">
        <v>0</v>
      </c>
      <c r="O10" s="3">
        <f t="shared" si="2"/>
        <v>5657</v>
      </c>
    </row>
    <row r="11" spans="1:18" ht="15.75" thickBot="1">
      <c r="A11" s="246">
        <f>ELEC!C8</f>
        <v>43805</v>
      </c>
      <c r="B11" s="563">
        <v>1</v>
      </c>
      <c r="C11" s="563">
        <v>8</v>
      </c>
      <c r="D11" s="563">
        <v>24</v>
      </c>
      <c r="E11" s="563">
        <v>2</v>
      </c>
      <c r="F11" s="563">
        <v>8</v>
      </c>
      <c r="G11" s="563">
        <v>34</v>
      </c>
      <c r="H11" s="432">
        <f t="shared" si="1"/>
        <v>5666</v>
      </c>
      <c r="I11" s="248">
        <f t="shared" si="3"/>
        <v>9</v>
      </c>
      <c r="J11" s="531">
        <v>0.29166666666666669</v>
      </c>
      <c r="L11" s="100">
        <f t="shared" si="0"/>
        <v>43805</v>
      </c>
      <c r="M11" s="3">
        <v>5666</v>
      </c>
      <c r="N11" s="3">
        <v>0</v>
      </c>
      <c r="O11" s="3">
        <f t="shared" si="2"/>
        <v>5666</v>
      </c>
    </row>
    <row r="12" spans="1:18" ht="16.5" thickBot="1">
      <c r="A12" s="246">
        <f>ELEC!C9</f>
        <v>43806</v>
      </c>
      <c r="B12" s="563">
        <v>1.5</v>
      </c>
      <c r="C12" s="563">
        <v>8</v>
      </c>
      <c r="D12" s="563">
        <v>24</v>
      </c>
      <c r="E12" s="563">
        <v>2.5</v>
      </c>
      <c r="F12" s="563">
        <v>8</v>
      </c>
      <c r="G12" s="563">
        <v>33</v>
      </c>
      <c r="H12" s="432">
        <f t="shared" si="1"/>
        <v>5669</v>
      </c>
      <c r="I12" s="248">
        <f>H12-H11</f>
        <v>3</v>
      </c>
      <c r="J12" s="531">
        <v>0.29166666666666669</v>
      </c>
      <c r="L12" s="100">
        <f t="shared" si="0"/>
        <v>43806</v>
      </c>
      <c r="M12" s="3">
        <v>5669</v>
      </c>
      <c r="N12" s="3">
        <v>0</v>
      </c>
      <c r="O12" s="3">
        <f t="shared" si="2"/>
        <v>5669</v>
      </c>
      <c r="P12" s="474"/>
      <c r="Q12" s="381"/>
      <c r="R12" s="381"/>
    </row>
    <row r="13" spans="1:18" ht="15.75" thickBot="1">
      <c r="A13" s="246">
        <f>ELEC!C10</f>
        <v>43807</v>
      </c>
      <c r="B13" s="563">
        <v>1.5</v>
      </c>
      <c r="C13" s="563">
        <v>8</v>
      </c>
      <c r="D13" s="563">
        <v>22</v>
      </c>
      <c r="E13" s="563">
        <v>2</v>
      </c>
      <c r="F13" s="563">
        <v>8</v>
      </c>
      <c r="G13" s="563">
        <v>30</v>
      </c>
      <c r="H13" s="432">
        <f t="shared" si="1"/>
        <v>5672</v>
      </c>
      <c r="I13" s="248">
        <f t="shared" si="3"/>
        <v>3</v>
      </c>
      <c r="J13" s="531">
        <v>0.29166666666666669</v>
      </c>
      <c r="L13" s="100">
        <f t="shared" si="0"/>
        <v>43807</v>
      </c>
      <c r="M13" s="3">
        <v>5672</v>
      </c>
      <c r="N13" s="3"/>
      <c r="O13" s="3">
        <f t="shared" si="2"/>
        <v>5672</v>
      </c>
    </row>
    <row r="14" spans="1:18" ht="15.75" thickBot="1">
      <c r="A14" s="246">
        <f>ELEC!C11</f>
        <v>43808</v>
      </c>
      <c r="B14" s="563">
        <v>1.5</v>
      </c>
      <c r="C14" s="563">
        <v>8</v>
      </c>
      <c r="D14" s="563">
        <v>19</v>
      </c>
      <c r="E14" s="563">
        <v>2</v>
      </c>
      <c r="F14" s="563">
        <v>8</v>
      </c>
      <c r="G14" s="563">
        <v>33</v>
      </c>
      <c r="H14" s="432">
        <f t="shared" si="1"/>
        <v>5675</v>
      </c>
      <c r="I14" s="248">
        <f t="shared" si="3"/>
        <v>3</v>
      </c>
      <c r="J14" s="531">
        <v>0.29166666666666669</v>
      </c>
      <c r="L14" s="100">
        <f t="shared" si="0"/>
        <v>43808</v>
      </c>
      <c r="M14" s="3">
        <v>5675</v>
      </c>
      <c r="N14" s="3"/>
      <c r="O14" s="3">
        <f t="shared" si="2"/>
        <v>5675</v>
      </c>
    </row>
    <row r="15" spans="1:18" ht="15.75" thickBot="1">
      <c r="A15" s="246">
        <f>ELEC!C12</f>
        <v>43809</v>
      </c>
      <c r="B15" s="563">
        <v>1.5</v>
      </c>
      <c r="C15" s="563">
        <v>7.8</v>
      </c>
      <c r="D15" s="563">
        <v>19</v>
      </c>
      <c r="E15" s="563">
        <v>2</v>
      </c>
      <c r="F15" s="563">
        <v>8</v>
      </c>
      <c r="G15" s="563">
        <v>32</v>
      </c>
      <c r="H15" s="432">
        <f t="shared" si="1"/>
        <v>5680</v>
      </c>
      <c r="I15" s="248">
        <f t="shared" si="3"/>
        <v>5</v>
      </c>
      <c r="J15" s="531">
        <v>0.29166666666666669</v>
      </c>
      <c r="L15" s="100">
        <f t="shared" si="0"/>
        <v>43809</v>
      </c>
      <c r="M15" s="3">
        <v>5680</v>
      </c>
      <c r="N15" s="3"/>
      <c r="O15" s="3">
        <f t="shared" si="2"/>
        <v>5680</v>
      </c>
    </row>
    <row r="16" spans="1:18" ht="15.75" thickBot="1">
      <c r="A16" s="246">
        <f>ELEC!C13</f>
        <v>43810</v>
      </c>
      <c r="B16" s="563">
        <v>1.5</v>
      </c>
      <c r="C16" s="563">
        <v>7.8</v>
      </c>
      <c r="D16" s="563">
        <v>19</v>
      </c>
      <c r="E16" s="563">
        <v>2</v>
      </c>
      <c r="F16" s="563">
        <v>8</v>
      </c>
      <c r="G16" s="563">
        <v>32</v>
      </c>
      <c r="H16" s="432">
        <f t="shared" si="1"/>
        <v>5683</v>
      </c>
      <c r="I16" s="248">
        <f t="shared" si="3"/>
        <v>3</v>
      </c>
      <c r="J16" s="531">
        <v>0.29166666666666669</v>
      </c>
      <c r="L16" s="100">
        <f t="shared" si="0"/>
        <v>43810</v>
      </c>
      <c r="M16" s="3">
        <v>5683</v>
      </c>
      <c r="N16" s="3"/>
      <c r="O16" s="3">
        <f t="shared" si="2"/>
        <v>5683</v>
      </c>
    </row>
    <row r="17" spans="1:17" ht="15.75" thickBot="1">
      <c r="A17" s="246">
        <f>ELEC!C14</f>
        <v>43811</v>
      </c>
      <c r="B17" s="563">
        <v>1.5</v>
      </c>
      <c r="C17" s="563">
        <v>7.8</v>
      </c>
      <c r="D17" s="563">
        <v>19</v>
      </c>
      <c r="E17" s="563">
        <v>2</v>
      </c>
      <c r="F17" s="563">
        <v>8</v>
      </c>
      <c r="G17" s="563">
        <v>32</v>
      </c>
      <c r="H17" s="432">
        <f t="shared" si="1"/>
        <v>5690</v>
      </c>
      <c r="I17" s="248">
        <f t="shared" si="3"/>
        <v>7</v>
      </c>
      <c r="J17" s="531">
        <v>0.29166666666666669</v>
      </c>
      <c r="L17" s="100">
        <f t="shared" si="0"/>
        <v>43811</v>
      </c>
      <c r="M17" s="3">
        <v>5690</v>
      </c>
      <c r="N17" s="3"/>
      <c r="O17" s="3">
        <f t="shared" si="2"/>
        <v>5690</v>
      </c>
    </row>
    <row r="18" spans="1:17" ht="15.75" thickBot="1">
      <c r="A18" s="246">
        <f>ELEC!C15</f>
        <v>43812</v>
      </c>
      <c r="B18" s="563">
        <v>1.5</v>
      </c>
      <c r="C18" s="563">
        <v>7.8</v>
      </c>
      <c r="D18" s="563">
        <v>19</v>
      </c>
      <c r="E18" s="563">
        <v>2</v>
      </c>
      <c r="F18" s="563">
        <v>8</v>
      </c>
      <c r="G18" s="563">
        <v>32</v>
      </c>
      <c r="H18" s="432">
        <f t="shared" si="1"/>
        <v>5693</v>
      </c>
      <c r="I18" s="248">
        <f t="shared" si="3"/>
        <v>3</v>
      </c>
      <c r="J18" s="531">
        <v>0.29166666666666669</v>
      </c>
      <c r="L18" s="100">
        <f t="shared" si="0"/>
        <v>43812</v>
      </c>
      <c r="M18" s="3">
        <v>5693</v>
      </c>
      <c r="N18" s="3"/>
      <c r="O18" s="3">
        <f t="shared" si="2"/>
        <v>5693</v>
      </c>
    </row>
    <row r="19" spans="1:17" ht="15.75" thickBot="1">
      <c r="A19" s="246">
        <f>ELEC!C16</f>
        <v>43813</v>
      </c>
      <c r="B19" s="563">
        <v>1.5</v>
      </c>
      <c r="C19" s="563">
        <v>7.8</v>
      </c>
      <c r="D19" s="563">
        <v>22.1</v>
      </c>
      <c r="E19" s="563">
        <v>2</v>
      </c>
      <c r="F19" s="563">
        <v>8.1</v>
      </c>
      <c r="G19" s="568">
        <v>34</v>
      </c>
      <c r="H19" s="432">
        <f t="shared" si="1"/>
        <v>5698</v>
      </c>
      <c r="I19" s="248">
        <f t="shared" si="3"/>
        <v>5</v>
      </c>
      <c r="J19" s="531">
        <v>0.29166666666666669</v>
      </c>
      <c r="L19" s="100">
        <f t="shared" si="0"/>
        <v>43813</v>
      </c>
      <c r="M19" s="3">
        <v>5698</v>
      </c>
      <c r="N19" s="3"/>
      <c r="O19" s="3">
        <f t="shared" si="2"/>
        <v>5698</v>
      </c>
    </row>
    <row r="20" spans="1:17" ht="15.75" thickBot="1">
      <c r="A20" s="246">
        <f>ELEC!C17</f>
        <v>43814</v>
      </c>
      <c r="B20" s="563">
        <v>1.5</v>
      </c>
      <c r="C20" s="563">
        <v>7.8</v>
      </c>
      <c r="D20" s="563">
        <v>20</v>
      </c>
      <c r="E20" s="563">
        <v>2.5</v>
      </c>
      <c r="F20" s="563">
        <v>8.1</v>
      </c>
      <c r="G20" s="563">
        <v>29</v>
      </c>
      <c r="H20" s="432">
        <f t="shared" si="1"/>
        <v>5699</v>
      </c>
      <c r="I20" s="248">
        <f t="shared" si="3"/>
        <v>1</v>
      </c>
      <c r="J20" s="531">
        <v>0.29166666666666669</v>
      </c>
      <c r="L20" s="100">
        <f t="shared" si="0"/>
        <v>43814</v>
      </c>
      <c r="M20" s="3">
        <v>5699</v>
      </c>
      <c r="N20" s="3"/>
      <c r="O20" s="3">
        <f t="shared" si="2"/>
        <v>5699</v>
      </c>
    </row>
    <row r="21" spans="1:17" ht="15.75" thickBot="1">
      <c r="A21" s="246">
        <f>ELEC!C18</f>
        <v>43815</v>
      </c>
      <c r="B21" s="563">
        <v>1.5</v>
      </c>
      <c r="C21" s="563">
        <v>7.8</v>
      </c>
      <c r="D21" s="563">
        <v>20</v>
      </c>
      <c r="E21" s="563">
        <v>2.1</v>
      </c>
      <c r="F21" s="563">
        <v>8.1</v>
      </c>
      <c r="G21" s="563">
        <v>29</v>
      </c>
      <c r="H21" s="432">
        <f t="shared" si="1"/>
        <v>5700</v>
      </c>
      <c r="I21" s="248">
        <f t="shared" si="3"/>
        <v>1</v>
      </c>
      <c r="J21" s="531">
        <v>0.29166666666666669</v>
      </c>
      <c r="L21" s="100">
        <f t="shared" si="0"/>
        <v>43815</v>
      </c>
      <c r="M21" s="3">
        <v>5700</v>
      </c>
      <c r="N21" s="3"/>
      <c r="O21" s="3">
        <f t="shared" si="2"/>
        <v>5700</v>
      </c>
    </row>
    <row r="22" spans="1:17" ht="15.75" thickBot="1">
      <c r="A22" s="246">
        <f>ELEC!C19</f>
        <v>43816</v>
      </c>
      <c r="B22" s="563">
        <v>1.4</v>
      </c>
      <c r="C22" s="563">
        <v>7.8</v>
      </c>
      <c r="D22" s="563">
        <v>20</v>
      </c>
      <c r="E22" s="563">
        <v>2.2999999999999998</v>
      </c>
      <c r="F22" s="563">
        <v>8.1999999999999993</v>
      </c>
      <c r="G22" s="563">
        <v>29</v>
      </c>
      <c r="H22" s="432">
        <f t="shared" si="1"/>
        <v>5708</v>
      </c>
      <c r="I22" s="248">
        <f t="shared" si="3"/>
        <v>8</v>
      </c>
      <c r="J22" s="531">
        <v>0.29166666666666669</v>
      </c>
      <c r="L22" s="100">
        <f t="shared" si="0"/>
        <v>43816</v>
      </c>
      <c r="M22" s="3">
        <v>5708</v>
      </c>
      <c r="N22" s="3"/>
      <c r="O22" s="3">
        <f t="shared" si="2"/>
        <v>5708</v>
      </c>
    </row>
    <row r="23" spans="1:17" ht="15.75" thickBot="1">
      <c r="A23" s="246">
        <f>ELEC!C20</f>
        <v>43817</v>
      </c>
      <c r="B23" s="563">
        <v>1.5</v>
      </c>
      <c r="C23" s="563">
        <v>7.8</v>
      </c>
      <c r="D23" s="563">
        <v>20</v>
      </c>
      <c r="E23" s="563">
        <v>2</v>
      </c>
      <c r="F23" s="563">
        <v>8.1</v>
      </c>
      <c r="G23" s="563">
        <v>21</v>
      </c>
      <c r="H23" s="432">
        <f t="shared" si="1"/>
        <v>5714</v>
      </c>
      <c r="I23" s="248">
        <f t="shared" si="3"/>
        <v>6</v>
      </c>
      <c r="J23" s="531">
        <v>0.29166666666666669</v>
      </c>
      <c r="L23" s="100">
        <f t="shared" si="0"/>
        <v>43817</v>
      </c>
      <c r="M23" s="3">
        <v>5714</v>
      </c>
      <c r="N23" s="3"/>
      <c r="O23" s="3">
        <f t="shared" si="2"/>
        <v>5714</v>
      </c>
    </row>
    <row r="24" spans="1:17" ht="15.75" thickBot="1">
      <c r="A24" s="246">
        <f>ELEC!C21</f>
        <v>43818</v>
      </c>
      <c r="B24" s="563">
        <v>1.6</v>
      </c>
      <c r="C24" s="563">
        <v>7.9</v>
      </c>
      <c r="D24" s="563">
        <v>20</v>
      </c>
      <c r="E24" s="563">
        <v>2.5</v>
      </c>
      <c r="F24" s="563">
        <v>8.1999999999999993</v>
      </c>
      <c r="G24" s="563">
        <v>20</v>
      </c>
      <c r="H24" s="432">
        <f t="shared" si="1"/>
        <v>5718</v>
      </c>
      <c r="I24" s="248">
        <f t="shared" si="3"/>
        <v>4</v>
      </c>
      <c r="J24" s="531">
        <v>0.29166666666666702</v>
      </c>
      <c r="L24" s="100">
        <f t="shared" si="0"/>
        <v>43818</v>
      </c>
      <c r="M24" s="3">
        <v>5718</v>
      </c>
      <c r="N24" s="3"/>
      <c r="O24" s="3">
        <f t="shared" si="2"/>
        <v>5718</v>
      </c>
    </row>
    <row r="25" spans="1:17" ht="15.75" thickBot="1">
      <c r="A25" s="246">
        <f>ELEC!C22</f>
        <v>43819</v>
      </c>
      <c r="B25" s="563">
        <v>1.5</v>
      </c>
      <c r="C25" s="563">
        <v>7.8</v>
      </c>
      <c r="D25" s="563">
        <v>20</v>
      </c>
      <c r="E25" s="563">
        <v>2</v>
      </c>
      <c r="F25" s="563">
        <v>8</v>
      </c>
      <c r="G25" s="563">
        <v>20</v>
      </c>
      <c r="H25" s="432">
        <f t="shared" si="1"/>
        <v>5729</v>
      </c>
      <c r="I25" s="248">
        <f t="shared" si="3"/>
        <v>11</v>
      </c>
      <c r="J25" s="531">
        <v>0.29166666666666702</v>
      </c>
      <c r="L25" s="100">
        <f t="shared" si="0"/>
        <v>43819</v>
      </c>
      <c r="M25" s="577">
        <v>5729</v>
      </c>
      <c r="N25" s="3"/>
      <c r="O25" s="3">
        <f t="shared" si="2"/>
        <v>5729</v>
      </c>
    </row>
    <row r="26" spans="1:17" ht="15.75" thickBot="1">
      <c r="A26" s="246">
        <f>ELEC!C23</f>
        <v>43820</v>
      </c>
      <c r="B26" s="563">
        <v>1.5</v>
      </c>
      <c r="C26" s="563">
        <v>7.8</v>
      </c>
      <c r="D26" s="563">
        <v>20</v>
      </c>
      <c r="E26" s="563">
        <v>2.5</v>
      </c>
      <c r="F26" s="563">
        <v>8</v>
      </c>
      <c r="G26" s="563">
        <v>20</v>
      </c>
      <c r="H26" s="432">
        <f t="shared" si="1"/>
        <v>5732</v>
      </c>
      <c r="I26" s="248">
        <f t="shared" si="3"/>
        <v>3</v>
      </c>
      <c r="J26" s="531">
        <v>0.29166666666666702</v>
      </c>
      <c r="L26" s="100">
        <f t="shared" si="0"/>
        <v>43820</v>
      </c>
      <c r="M26" s="3">
        <v>5732</v>
      </c>
      <c r="N26" s="3"/>
      <c r="O26" s="3">
        <f t="shared" si="2"/>
        <v>5732</v>
      </c>
    </row>
    <row r="27" spans="1:17" ht="15.75" thickBot="1">
      <c r="A27" s="246">
        <f>ELEC!C24</f>
        <v>43821</v>
      </c>
      <c r="B27" s="563">
        <v>2.5</v>
      </c>
      <c r="C27" s="563">
        <v>7.8</v>
      </c>
      <c r="D27" s="563">
        <v>20</v>
      </c>
      <c r="E27" s="563">
        <v>2.5</v>
      </c>
      <c r="F27" s="563">
        <v>8</v>
      </c>
      <c r="G27" s="563">
        <v>20</v>
      </c>
      <c r="H27" s="432">
        <f t="shared" si="1"/>
        <v>5740</v>
      </c>
      <c r="I27" s="248">
        <f t="shared" si="3"/>
        <v>8</v>
      </c>
      <c r="J27" s="531">
        <v>0.29166666666666702</v>
      </c>
      <c r="L27" s="100">
        <f t="shared" si="0"/>
        <v>43821</v>
      </c>
      <c r="M27" s="3">
        <v>5740</v>
      </c>
      <c r="N27" s="3"/>
      <c r="O27" s="3">
        <f t="shared" si="2"/>
        <v>5740</v>
      </c>
    </row>
    <row r="28" spans="1:17" ht="15.75" thickBot="1">
      <c r="A28" s="246">
        <f>ELEC!C25</f>
        <v>43822</v>
      </c>
      <c r="B28" s="563">
        <v>2.5</v>
      </c>
      <c r="C28" s="563">
        <v>7.8</v>
      </c>
      <c r="D28" s="563">
        <v>20</v>
      </c>
      <c r="E28" s="563">
        <v>2</v>
      </c>
      <c r="F28" s="563">
        <v>8</v>
      </c>
      <c r="G28" s="563">
        <v>20</v>
      </c>
      <c r="H28" s="432">
        <f t="shared" si="1"/>
        <v>5743</v>
      </c>
      <c r="I28" s="248">
        <f t="shared" si="3"/>
        <v>3</v>
      </c>
      <c r="J28" s="532">
        <v>0.29166666666666702</v>
      </c>
      <c r="L28" s="100">
        <f t="shared" si="0"/>
        <v>43822</v>
      </c>
      <c r="M28" s="3">
        <v>5743</v>
      </c>
      <c r="N28" s="3"/>
      <c r="O28" s="3">
        <f t="shared" si="2"/>
        <v>5743</v>
      </c>
    </row>
    <row r="29" spans="1:17" ht="15.75" thickBot="1">
      <c r="A29" s="246">
        <f>ELEC!C26</f>
        <v>43823</v>
      </c>
      <c r="B29" s="563">
        <v>1.5</v>
      </c>
      <c r="C29" s="563">
        <v>7.8</v>
      </c>
      <c r="D29" s="563">
        <v>19</v>
      </c>
      <c r="E29" s="563">
        <v>2</v>
      </c>
      <c r="F29" s="563">
        <v>7.8</v>
      </c>
      <c r="G29" s="563">
        <v>20</v>
      </c>
      <c r="H29" s="432">
        <f t="shared" si="1"/>
        <v>5752</v>
      </c>
      <c r="I29" s="248">
        <f t="shared" si="3"/>
        <v>9</v>
      </c>
      <c r="J29" s="531">
        <v>0.29166666666666702</v>
      </c>
      <c r="L29" s="100">
        <f t="shared" si="0"/>
        <v>43823</v>
      </c>
      <c r="M29" s="3">
        <v>5752</v>
      </c>
      <c r="N29" s="3"/>
      <c r="O29" s="3">
        <f t="shared" si="2"/>
        <v>5752</v>
      </c>
    </row>
    <row r="30" spans="1:17" ht="15.75" thickBot="1">
      <c r="A30" s="246">
        <f>ELEC!C27</f>
        <v>43824</v>
      </c>
      <c r="B30" s="563">
        <v>1.5</v>
      </c>
      <c r="C30" s="563">
        <v>7.8</v>
      </c>
      <c r="D30" s="563">
        <v>20</v>
      </c>
      <c r="E30" s="563">
        <v>2</v>
      </c>
      <c r="F30" s="563">
        <v>8</v>
      </c>
      <c r="G30" s="563">
        <v>20</v>
      </c>
      <c r="H30" s="432">
        <f t="shared" si="1"/>
        <v>5756</v>
      </c>
      <c r="I30" s="248">
        <f t="shared" si="3"/>
        <v>4</v>
      </c>
      <c r="J30" s="531">
        <v>0.29166666666666702</v>
      </c>
      <c r="L30" s="100">
        <f t="shared" si="0"/>
        <v>43824</v>
      </c>
      <c r="M30" s="3">
        <v>5756</v>
      </c>
      <c r="N30" s="3"/>
      <c r="O30" s="3">
        <f t="shared" si="2"/>
        <v>5756</v>
      </c>
    </row>
    <row r="31" spans="1:17" ht="15.75" thickBot="1">
      <c r="A31" s="246">
        <f>ELEC!C28</f>
        <v>43825</v>
      </c>
      <c r="B31" s="563">
        <v>1.5</v>
      </c>
      <c r="C31" s="563">
        <v>7.8</v>
      </c>
      <c r="D31" s="563">
        <v>20</v>
      </c>
      <c r="E31" s="563">
        <v>2</v>
      </c>
      <c r="F31" s="563">
        <v>7.8</v>
      </c>
      <c r="G31" s="563">
        <v>20</v>
      </c>
      <c r="H31" s="432">
        <f t="shared" si="1"/>
        <v>5758</v>
      </c>
      <c r="I31" s="248">
        <f t="shared" si="3"/>
        <v>2</v>
      </c>
      <c r="J31" s="531">
        <v>0.29166666666666702</v>
      </c>
      <c r="L31" s="100">
        <f t="shared" si="0"/>
        <v>43825</v>
      </c>
      <c r="M31" s="3">
        <v>5758</v>
      </c>
      <c r="N31" s="3"/>
      <c r="O31" s="3">
        <f t="shared" si="2"/>
        <v>5758</v>
      </c>
    </row>
    <row r="32" spans="1:17" ht="15.75" thickBot="1">
      <c r="A32" s="246">
        <f>ELEC!C29</f>
        <v>43826</v>
      </c>
      <c r="B32" s="563">
        <v>1.5</v>
      </c>
      <c r="C32" s="563">
        <v>8</v>
      </c>
      <c r="D32" s="563">
        <v>19</v>
      </c>
      <c r="E32" s="563">
        <v>2</v>
      </c>
      <c r="F32" s="563">
        <v>8</v>
      </c>
      <c r="G32" s="563">
        <v>18</v>
      </c>
      <c r="H32" s="432">
        <f t="shared" si="1"/>
        <v>5758</v>
      </c>
      <c r="I32" s="248">
        <f t="shared" si="3"/>
        <v>0</v>
      </c>
      <c r="J32" s="531">
        <v>0.29166666666666702</v>
      </c>
      <c r="L32" s="100">
        <f t="shared" si="0"/>
        <v>43826</v>
      </c>
      <c r="M32" s="3">
        <v>5758</v>
      </c>
      <c r="N32" s="3"/>
      <c r="O32" s="3">
        <f t="shared" si="2"/>
        <v>5758</v>
      </c>
    </row>
    <row r="33" spans="1:15" ht="15.75" thickBot="1">
      <c r="A33" s="246">
        <f>ELEC!C30</f>
        <v>43827</v>
      </c>
      <c r="B33" s="563">
        <v>1.5</v>
      </c>
      <c r="C33" s="563">
        <v>8</v>
      </c>
      <c r="D33" s="563">
        <v>19</v>
      </c>
      <c r="E33" s="563">
        <v>1.5</v>
      </c>
      <c r="F33" s="563">
        <v>8</v>
      </c>
      <c r="G33" s="563">
        <v>19</v>
      </c>
      <c r="H33" s="432">
        <f t="shared" si="1"/>
        <v>5769</v>
      </c>
      <c r="I33" s="248">
        <f t="shared" si="3"/>
        <v>11</v>
      </c>
      <c r="J33" s="531">
        <v>0.29166666666666702</v>
      </c>
      <c r="L33" s="100">
        <f t="shared" si="0"/>
        <v>43827</v>
      </c>
      <c r="M33" s="3">
        <v>5769</v>
      </c>
      <c r="N33" s="3"/>
      <c r="O33" s="3">
        <f t="shared" si="2"/>
        <v>5769</v>
      </c>
    </row>
    <row r="34" spans="1:15" ht="15" customHeight="1" thickBot="1">
      <c r="A34" s="246">
        <f>ELEC!C31</f>
        <v>43828</v>
      </c>
      <c r="B34" s="563">
        <v>1.5</v>
      </c>
      <c r="C34" s="563">
        <v>7.8</v>
      </c>
      <c r="D34" s="563">
        <v>18</v>
      </c>
      <c r="E34" s="563">
        <v>1.5</v>
      </c>
      <c r="F34" s="563">
        <v>8</v>
      </c>
      <c r="G34" s="563">
        <v>18</v>
      </c>
      <c r="H34" s="432">
        <f t="shared" si="1"/>
        <v>5773</v>
      </c>
      <c r="I34" s="248">
        <f t="shared" si="3"/>
        <v>4</v>
      </c>
      <c r="J34" s="531">
        <v>0.29166666666666702</v>
      </c>
      <c r="L34" s="100">
        <f t="shared" si="0"/>
        <v>43828</v>
      </c>
      <c r="M34" s="3">
        <v>5773</v>
      </c>
      <c r="N34" s="3"/>
      <c r="O34" s="3">
        <f t="shared" si="2"/>
        <v>5773</v>
      </c>
    </row>
    <row r="35" spans="1:15" ht="15.75" thickBot="1">
      <c r="A35" s="433">
        <f>ELEC!C32</f>
        <v>43829</v>
      </c>
      <c r="B35" s="563">
        <v>1.5</v>
      </c>
      <c r="C35" s="563">
        <v>8</v>
      </c>
      <c r="D35" s="563">
        <v>19</v>
      </c>
      <c r="E35" s="563">
        <v>1.8</v>
      </c>
      <c r="F35" s="563">
        <v>8</v>
      </c>
      <c r="G35" s="563">
        <v>18</v>
      </c>
      <c r="H35" s="432">
        <f t="shared" si="1"/>
        <v>5773</v>
      </c>
      <c r="I35" s="248">
        <f t="shared" si="3"/>
        <v>0</v>
      </c>
      <c r="J35" s="533">
        <v>0.29166666666666702</v>
      </c>
      <c r="L35" s="100">
        <f t="shared" si="0"/>
        <v>43829</v>
      </c>
      <c r="M35" s="3">
        <f t="shared" ref="M35:M36" si="4">M34</f>
        <v>5773</v>
      </c>
      <c r="N35" s="3"/>
      <c r="O35" s="3">
        <f t="shared" si="2"/>
        <v>5773</v>
      </c>
    </row>
    <row r="36" spans="1:15" ht="15.75" thickBot="1">
      <c r="A36" s="433">
        <f>ELEC!C33</f>
        <v>43830</v>
      </c>
      <c r="B36" s="563">
        <v>1</v>
      </c>
      <c r="C36" s="563">
        <v>7.8</v>
      </c>
      <c r="D36" s="563">
        <v>19</v>
      </c>
      <c r="E36" s="563">
        <v>1.3</v>
      </c>
      <c r="F36" s="563">
        <v>8.1999999999999993</v>
      </c>
      <c r="G36" s="563">
        <v>18</v>
      </c>
      <c r="H36" s="432">
        <f t="shared" si="1"/>
        <v>5773</v>
      </c>
      <c r="I36" s="153">
        <f>H36-H35</f>
        <v>0</v>
      </c>
      <c r="J36" s="533">
        <v>0.33333333333333398</v>
      </c>
      <c r="L36" s="100">
        <f>A36</f>
        <v>43830</v>
      </c>
      <c r="M36" s="3">
        <f t="shared" si="4"/>
        <v>5773</v>
      </c>
      <c r="N36" s="3"/>
      <c r="O36" s="3">
        <f t="shared" si="2"/>
        <v>5773</v>
      </c>
    </row>
    <row r="37" spans="1:15" ht="15.75" thickBot="1">
      <c r="A37" s="418"/>
      <c r="B37" s="535"/>
      <c r="C37" s="536"/>
      <c r="D37" s="536"/>
      <c r="E37" s="536"/>
      <c r="F37" s="536"/>
      <c r="G37" s="536"/>
      <c r="H37" s="537"/>
      <c r="I37" s="538"/>
      <c r="J37" s="539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R23" sqref="R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</vt:i4>
      </vt:variant>
    </vt:vector>
  </HeadingPairs>
  <TitlesOfParts>
    <vt:vector size="22" baseType="lpstr">
      <vt:lpstr>Total</vt:lpstr>
      <vt:lpstr>Submetering</vt:lpstr>
      <vt:lpstr>ELEC</vt:lpstr>
      <vt:lpstr>B5</vt:lpstr>
      <vt:lpstr>GEN</vt:lpstr>
      <vt:lpstr>WATER</vt:lpstr>
      <vt:lpstr>graphic</vt:lpstr>
      <vt:lpstr>General information </vt:lpstr>
      <vt:lpstr>tanks</vt:lpstr>
      <vt:lpstr>EDl log</vt:lpstr>
      <vt:lpstr>Degree Days 2018</vt:lpstr>
      <vt:lpstr>Sheet1</vt:lpstr>
      <vt:lpstr>Report</vt:lpstr>
      <vt:lpstr>Sheet5</vt:lpstr>
      <vt:lpstr>Utility Cost </vt:lpstr>
      <vt:lpstr>MDB</vt:lpstr>
      <vt:lpstr>Swimming Pool quality check </vt:lpstr>
      <vt:lpstr>Sheet2</vt:lpstr>
      <vt:lpstr>Sheet6</vt:lpstr>
      <vt:lpstr>Sheet7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hussein.saleh</cp:lastModifiedBy>
  <cp:lastPrinted>2019-11-26T05:48:35Z</cp:lastPrinted>
  <dcterms:created xsi:type="dcterms:W3CDTF">2015-01-02T09:20:21Z</dcterms:created>
  <dcterms:modified xsi:type="dcterms:W3CDTF">2020-01-02T13:36:24Z</dcterms:modified>
</cp:coreProperties>
</file>