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<sst xmlns="http://schemas.openxmlformats.org/spreadsheetml/2006/main" count="128" uniqueCount="49">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</sst>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620.80723999999998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2" sqref="D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620.80723999999998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F15" sqref="F1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44561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/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382819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1640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 t="str">
        <f t="shared" ref="Q9:Q30" si="16">IF((C9-C8&lt;0), "0",C9-C8)</f>
        <v>0</v>
      </c>
      <c r="R9" s="37" t="str">
        <f t="shared" ref="R9:R35" si="17">IF((D9-D8&lt;0), "0",D9-D8)</f>
        <v>0</v>
      </c>
      <c r="S9" s="37" t="str">
        <f t="shared" si="15"/>
        <v>0</v>
      </c>
      <c r="T9" s="37" t="str">
        <f t="shared" ref="T9:T35" si="18">IF((F9-F8&lt;0), "0",F9-F8)</f>
        <v>0</v>
      </c>
      <c r="U9" s="37" t="str">
        <f t="shared" ref="U9:U35" si="19">IF((G9-G8&lt;0), "0",G9-G8)</f>
        <v>0</v>
      </c>
      <c r="V9" s="37" t="str">
        <f t="shared" ref="V9:V35" si="20">IF((H9-H8&lt;0), "0",H9-H8)</f>
        <v>0</v>
      </c>
      <c r="W9" s="37" t="str">
        <f t="shared" ref="W9:W35" si="21">IF((I9-I8&lt;0), "0",I9-I8)</f>
        <v>0</v>
      </c>
      <c r="X9" s="37" t="str">
        <f t="shared" ref="X9:X35" si="22">IF((J9-J8&lt;0), "0",J9-J8)</f>
        <v>0</v>
      </c>
      <c r="Y9" s="37" t="str">
        <f t="shared" ref="Y9:Y35" si="23">IF((K9-K8&lt;0), "0",K9-K8)</f>
        <v>0</v>
      </c>
      <c r="Z9" s="37" t="str">
        <f t="shared" ref="Z9:Z35" si="24">IF((L9-L8&lt;0), "0",L9-L8)</f>
        <v>0</v>
      </c>
      <c r="AA9" s="37" t="str">
        <f t="shared" ref="AA9:AA35" si="25">IF((M9-M8&lt;0), "0",M9-M8)</f>
        <v>0</v>
      </c>
      <c r="AB9" s="37" t="str">
        <f t="shared" ref="AB9:AB37" si="26">IF((N9-N8&lt;0), "0",N9-N8)</f>
        <v>0</v>
      </c>
      <c r="AC9" s="37" t="str">
        <f t="shared" ref="AC9:AC37" si="27">IF((O9-O8&lt;0), "0",O9-O8)</f>
        <v>0</v>
      </c>
      <c r="AD9" s="35">
        <f t="shared" ref="AD9:AD37" si="28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29">SUM(AF9:AR9)</f>
        <v>0</v>
      </c>
      <c r="AU9" s="47"/>
      <c r="AV9" s="37" t="str">
        <f>IF((AU9-AU8&lt;0),"0",AU9-AU8)</f>
        <v>0</v>
      </c>
      <c r="AW9" s="35">
        <f t="shared" ref="AW9:AW35" si="30">AV9*$D$40</f>
        <v>0</v>
      </c>
    </row>
    <row r="10" spans="1:49" x14ac:dyDescent="0.25">
      <c r="A10" s="23">
        <v>44200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6"/>
        <v>0</v>
      </c>
      <c r="R10" s="37">
        <f t="shared" si="17"/>
        <v>0</v>
      </c>
      <c r="S10" s="37">
        <f t="shared" si="15"/>
        <v>0</v>
      </c>
      <c r="T10" s="37">
        <f t="shared" si="18"/>
        <v>0</v>
      </c>
      <c r="U10" s="37">
        <f t="shared" si="19"/>
        <v>0</v>
      </c>
      <c r="V10" s="37">
        <f t="shared" si="20"/>
        <v>0</v>
      </c>
      <c r="W10" s="37">
        <f t="shared" si="21"/>
        <v>0</v>
      </c>
      <c r="X10" s="37">
        <f t="shared" si="22"/>
        <v>0</v>
      </c>
      <c r="Y10" s="37">
        <f t="shared" si="23"/>
        <v>0</v>
      </c>
      <c r="Z10" s="37">
        <f t="shared" si="24"/>
        <v>0</v>
      </c>
      <c r="AA10" s="37">
        <f t="shared" si="25"/>
        <v>0</v>
      </c>
      <c r="AB10" s="37">
        <f t="shared" si="26"/>
        <v>0</v>
      </c>
      <c r="AC10" s="37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44201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44202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44203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44204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44205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44206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44207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44208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44209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44210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44211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44212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44213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44214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44215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44216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44217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44218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44219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1140</v>
      </c>
      <c r="R38" s="30">
        <f t="shared" si="62"/>
        <v>3620</v>
      </c>
      <c r="S38" s="30">
        <f t="shared" si="62"/>
        <v>5400</v>
      </c>
      <c r="T38" s="30">
        <f t="shared" si="62"/>
        <v>2810</v>
      </c>
      <c r="U38" s="30">
        <f t="shared" si="62"/>
        <v>13370</v>
      </c>
      <c r="V38" s="30">
        <f t="shared" si="62"/>
        <v>7030</v>
      </c>
      <c r="W38" s="30">
        <f t="shared" si="62"/>
        <v>4590</v>
      </c>
      <c r="X38" s="30">
        <f t="shared" si="62"/>
        <v>8030</v>
      </c>
      <c r="Y38" s="30">
        <f t="shared" si="62"/>
        <v>11430</v>
      </c>
      <c r="Z38" s="30">
        <f t="shared" si="62"/>
        <v>5790</v>
      </c>
      <c r="AA38" s="30">
        <f t="shared" si="62"/>
        <v>8230</v>
      </c>
      <c r="AB38" s="30">
        <f t="shared" si="62"/>
        <v>13680</v>
      </c>
      <c r="AC38" s="30">
        <f t="shared" si="62"/>
        <v>21170</v>
      </c>
      <c r="AD38" s="35">
        <f t="shared" si="62"/>
        <v>106290</v>
      </c>
      <c r="AF38" s="35">
        <f t="shared" ref="AF38:AS38" si="63">SUM(AF7:AF34)</f>
        <v>5.7</v>
      </c>
      <c r="AG38" s="35">
        <f t="shared" si="63"/>
        <v>18.100000000000001</v>
      </c>
      <c r="AH38" s="35">
        <f t="shared" si="63"/>
        <v>27</v>
      </c>
      <c r="AI38" s="35">
        <f t="shared" si="63"/>
        <v>14.05</v>
      </c>
      <c r="AJ38" s="35">
        <f t="shared" si="63"/>
        <v>66.849999999999994</v>
      </c>
      <c r="AK38" s="35">
        <f t="shared" si="63"/>
        <v>35.150000000000006</v>
      </c>
      <c r="AL38" s="35">
        <f t="shared" si="63"/>
        <v>22.950000000000003</v>
      </c>
      <c r="AM38" s="35">
        <f t="shared" si="63"/>
        <v>40.150000000000006</v>
      </c>
      <c r="AN38" s="35">
        <f t="shared" si="63"/>
        <v>57.15</v>
      </c>
      <c r="AO38" s="35">
        <f t="shared" si="63"/>
        <v>28.950000000000003</v>
      </c>
      <c r="AP38" s="35">
        <f t="shared" si="63"/>
        <v>41.150000000000006</v>
      </c>
      <c r="AQ38" s="35">
        <f t="shared" si="63"/>
        <v>68.400000000000006</v>
      </c>
      <c r="AR38" s="35">
        <f t="shared" si="63"/>
        <v>105.85</v>
      </c>
      <c r="AS38" s="35">
        <f t="shared" si="63"/>
        <v>531.45000000000005</v>
      </c>
      <c r="AU38" s="48"/>
      <c r="AV38" s="35">
        <f>SUM(AV7:AV34)</f>
        <v>4073</v>
      </c>
      <c r="AW38" s="35">
        <f>SUM(AW7:AW34)</f>
        <v>0</v>
      </c>
    </row>
    <row r="39" spans="1:49" x14ac:dyDescent="0.25">
      <c r="D39">
        <v>5.0000000000000001E-3</v>
      </c>
      <c r="AV39" s="36">
        <f>AV38*0.00378541*1000</f>
        <v>15417.97493</v>
      </c>
    </row>
    <row r="40" spans="1:49" x14ac:dyDescent="0.25">
      <c r="D40">
        <v>2E-3</v>
      </c>
      <c r="AV40">
        <f>AV39/31</f>
        <v>497.35403000000002</v>
      </c>
    </row>
    <row r="41" spans="1:49" x14ac:dyDescent="0.25">
      <c r="AV41">
        <f>AV38*0.00378541</f>
        <v>15.41797493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2021-01-03T05:14:25Z</dcterms:modified>
</cp:coreProperties>
</file>