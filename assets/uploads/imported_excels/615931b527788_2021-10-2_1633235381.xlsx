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J4" i="2"/>
  <c r="I4" i="2"/>
  <c r="H4" i="2"/>
  <c r="F4" i="2"/>
  <c r="E4" i="2"/>
  <c r="K39" i="5" l="1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2" i="3" l="1"/>
  <c r="K12" i="3"/>
  <c r="I12" i="3"/>
  <c r="G12" i="3"/>
  <c r="E12" i="3"/>
  <c r="J12" i="2"/>
  <c r="I12" i="2"/>
  <c r="H12" i="2"/>
  <c r="F12" i="2"/>
  <c r="E12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<sst xmlns="http://schemas.openxmlformats.org/spreadsheetml/2006/main" count="107" uniqueCount="38">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</sst>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9" sqref="P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v>0</v>
      </c>
      <c r="F5" s="16">
        <v>0.11799999999999999</v>
      </c>
      <c r="G5" s="18">
        <v>0</v>
      </c>
      <c r="H5" s="16">
        <v>0.99</v>
      </c>
      <c r="I5" s="18">
        <v>0</v>
      </c>
      <c r="J5" s="16">
        <v>8.1000000000000003E-2</v>
      </c>
      <c r="K5" s="33">
        <v>0</v>
      </c>
      <c r="L5" s="18">
        <v>0</v>
      </c>
      <c r="M5" s="17">
        <v>4.393629424766913</v>
      </c>
      <c r="N5" s="28"/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0</v>
      </c>
      <c r="F6" s="16">
        <v>0.11799999999999999</v>
      </c>
      <c r="G6" s="18">
        <f>'10 - 2021'!D12-'10 - 2021'!D11+'10 - 2021'!E12-'10 - 2021'!E11</f>
        <v>0</v>
      </c>
      <c r="H6" s="16">
        <v>0.99</v>
      </c>
      <c r="I6" s="18">
        <f>'10 - 2021'!J12-'10 - 2021'!J11</f>
        <v>0</v>
      </c>
      <c r="J6" s="16">
        <v>8.1000000000000003E-2</v>
      </c>
      <c r="K6" s="33">
        <f>'10 - 2021'!H12-'10 - 2021'!H11</f>
        <v>0</v>
      </c>
      <c r="L6" s="18">
        <f>'10 - 2021'!I12-'10 - 2021'!I11</f>
        <v>0</v>
      </c>
      <c r="M6" s="17">
        <v>4.393629424766913</v>
      </c>
      <c r="N6" s="28"/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0</v>
      </c>
      <c r="F7" s="16">
        <v>0.11799999999999999</v>
      </c>
      <c r="G7" s="18">
        <f>'10 - 2021'!D13-'10 - 2021'!D12+'10 - 2021'!E13-'10 - 2021'!E12</f>
        <v>0</v>
      </c>
      <c r="H7" s="16">
        <v>0.99</v>
      </c>
      <c r="I7" s="18">
        <f>'10 - 2021'!J13-'10 - 2021'!J12</f>
        <v>0</v>
      </c>
      <c r="J7" s="16">
        <v>8.1000000000000003E-2</v>
      </c>
      <c r="K7" s="33">
        <f>'10 - 2021'!H13-'10 - 2021'!H12</f>
        <v>0</v>
      </c>
      <c r="L7" s="18">
        <f>'10 - 2021'!I13-'10 - 2021'!I12</f>
        <v>0</v>
      </c>
      <c r="M7" s="17">
        <v>4.393629424766913</v>
      </c>
      <c r="N7" s="28"/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0</v>
      </c>
      <c r="F8" s="16">
        <v>0.11799999999999999</v>
      </c>
      <c r="G8" s="18">
        <f>'10 - 2021'!D14-'10 - 2021'!D13+'10 - 2021'!E14-'10 - 2021'!E13</f>
        <v>0</v>
      </c>
      <c r="H8" s="16">
        <v>0.99</v>
      </c>
      <c r="I8" s="18">
        <f>'10 - 2021'!J14-'10 - 2021'!J13</f>
        <v>0</v>
      </c>
      <c r="J8" s="16">
        <v>8.1000000000000003E-2</v>
      </c>
      <c r="K8" s="33">
        <f>'10 - 2021'!H14-'10 - 2021'!H13</f>
        <v>0</v>
      </c>
      <c r="L8" s="18">
        <f>'10 - 2021'!I14-'10 - 2021'!I13</f>
        <v>0</v>
      </c>
      <c r="M8" s="17">
        <v>4.393629424766913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0</v>
      </c>
      <c r="F9" s="16">
        <v>0.11799999999999999</v>
      </c>
      <c r="G9" s="18">
        <f>'10 - 2021'!D15-'10 - 2021'!D14+'10 - 2021'!E15-'10 - 2021'!E14</f>
        <v>0</v>
      </c>
      <c r="H9" s="16">
        <v>0.99</v>
      </c>
      <c r="I9" s="18">
        <f>'10 - 2021'!J15-'10 - 2021'!J14</f>
        <v>0</v>
      </c>
      <c r="J9" s="16">
        <v>8.1000000000000003E-2</v>
      </c>
      <c r="K9" s="33">
        <f>'10 - 2021'!H15-'10 - 2021'!H14</f>
        <v>0</v>
      </c>
      <c r="L9" s="18">
        <f>'10 - 2021'!I15-'10 - 2021'!I14</f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0</v>
      </c>
      <c r="F10" s="16">
        <v>0.11799999999999999</v>
      </c>
      <c r="G10" s="18">
        <f>'10 - 2021'!D16-'10 - 2021'!D15+'10 - 2021'!E16-'10 - 2021'!E15</f>
        <v>0</v>
      </c>
      <c r="H10" s="16">
        <v>0.99</v>
      </c>
      <c r="I10" s="18">
        <f>'10 - 2021'!J16-'10 - 2021'!J15</f>
        <v>0</v>
      </c>
      <c r="J10" s="16">
        <v>8.1000000000000003E-2</v>
      </c>
      <c r="K10" s="33">
        <f>'10 - 2021'!H16-'10 - 2021'!H15</f>
        <v>0</v>
      </c>
      <c r="L10" s="18">
        <f>'10 - 2021'!I16-'10 - 2021'!I15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0</v>
      </c>
      <c r="F11" s="16">
        <v>0.11799999999999999</v>
      </c>
      <c r="G11" s="18">
        <f>'10 - 2021'!D17-'10 - 2021'!D16+'10 - 2021'!E17-'10 - 2021'!E16</f>
        <v>0</v>
      </c>
      <c r="H11" s="16">
        <v>0.99</v>
      </c>
      <c r="I11" s="18">
        <f>'10 - 2021'!J17-'10 - 2021'!J16</f>
        <v>0</v>
      </c>
      <c r="J11" s="16">
        <v>8.1000000000000003E-2</v>
      </c>
      <c r="K11" s="33">
        <f>'10 - 2021'!H17-'10 - 2021'!H16</f>
        <v>0</v>
      </c>
      <c r="L11" s="18">
        <f>'10 - 2021'!I17-'10 - 2021'!I16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0</v>
      </c>
      <c r="F12" s="16">
        <v>0.11799999999999999</v>
      </c>
      <c r="G12" s="18">
        <f>'10 - 2021'!D18-'10 - 2021'!D17+'10 - 2021'!E18-'10 - 2021'!E17</f>
        <v>0</v>
      </c>
      <c r="H12" s="16">
        <v>0.99</v>
      </c>
      <c r="I12" s="18">
        <f>'10 - 2021'!J18-'10 - 2021'!J17</f>
        <v>0</v>
      </c>
      <c r="J12" s="16">
        <v>8.1000000000000003E-2</v>
      </c>
      <c r="K12" s="33">
        <f>'10 - 2021'!H18-'10 - 2021'!H17</f>
        <v>0</v>
      </c>
      <c r="L12" s="18">
        <f>'10 - 2021'!I18-'10 - 2021'!I17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0</v>
      </c>
      <c r="F13" s="16">
        <v>0.11799999999999999</v>
      </c>
      <c r="G13" s="18">
        <f>'10 - 2021'!D19-'10 - 2021'!D18+'10 - 2021'!E19-'10 - 2021'!E18</f>
        <v>0</v>
      </c>
      <c r="H13" s="16">
        <v>0.99</v>
      </c>
      <c r="I13" s="18">
        <f>'10 - 2021'!J19-'10 - 2021'!J18</f>
        <v>0</v>
      </c>
      <c r="J13" s="16">
        <v>8.1000000000000003E-2</v>
      </c>
      <c r="K13" s="33">
        <f>'10 - 2021'!H19-'10 - 2021'!H18</f>
        <v>0</v>
      </c>
      <c r="L13" s="18">
        <f>'10 - 2021'!I19-'10 - 2021'!I18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0</v>
      </c>
      <c r="F14" s="16">
        <v>0.11799999999999999</v>
      </c>
      <c r="G14" s="18">
        <f>'10 - 2021'!D20-'10 - 2021'!D19+'10 - 2021'!E20-'10 - 2021'!E19</f>
        <v>0</v>
      </c>
      <c r="H14" s="16">
        <v>0.99</v>
      </c>
      <c r="I14" s="18">
        <f>'10 - 2021'!J20-'10 - 2021'!J19</f>
        <v>0</v>
      </c>
      <c r="J14" s="16">
        <v>8.1000000000000003E-2</v>
      </c>
      <c r="K14" s="33">
        <f>'10 - 2021'!H20-'10 - 2021'!H19</f>
        <v>0</v>
      </c>
      <c r="L14" s="18">
        <f>'10 - 2021'!I20-'10 - 2021'!I19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0</v>
      </c>
      <c r="F15" s="16">
        <v>0.11799999999999999</v>
      </c>
      <c r="G15" s="18">
        <f>'10 - 2021'!D21-'10 - 2021'!D20+'10 - 2021'!E21-'10 - 2021'!E20</f>
        <v>0</v>
      </c>
      <c r="H15" s="16">
        <v>0.99</v>
      </c>
      <c r="I15" s="18">
        <f>'10 - 2021'!J21-'10 - 2021'!J20</f>
        <v>0</v>
      </c>
      <c r="J15" s="16">
        <v>8.1000000000000003E-2</v>
      </c>
      <c r="K15" s="33">
        <f>'10 - 2021'!H21-'10 - 2021'!H20</f>
        <v>0</v>
      </c>
      <c r="L15" s="18">
        <f>'10 - 2021'!I21-'10 - 2021'!I20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0</v>
      </c>
      <c r="F16" s="16">
        <v>0.11799999999999999</v>
      </c>
      <c r="G16" s="18">
        <f>'10 - 2021'!D22-'10 - 2021'!D21+'10 - 2021'!E22-'10 - 2021'!E21</f>
        <v>0</v>
      </c>
      <c r="H16" s="16">
        <v>0.99</v>
      </c>
      <c r="I16" s="18">
        <f>'10 - 2021'!J22-'10 - 2021'!J21</f>
        <v>0</v>
      </c>
      <c r="J16" s="16">
        <v>8.1000000000000003E-2</v>
      </c>
      <c r="K16" s="33">
        <f>'10 - 2021'!H22-'10 - 2021'!H21</f>
        <v>0</v>
      </c>
      <c r="L16" s="18">
        <f>'10 - 2021'!I22-'10 - 2021'!I21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0</v>
      </c>
      <c r="F17" s="16">
        <v>0.11799999999999999</v>
      </c>
      <c r="G17" s="18">
        <f>'10 - 2021'!D23-'10 - 2021'!D22+'10 - 2021'!E23-'10 - 2021'!E22</f>
        <v>0</v>
      </c>
      <c r="H17" s="16">
        <v>0.99</v>
      </c>
      <c r="I17" s="18">
        <f>'10 - 2021'!J23-'10 - 2021'!J22</f>
        <v>0</v>
      </c>
      <c r="J17" s="16">
        <v>8.1000000000000003E-2</v>
      </c>
      <c r="K17" s="33">
        <f>'10 - 2021'!H23-'10 - 2021'!H22</f>
        <v>0</v>
      </c>
      <c r="L17" s="18">
        <f>'10 - 2021'!I23-'10 - 2021'!I22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0</v>
      </c>
      <c r="F18" s="16">
        <v>0.11799999999999999</v>
      </c>
      <c r="G18" s="18">
        <f>'10 - 2021'!D24-'10 - 2021'!D23+'10 - 2021'!E24-'10 - 2021'!E23</f>
        <v>0</v>
      </c>
      <c r="H18" s="16">
        <v>0.99</v>
      </c>
      <c r="I18" s="18">
        <f>'10 - 2021'!J24-'10 - 2021'!J23</f>
        <v>0</v>
      </c>
      <c r="J18" s="16">
        <v>8.1000000000000003E-2</v>
      </c>
      <c r="K18" s="33">
        <f>'10 - 2021'!H24-'10 - 2021'!H23</f>
        <v>0</v>
      </c>
      <c r="L18" s="18">
        <f>'10 - 2021'!I24-'10 - 2021'!I23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0</v>
      </c>
      <c r="F19" s="16">
        <v>0.11799999999999999</v>
      </c>
      <c r="G19" s="18">
        <f>'10 - 2021'!D25-'10 - 2021'!D24+'10 - 2021'!E25-'10 - 2021'!E24</f>
        <v>0</v>
      </c>
      <c r="H19" s="16">
        <v>0.99</v>
      </c>
      <c r="I19" s="18">
        <f>'10 - 2021'!J25-'10 - 2021'!J24</f>
        <v>0</v>
      </c>
      <c r="J19" s="16">
        <v>8.1000000000000003E-2</v>
      </c>
      <c r="K19" s="33">
        <f>'10 - 2021'!H25-'10 - 2021'!H24</f>
        <v>0</v>
      </c>
      <c r="L19" s="18">
        <f>'10 - 2021'!I25-'10 - 2021'!I24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0</v>
      </c>
      <c r="F20" s="16">
        <v>0.11799999999999999</v>
      </c>
      <c r="G20" s="18">
        <f>'10 - 2021'!D26-'10 - 2021'!D25+'10 - 2021'!E26-'10 - 2021'!E25</f>
        <v>0</v>
      </c>
      <c r="H20" s="16">
        <v>0.99</v>
      </c>
      <c r="I20" s="18">
        <f>'10 - 2021'!J26-'10 - 2021'!J25</f>
        <v>0</v>
      </c>
      <c r="J20" s="16">
        <v>8.1000000000000003E-2</v>
      </c>
      <c r="K20" s="33">
        <f>'10 - 2021'!H26-'10 - 2021'!H25</f>
        <v>0</v>
      </c>
      <c r="L20" s="18">
        <f>'10 - 2021'!I26-'10 - 2021'!I25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0</v>
      </c>
      <c r="F21" s="16">
        <v>0.11799999999999999</v>
      </c>
      <c r="G21" s="18">
        <f>'10 - 2021'!D27-'10 - 2021'!D26+'10 - 2021'!E27-'10 - 2021'!E26</f>
        <v>0</v>
      </c>
      <c r="H21" s="16">
        <v>0.99</v>
      </c>
      <c r="I21" s="18">
        <f>'10 - 2021'!J27-'10 - 2021'!J26</f>
        <v>0</v>
      </c>
      <c r="J21" s="16">
        <v>8.1000000000000003E-2</v>
      </c>
      <c r="K21" s="33">
        <f>'10 - 2021'!H27-'10 - 2021'!H26</f>
        <v>0</v>
      </c>
      <c r="L21" s="18">
        <f>'10 - 2021'!I27-'10 - 2021'!I26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0</v>
      </c>
      <c r="F22" s="16">
        <v>0.11799999999999999</v>
      </c>
      <c r="G22" s="18">
        <f>'10 - 2021'!D28-'10 - 2021'!D27+'10 - 2021'!E28-'10 - 2021'!E27</f>
        <v>0</v>
      </c>
      <c r="H22" s="16">
        <v>0.99</v>
      </c>
      <c r="I22" s="18">
        <f>'10 - 2021'!J28-'10 - 2021'!J27</f>
        <v>0</v>
      </c>
      <c r="J22" s="16">
        <v>8.1000000000000003E-2</v>
      </c>
      <c r="K22" s="33">
        <f>'10 - 2021'!H28-'10 - 2021'!H27</f>
        <v>0</v>
      </c>
      <c r="L22" s="18">
        <f>'10 - 2021'!I28-'10 - 2021'!I27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0</v>
      </c>
      <c r="F23" s="16">
        <v>0.11799999999999999</v>
      </c>
      <c r="G23" s="18">
        <f>'10 - 2021'!D29-'10 - 2021'!D28+'10 - 2021'!E29-'10 - 2021'!E28</f>
        <v>0</v>
      </c>
      <c r="H23" s="16">
        <v>0.99</v>
      </c>
      <c r="I23" s="18">
        <f>'10 - 2021'!J29-'10 - 2021'!J28</f>
        <v>0</v>
      </c>
      <c r="J23" s="16">
        <v>8.1000000000000003E-2</v>
      </c>
      <c r="K23" s="33">
        <f>'10 - 2021'!H29-'10 - 2021'!H28</f>
        <v>0</v>
      </c>
      <c r="L23" s="18">
        <f>'10 - 2021'!I29-'10 - 2021'!I28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0</v>
      </c>
      <c r="F24" s="16">
        <v>0.11799999999999999</v>
      </c>
      <c r="G24" s="18">
        <f>'10 - 2021'!D30-'10 - 2021'!D29+'10 - 2021'!E30-'10 - 2021'!E29</f>
        <v>0</v>
      </c>
      <c r="H24" s="16">
        <v>0.99</v>
      </c>
      <c r="I24" s="18">
        <f>'10 - 2021'!J30-'10 - 2021'!J29</f>
        <v>0</v>
      </c>
      <c r="J24" s="16">
        <v>8.1000000000000003E-2</v>
      </c>
      <c r="K24" s="33">
        <f>'10 - 2021'!H30-'10 - 2021'!H29</f>
        <v>0</v>
      </c>
      <c r="L24" s="18">
        <f>'10 - 2021'!I30-'10 - 2021'!I29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0</v>
      </c>
      <c r="F25" s="16">
        <v>0.11799999999999999</v>
      </c>
      <c r="G25" s="18">
        <f>'10 - 2021'!D31-'10 - 2021'!D30+'10 - 2021'!E31-'10 - 2021'!E30</f>
        <v>0</v>
      </c>
      <c r="H25" s="16">
        <v>0.99</v>
      </c>
      <c r="I25" s="18">
        <f>'10 - 2021'!J31-'10 - 2021'!J30</f>
        <v>0</v>
      </c>
      <c r="J25" s="16">
        <v>8.1000000000000003E-2</v>
      </c>
      <c r="K25" s="33">
        <f>'10 - 2021'!H31-'10 - 2021'!H30</f>
        <v>0</v>
      </c>
      <c r="L25" s="18">
        <f>'10 - 2021'!I31-'10 - 2021'!I30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6" sqref="O16:P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v>0</v>
      </c>
      <c r="F5" s="18">
        <v>0</v>
      </c>
      <c r="G5" s="16">
        <v>0.11799999999999999</v>
      </c>
      <c r="H5" s="18">
        <v>0</v>
      </c>
      <c r="I5" s="18">
        <v>0</v>
      </c>
      <c r="J5" s="18">
        <v>0</v>
      </c>
      <c r="K5" s="16">
        <v>0.74</v>
      </c>
      <c r="L5" s="28"/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0</v>
      </c>
      <c r="F6" s="18">
        <f>'10 - 2021'!C12-'10 - 2021'!C11</f>
        <v>0</v>
      </c>
      <c r="G6" s="16">
        <v>0.11799999999999999</v>
      </c>
      <c r="H6" s="18">
        <f>'10 - 2021'!E12-'10 - 2021'!E11</f>
        <v>0</v>
      </c>
      <c r="I6" s="18">
        <f>'10 - 2021'!F12-'10 - 2021'!F11</f>
        <v>0</v>
      </c>
      <c r="J6" s="18">
        <f>'10 - 2021'!G12-'10 - 2021'!G11</f>
        <v>0</v>
      </c>
      <c r="K6" s="16">
        <v>0.74</v>
      </c>
      <c r="L6" s="28"/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0</v>
      </c>
      <c r="F7" s="18">
        <f>'10 - 2021'!C13-'10 - 2021'!C12</f>
        <v>0</v>
      </c>
      <c r="G7" s="16">
        <v>0.11799999999999999</v>
      </c>
      <c r="H7" s="18">
        <f>'10 - 2021'!E13-'10 - 2021'!E12</f>
        <v>0</v>
      </c>
      <c r="I7" s="18">
        <f>'10 - 2021'!F13-'10 - 2021'!F12</f>
        <v>0</v>
      </c>
      <c r="J7" s="18">
        <f>'10 - 2021'!G13-'10 - 2021'!G12</f>
        <v>0</v>
      </c>
      <c r="K7" s="16">
        <v>0.74</v>
      </c>
      <c r="L7" s="28"/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0</v>
      </c>
      <c r="F8" s="18">
        <f>'10 - 2021'!C14-'10 - 2021'!C13</f>
        <v>0</v>
      </c>
      <c r="G8" s="16">
        <v>0.11799999999999999</v>
      </c>
      <c r="H8" s="18">
        <f>'10 - 2021'!E14-'10 - 2021'!E13</f>
        <v>0</v>
      </c>
      <c r="I8" s="18">
        <f>'10 - 2021'!F14-'10 - 2021'!F13</f>
        <v>0</v>
      </c>
      <c r="J8" s="18">
        <f>'10 - 2021'!G14-'10 - 2021'!G13</f>
        <v>0</v>
      </c>
      <c r="K8" s="16">
        <v>0.74</v>
      </c>
      <c r="L8" s="28"/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0</v>
      </c>
      <c r="F9" s="18">
        <f>'10 - 2021'!C15-'10 - 2021'!C14</f>
        <v>0</v>
      </c>
      <c r="G9" s="16">
        <v>0.11799999999999999</v>
      </c>
      <c r="H9" s="18">
        <f>'10 - 2021'!E15-'10 - 2021'!E14</f>
        <v>0</v>
      </c>
      <c r="I9" s="18">
        <f>'10 - 2021'!F15-'10 - 2021'!F14</f>
        <v>0</v>
      </c>
      <c r="J9" s="18">
        <f>'10 - 2021'!G15-'10 - 2021'!G14</f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0</v>
      </c>
      <c r="F10" s="18">
        <f>'10 - 2021'!C16-'10 - 2021'!C15</f>
        <v>0</v>
      </c>
      <c r="G10" s="16">
        <v>0.11799999999999999</v>
      </c>
      <c r="H10" s="18">
        <f>'10 - 2021'!E16-'10 - 2021'!E15</f>
        <v>0</v>
      </c>
      <c r="I10" s="18">
        <f>'10 - 2021'!F16-'10 - 2021'!F15</f>
        <v>0</v>
      </c>
      <c r="J10" s="18">
        <f>'10 - 2021'!G16-'10 - 2021'!G15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0</v>
      </c>
      <c r="F11" s="18">
        <f>'10 - 2021'!C17-'10 - 2021'!C16</f>
        <v>0</v>
      </c>
      <c r="G11" s="16">
        <v>0.11799999999999999</v>
      </c>
      <c r="H11" s="18">
        <f>'10 - 2021'!E17-'10 - 2021'!E16</f>
        <v>0</v>
      </c>
      <c r="I11" s="18">
        <f>'10 - 2021'!F17-'10 - 2021'!F16</f>
        <v>0</v>
      </c>
      <c r="J11" s="18">
        <f>'10 - 2021'!G17-'10 - 2021'!G16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0</v>
      </c>
      <c r="F12" s="18">
        <f>'10 - 2021'!C18-'10 - 2021'!C17</f>
        <v>0</v>
      </c>
      <c r="G12" s="16">
        <v>0.11799999999999999</v>
      </c>
      <c r="H12" s="18">
        <f>'10 - 2021'!E18-'10 - 2021'!E17</f>
        <v>0</v>
      </c>
      <c r="I12" s="18">
        <f>'10 - 2021'!F18-'10 - 2021'!F17</f>
        <v>0</v>
      </c>
      <c r="J12" s="18">
        <f>'10 - 2021'!G18-'10 - 2021'!G17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0</v>
      </c>
      <c r="F13" s="18">
        <f>'10 - 2021'!C19-'10 - 2021'!C18</f>
        <v>0</v>
      </c>
      <c r="G13" s="16">
        <v>0.11799999999999999</v>
      </c>
      <c r="H13" s="18">
        <f>'10 - 2021'!E19-'10 - 2021'!E18</f>
        <v>0</v>
      </c>
      <c r="I13" s="18">
        <f>'10 - 2021'!F19-'10 - 2021'!F18</f>
        <v>0</v>
      </c>
      <c r="J13" s="18">
        <f>'10 - 2021'!G19-'10 - 2021'!G18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0</v>
      </c>
      <c r="F14" s="18">
        <f>'10 - 2021'!C20-'10 - 2021'!C19</f>
        <v>0</v>
      </c>
      <c r="G14" s="16">
        <v>0.11799999999999999</v>
      </c>
      <c r="H14" s="18">
        <f>'10 - 2021'!E20-'10 - 2021'!E19</f>
        <v>0</v>
      </c>
      <c r="I14" s="18">
        <f>'10 - 2021'!F20-'10 - 2021'!F19</f>
        <v>0</v>
      </c>
      <c r="J14" s="18">
        <f>'10 - 2021'!G20-'10 - 2021'!G19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0</v>
      </c>
      <c r="F15" s="18">
        <f>'10 - 2021'!C21-'10 - 2021'!C20</f>
        <v>0</v>
      </c>
      <c r="G15" s="16">
        <v>0.11799999999999999</v>
      </c>
      <c r="H15" s="18">
        <f>'10 - 2021'!E21-'10 - 2021'!E20</f>
        <v>0</v>
      </c>
      <c r="I15" s="18">
        <f>'10 - 2021'!F21-'10 - 2021'!F20</f>
        <v>0</v>
      </c>
      <c r="J15" s="18">
        <f>'10 - 2021'!G21-'10 - 2021'!G20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0</v>
      </c>
      <c r="F16" s="18">
        <f>'10 - 2021'!C22-'10 - 2021'!C21</f>
        <v>0</v>
      </c>
      <c r="G16" s="16">
        <v>0.11799999999999999</v>
      </c>
      <c r="H16" s="18">
        <f>'10 - 2021'!E22-'10 - 2021'!E21</f>
        <v>0</v>
      </c>
      <c r="I16" s="18">
        <f>'10 - 2021'!F22-'10 - 2021'!F21</f>
        <v>0</v>
      </c>
      <c r="J16" s="18">
        <f>'10 - 2021'!G22-'10 - 2021'!G21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0</v>
      </c>
      <c r="F17" s="18">
        <f>'10 - 2021'!C23-'10 - 2021'!C22</f>
        <v>0</v>
      </c>
      <c r="G17" s="16">
        <v>0.11799999999999999</v>
      </c>
      <c r="H17" s="18">
        <f>'10 - 2021'!E23-'10 - 2021'!E22</f>
        <v>0</v>
      </c>
      <c r="I17" s="18">
        <f>'10 - 2021'!F23-'10 - 2021'!F22</f>
        <v>0</v>
      </c>
      <c r="J17" s="18">
        <f>'10 - 2021'!G23-'10 - 2021'!G22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0</v>
      </c>
      <c r="F18" s="18">
        <f>'10 - 2021'!C24-'10 - 2021'!C23</f>
        <v>0</v>
      </c>
      <c r="G18" s="16">
        <v>0.11799999999999999</v>
      </c>
      <c r="H18" s="18">
        <f>'10 - 2021'!E24-'10 - 2021'!E23</f>
        <v>0</v>
      </c>
      <c r="I18" s="18">
        <f>'10 - 2021'!F24-'10 - 2021'!F23</f>
        <v>0</v>
      </c>
      <c r="J18" s="18">
        <f>'10 - 2021'!G24-'10 - 2021'!G23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0</v>
      </c>
      <c r="F19" s="18">
        <f>'10 - 2021'!C25-'10 - 2021'!C24</f>
        <v>0</v>
      </c>
      <c r="G19" s="16">
        <v>0.11799999999999999</v>
      </c>
      <c r="H19" s="18">
        <f>'10 - 2021'!E25-'10 - 2021'!E24</f>
        <v>0</v>
      </c>
      <c r="I19" s="18">
        <f>'10 - 2021'!F25-'10 - 2021'!F24</f>
        <v>0</v>
      </c>
      <c r="J19" s="18">
        <f>'10 - 2021'!G25-'10 - 2021'!G24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0</v>
      </c>
      <c r="F20" s="18">
        <f>'10 - 2021'!C26-'10 - 2021'!C25</f>
        <v>0</v>
      </c>
      <c r="G20" s="16">
        <v>0.11799999999999999</v>
      </c>
      <c r="H20" s="18">
        <f>'10 - 2021'!E26-'10 - 2021'!E25</f>
        <v>0</v>
      </c>
      <c r="I20" s="18">
        <f>'10 - 2021'!F26-'10 - 2021'!F25</f>
        <v>0</v>
      </c>
      <c r="J20" s="18">
        <f>'10 - 2021'!G26-'10 - 2021'!G25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0</v>
      </c>
      <c r="F21" s="18">
        <f>'10 - 2021'!C27-'10 - 2021'!C26</f>
        <v>0</v>
      </c>
      <c r="G21" s="16">
        <v>0.11799999999999999</v>
      </c>
      <c r="H21" s="18">
        <f>'10 - 2021'!E27-'10 - 2021'!E26</f>
        <v>0</v>
      </c>
      <c r="I21" s="18">
        <f>'10 - 2021'!F27-'10 - 2021'!F26</f>
        <v>0</v>
      </c>
      <c r="J21" s="18">
        <f>'10 - 2021'!G27-'10 - 2021'!G26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0</v>
      </c>
      <c r="F22" s="18">
        <f>'10 - 2021'!C28-'10 - 2021'!C27</f>
        <v>0</v>
      </c>
      <c r="G22" s="16">
        <v>0.11799999999999999</v>
      </c>
      <c r="H22" s="18">
        <f>'10 - 2021'!E28-'10 - 2021'!E27</f>
        <v>0</v>
      </c>
      <c r="I22" s="18">
        <f>'10 - 2021'!F28-'10 - 2021'!F27</f>
        <v>0</v>
      </c>
      <c r="J22" s="18">
        <f>'10 - 2021'!G28-'10 - 2021'!G27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0</v>
      </c>
      <c r="F23" s="18">
        <f>'10 - 2021'!C29-'10 - 2021'!C28</f>
        <v>0</v>
      </c>
      <c r="G23" s="16">
        <v>0.11799999999999999</v>
      </c>
      <c r="H23" s="18">
        <f>'10 - 2021'!E29-'10 - 2021'!E28</f>
        <v>0</v>
      </c>
      <c r="I23" s="18">
        <f>'10 - 2021'!F29-'10 - 2021'!F28</f>
        <v>0</v>
      </c>
      <c r="J23" s="18">
        <f>'10 - 2021'!G29-'10 - 2021'!G28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0</v>
      </c>
      <c r="F24" s="18">
        <f>'10 - 2021'!C30-'10 - 2021'!C29</f>
        <v>0</v>
      </c>
      <c r="G24" s="16">
        <v>0.11799999999999999</v>
      </c>
      <c r="H24" s="18">
        <f>'10 - 2021'!E30-'10 - 2021'!E29</f>
        <v>0</v>
      </c>
      <c r="I24" s="18">
        <f>'10 - 2021'!F30-'10 - 2021'!F29</f>
        <v>0</v>
      </c>
      <c r="J24" s="18">
        <f>'10 - 2021'!G30-'10 - 2021'!G29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43">
        <f>'10 - 2021'!B31-'10 - 2021'!B30</f>
        <v>0</v>
      </c>
      <c r="F25" s="18">
        <f>'10 - 2021'!C31-'10 - 2021'!C30</f>
        <v>0</v>
      </c>
      <c r="G25" s="16">
        <v>0.11799999999999999</v>
      </c>
      <c r="H25" s="18">
        <f>'10 - 2021'!E31-'10 - 2021'!E30</f>
        <v>0</v>
      </c>
      <c r="I25" s="18">
        <f>'10 - 2021'!F31-'10 - 2021'!F30</f>
        <v>0</v>
      </c>
      <c r="J25" s="18">
        <f>'10 - 2021'!G31-'10 - 2021'!G30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3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3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3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3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3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3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E27" sqref="E27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</row>
    <row r="4" spans="1:17" ht="16.5" thickBot="1" x14ac:dyDescent="0.3">
      <c r="A4" s="86" t="s">
        <v>37</v>
      </c>
      <c r="B4" s="86"/>
      <c r="C4" s="86"/>
      <c r="D4" s="86"/>
      <c r="E4" s="86"/>
      <c r="F4" s="86"/>
      <c r="G4" s="86"/>
      <c r="H4" s="86"/>
      <c r="I4" s="86"/>
      <c r="J4" s="86"/>
    </row>
    <row r="5" spans="1:17" ht="16.5" thickBot="1" x14ac:dyDescent="0.3">
      <c r="A5" s="2"/>
      <c r="B5" s="87" t="s">
        <v>36</v>
      </c>
      <c r="C5" s="88"/>
      <c r="D5" s="87" t="s">
        <v>0</v>
      </c>
      <c r="E5" s="89"/>
      <c r="F5" s="89"/>
      <c r="G5" s="90"/>
      <c r="H5" s="91" t="s">
        <v>1</v>
      </c>
      <c r="I5" s="92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6" t="s">
        <v>31</v>
      </c>
      <c r="L6" s="47" t="s">
        <v>32</v>
      </c>
    </row>
    <row r="7" spans="1:17" s="14" customFormat="1" ht="12.95" customHeight="1" x14ac:dyDescent="0.25">
      <c r="A7" s="44">
        <v>44469</v>
      </c>
      <c r="B7" s="54">
        <v>1165260</v>
      </c>
      <c r="C7" s="64">
        <v>514463</v>
      </c>
      <c r="D7" s="53">
        <v>0.48</v>
      </c>
      <c r="E7" s="42">
        <v>5812.95</v>
      </c>
      <c r="F7" s="37">
        <v>432.49</v>
      </c>
      <c r="G7" s="37">
        <v>33374.9</v>
      </c>
      <c r="H7" s="54">
        <v>14528</v>
      </c>
      <c r="I7" s="54">
        <v>132398</v>
      </c>
      <c r="J7" s="54">
        <v>50981856</v>
      </c>
      <c r="K7" s="94"/>
      <c r="L7" s="71"/>
      <c r="M7" s="26"/>
    </row>
    <row r="8" spans="1:17" s="51" customFormat="1" ht="12.95" customHeight="1" x14ac:dyDescent="0.25">
      <c r="A8" s="25">
        <f>A7+1</f>
        <v>44470</v>
      </c>
      <c r="B8" s="95">
        <v>1169308</v>
      </c>
      <c r="C8" s="95">
        <v>520265</v>
      </c>
      <c r="D8" s="48">
        <v>0.38</v>
      </c>
      <c r="E8" s="84">
        <v>5838</v>
      </c>
      <c r="F8" s="49">
        <v>440.06</v>
      </c>
      <c r="G8" s="95">
        <v>33408.53</v>
      </c>
      <c r="H8" s="95">
        <v>14528</v>
      </c>
      <c r="I8" s="95">
        <v>132511</v>
      </c>
      <c r="J8" s="95">
        <v>51019892</v>
      </c>
      <c r="K8" s="96"/>
      <c r="L8" s="72"/>
      <c r="M8" s="50"/>
    </row>
    <row r="9" spans="1:17" s="51" customFormat="1" ht="12.95" customHeight="1" x14ac:dyDescent="0.25">
      <c r="A9" s="25">
        <f t="shared" ref="A9:A37" si="0">A8+1</f>
        <v>44471</v>
      </c>
      <c r="B9" s="54">
        <v>1173490</v>
      </c>
      <c r="C9" s="37">
        <v>526173</v>
      </c>
      <c r="D9" s="53">
        <v>0.28000000000000003</v>
      </c>
      <c r="E9" s="84">
        <v>5865</v>
      </c>
      <c r="F9" s="37">
        <v>447.57</v>
      </c>
      <c r="G9" s="37">
        <v>33443.29</v>
      </c>
      <c r="H9" s="54">
        <v>14528</v>
      </c>
      <c r="I9" s="54">
        <v>132630</v>
      </c>
      <c r="J9" s="54">
        <v>51061606</v>
      </c>
      <c r="K9" s="94">
        <v>3600</v>
      </c>
      <c r="L9" s="66"/>
      <c r="M9" s="50"/>
    </row>
    <row r="10" spans="1:17" s="51" customFormat="1" ht="12.95" customHeight="1" x14ac:dyDescent="0.25">
      <c r="A10" s="25">
        <f t="shared" si="0"/>
        <v>44472</v>
      </c>
      <c r="B10" s="54">
        <v>1177574</v>
      </c>
      <c r="C10" s="54">
        <v>531990</v>
      </c>
      <c r="D10" s="53">
        <v>0.8</v>
      </c>
      <c r="E10" s="93">
        <v>5892.2</v>
      </c>
      <c r="F10" s="37">
        <v>455.29</v>
      </c>
      <c r="G10" s="37">
        <v>33477.870000000003</v>
      </c>
      <c r="H10" s="54">
        <v>14528</v>
      </c>
      <c r="I10" s="54">
        <v>132743</v>
      </c>
      <c r="J10" s="41">
        <v>51102031</v>
      </c>
      <c r="K10" s="94"/>
      <c r="L10" s="45"/>
      <c r="M10" s="50"/>
    </row>
    <row r="11" spans="1:17" s="51" customFormat="1" ht="12.95" customHeight="1" x14ac:dyDescent="0.25">
      <c r="A11" s="25">
        <f t="shared" si="0"/>
        <v>44473</v>
      </c>
      <c r="B11" s="54"/>
      <c r="C11" s="54"/>
      <c r="D11" s="53"/>
      <c r="E11" s="37"/>
      <c r="F11" s="37"/>
      <c r="G11" s="37"/>
      <c r="H11" s="52"/>
      <c r="I11" s="54"/>
      <c r="J11" s="54"/>
      <c r="K11" s="55"/>
      <c r="L11" s="45"/>
      <c r="M11" s="50"/>
    </row>
    <row r="12" spans="1:17" s="51" customFormat="1" ht="12.95" customHeight="1" x14ac:dyDescent="0.25">
      <c r="A12" s="25">
        <f t="shared" si="0"/>
        <v>44474</v>
      </c>
      <c r="B12" s="52"/>
      <c r="C12" s="52"/>
      <c r="D12" s="53"/>
      <c r="E12" s="52"/>
      <c r="F12" s="52"/>
      <c r="G12" s="52"/>
      <c r="H12" s="52"/>
      <c r="I12" s="52"/>
      <c r="J12" s="52"/>
      <c r="K12" s="55"/>
      <c r="L12" s="45"/>
      <c r="M12" s="50"/>
      <c r="N12" s="50"/>
    </row>
    <row r="13" spans="1:17" s="51" customFormat="1" ht="12.95" customHeight="1" x14ac:dyDescent="0.25">
      <c r="A13" s="25">
        <f t="shared" si="0"/>
        <v>44475</v>
      </c>
      <c r="B13" s="67"/>
      <c r="C13" s="37"/>
      <c r="D13" s="53"/>
      <c r="E13" s="37"/>
      <c r="F13" s="37"/>
      <c r="G13" s="37"/>
      <c r="H13" s="54"/>
      <c r="I13" s="37"/>
      <c r="J13" s="37"/>
      <c r="K13" s="55"/>
      <c r="L13" s="45"/>
      <c r="M13" s="50"/>
      <c r="N13" s="56"/>
      <c r="O13" s="56"/>
      <c r="P13" s="56"/>
      <c r="Q13" s="56"/>
    </row>
    <row r="14" spans="1:17" s="51" customFormat="1" ht="12.95" customHeight="1" x14ac:dyDescent="0.25">
      <c r="A14" s="25">
        <f t="shared" si="0"/>
        <v>44476</v>
      </c>
      <c r="B14" s="54"/>
      <c r="C14" s="54"/>
      <c r="D14" s="53"/>
      <c r="E14" s="37"/>
      <c r="F14" s="37"/>
      <c r="G14" s="37"/>
      <c r="H14" s="54"/>
      <c r="I14" s="54"/>
      <c r="J14" s="54"/>
      <c r="K14" s="55"/>
      <c r="L14" s="45"/>
      <c r="M14" s="50"/>
      <c r="N14" s="56"/>
      <c r="O14" s="56"/>
      <c r="P14" s="56"/>
      <c r="Q14" s="56"/>
    </row>
    <row r="15" spans="1:17" s="51" customFormat="1" ht="12.95" customHeight="1" x14ac:dyDescent="0.25">
      <c r="A15" s="25">
        <f t="shared" si="0"/>
        <v>44477</v>
      </c>
      <c r="B15" s="54"/>
      <c r="C15" s="54"/>
      <c r="D15" s="53"/>
      <c r="E15" s="37"/>
      <c r="F15" s="57"/>
      <c r="G15" s="37"/>
      <c r="H15" s="54"/>
      <c r="I15" s="54"/>
      <c r="J15" s="54"/>
      <c r="K15" s="55"/>
      <c r="L15" s="45"/>
      <c r="M15" s="50"/>
      <c r="N15" s="56"/>
      <c r="O15" s="56"/>
      <c r="P15" s="56"/>
      <c r="Q15" s="56"/>
    </row>
    <row r="16" spans="1:17" s="51" customFormat="1" ht="12.95" customHeight="1" x14ac:dyDescent="0.25">
      <c r="A16" s="25">
        <f t="shared" si="0"/>
        <v>44478</v>
      </c>
      <c r="B16" s="58"/>
      <c r="C16" s="54"/>
      <c r="D16" s="53"/>
      <c r="E16" s="37"/>
      <c r="F16" s="57"/>
      <c r="G16" s="37"/>
      <c r="H16" s="54"/>
      <c r="I16" s="54"/>
      <c r="J16" s="54"/>
      <c r="K16" s="55"/>
      <c r="L16" s="45"/>
      <c r="M16" s="50"/>
      <c r="N16" s="56"/>
      <c r="O16" s="56"/>
      <c r="P16" s="56"/>
      <c r="Q16" s="56"/>
    </row>
    <row r="17" spans="1:19" s="51" customFormat="1" ht="12.95" customHeight="1" x14ac:dyDescent="0.25">
      <c r="A17" s="25">
        <f t="shared" si="0"/>
        <v>44479</v>
      </c>
      <c r="B17" s="37"/>
      <c r="C17" s="37"/>
      <c r="D17" s="59"/>
      <c r="E17" s="37"/>
      <c r="F17" s="57"/>
      <c r="G17" s="37"/>
      <c r="H17" s="54"/>
      <c r="I17" s="37"/>
      <c r="J17" s="37"/>
      <c r="K17" s="55"/>
      <c r="L17" s="45"/>
      <c r="M17" s="50"/>
      <c r="N17" s="56"/>
      <c r="O17" s="56"/>
      <c r="P17" s="56"/>
      <c r="Q17" s="56"/>
    </row>
    <row r="18" spans="1:19" s="51" customFormat="1" ht="12.95" customHeight="1" x14ac:dyDescent="0.25">
      <c r="A18" s="25">
        <f t="shared" si="0"/>
        <v>44480</v>
      </c>
      <c r="B18" s="54"/>
      <c r="C18" s="54"/>
      <c r="D18" s="53"/>
      <c r="E18" s="37"/>
      <c r="F18" s="37"/>
      <c r="G18" s="37"/>
      <c r="H18" s="54"/>
      <c r="I18" s="54"/>
      <c r="J18" s="54"/>
      <c r="K18" s="55"/>
      <c r="L18" s="45"/>
      <c r="M18" s="50"/>
      <c r="N18" s="56"/>
      <c r="O18" s="60"/>
      <c r="P18" s="56"/>
      <c r="Q18" s="56"/>
    </row>
    <row r="19" spans="1:19" s="51" customFormat="1" ht="12.95" customHeight="1" x14ac:dyDescent="0.25">
      <c r="A19" s="25">
        <f t="shared" si="0"/>
        <v>44481</v>
      </c>
      <c r="B19" s="40"/>
      <c r="C19" s="40"/>
      <c r="D19" s="53"/>
      <c r="E19" s="37"/>
      <c r="F19" s="37"/>
      <c r="G19" s="38"/>
      <c r="H19" s="54"/>
      <c r="I19" s="40"/>
      <c r="J19" s="40"/>
      <c r="K19" s="55"/>
      <c r="L19" s="45"/>
      <c r="M19" s="50"/>
      <c r="N19" s="56"/>
      <c r="O19" s="60"/>
      <c r="P19" s="56"/>
      <c r="Q19" s="56"/>
    </row>
    <row r="20" spans="1:19" s="51" customFormat="1" ht="12.95" customHeight="1" x14ac:dyDescent="0.25">
      <c r="A20" s="25">
        <f t="shared" si="0"/>
        <v>44482</v>
      </c>
      <c r="B20" s="40"/>
      <c r="C20" s="40"/>
      <c r="D20" s="53"/>
      <c r="E20" s="52"/>
      <c r="F20" s="52"/>
      <c r="G20" s="38"/>
      <c r="H20" s="54"/>
      <c r="I20" s="40"/>
      <c r="J20" s="40"/>
      <c r="K20" s="55"/>
      <c r="L20" s="68"/>
      <c r="M20" s="50"/>
      <c r="N20" s="61"/>
      <c r="O20" s="56"/>
      <c r="P20" s="56"/>
      <c r="Q20" s="56"/>
    </row>
    <row r="21" spans="1:19" s="51" customFormat="1" ht="12.95" customHeight="1" x14ac:dyDescent="0.25">
      <c r="A21" s="25">
        <f t="shared" si="0"/>
        <v>44483</v>
      </c>
      <c r="B21" s="40"/>
      <c r="C21" s="40"/>
      <c r="D21" s="53"/>
      <c r="E21" s="38"/>
      <c r="F21" s="37"/>
      <c r="G21" s="38"/>
      <c r="H21" s="54"/>
      <c r="I21" s="40"/>
      <c r="J21" s="40"/>
      <c r="K21" s="55"/>
      <c r="L21" s="68"/>
      <c r="M21" s="50"/>
      <c r="N21" s="61"/>
      <c r="O21" s="61"/>
      <c r="P21" s="62"/>
      <c r="Q21" s="62"/>
      <c r="S21" s="50"/>
    </row>
    <row r="22" spans="1:19" s="51" customFormat="1" ht="12.95" customHeight="1" x14ac:dyDescent="0.25">
      <c r="A22" s="25">
        <f t="shared" si="0"/>
        <v>44484</v>
      </c>
      <c r="B22" s="52"/>
      <c r="C22" s="58"/>
      <c r="D22" s="53"/>
      <c r="E22" s="37"/>
      <c r="F22" s="37"/>
      <c r="G22" s="38"/>
      <c r="H22" s="54"/>
      <c r="I22" s="38"/>
      <c r="J22" s="40"/>
      <c r="K22" s="55"/>
      <c r="L22" s="68"/>
      <c r="M22" s="50"/>
      <c r="N22" s="61"/>
      <c r="O22" s="61"/>
      <c r="P22" s="56"/>
      <c r="Q22" s="56"/>
    </row>
    <row r="23" spans="1:19" s="51" customFormat="1" ht="12.95" customHeight="1" x14ac:dyDescent="0.25">
      <c r="A23" s="25">
        <f t="shared" si="0"/>
        <v>44485</v>
      </c>
      <c r="B23" s="40"/>
      <c r="C23" s="40"/>
      <c r="D23" s="53"/>
      <c r="E23" s="38"/>
      <c r="F23" s="37"/>
      <c r="G23" s="38"/>
      <c r="H23" s="54"/>
      <c r="I23" s="40"/>
      <c r="J23" s="40"/>
      <c r="K23" s="55"/>
      <c r="L23" s="68"/>
      <c r="M23" s="50"/>
      <c r="N23" s="61"/>
      <c r="O23" s="56"/>
      <c r="P23" s="56"/>
      <c r="Q23" s="56"/>
    </row>
    <row r="24" spans="1:19" s="51" customFormat="1" ht="12.95" customHeight="1" x14ac:dyDescent="0.25">
      <c r="A24" s="25">
        <f t="shared" si="0"/>
        <v>44486</v>
      </c>
      <c r="B24" s="40"/>
      <c r="C24" s="40"/>
      <c r="D24" s="53"/>
      <c r="E24" s="38"/>
      <c r="F24" s="37"/>
      <c r="G24" s="38"/>
      <c r="H24" s="54"/>
      <c r="I24" s="40"/>
      <c r="J24" s="40"/>
      <c r="K24" s="55"/>
      <c r="L24" s="73"/>
      <c r="M24" s="50"/>
      <c r="N24" s="61"/>
      <c r="O24" s="61"/>
      <c r="P24" s="56"/>
      <c r="Q24" s="56"/>
    </row>
    <row r="25" spans="1:19" s="51" customFormat="1" ht="12.95" customHeight="1" x14ac:dyDescent="0.25">
      <c r="A25" s="25">
        <f t="shared" si="0"/>
        <v>44487</v>
      </c>
      <c r="B25" s="38"/>
      <c r="C25" s="38"/>
      <c r="D25" s="53"/>
      <c r="E25" s="38"/>
      <c r="F25" s="37"/>
      <c r="G25" s="38"/>
      <c r="H25" s="54"/>
      <c r="I25" s="40"/>
      <c r="J25" s="40"/>
      <c r="K25" s="63"/>
      <c r="L25" s="73"/>
      <c r="M25" s="50"/>
      <c r="N25" s="61"/>
      <c r="O25" s="61"/>
      <c r="P25" s="56"/>
      <c r="Q25" s="56"/>
    </row>
    <row r="26" spans="1:19" s="51" customFormat="1" ht="12.95" customHeight="1" x14ac:dyDescent="0.25">
      <c r="A26" s="25">
        <f t="shared" si="0"/>
        <v>44488</v>
      </c>
      <c r="B26" s="38"/>
      <c r="C26" s="38"/>
      <c r="D26" s="59"/>
      <c r="E26" s="38"/>
      <c r="F26" s="37"/>
      <c r="G26" s="38"/>
      <c r="H26" s="54"/>
      <c r="I26" s="40"/>
      <c r="J26" s="40"/>
      <c r="K26" s="55"/>
      <c r="L26" s="73"/>
      <c r="M26" s="50"/>
      <c r="N26" s="61"/>
      <c r="O26" s="61"/>
      <c r="P26" s="56"/>
      <c r="Q26" s="56"/>
    </row>
    <row r="27" spans="1:19" s="51" customFormat="1" ht="12.95" customHeight="1" x14ac:dyDescent="0.25">
      <c r="A27" s="25">
        <f t="shared" si="0"/>
        <v>44489</v>
      </c>
      <c r="B27" s="40"/>
      <c r="C27" s="40"/>
      <c r="D27" s="53"/>
      <c r="E27" s="38"/>
      <c r="F27" s="37"/>
      <c r="G27" s="38"/>
      <c r="H27" s="54"/>
      <c r="I27" s="40"/>
      <c r="J27" s="40"/>
      <c r="K27" s="69"/>
      <c r="L27" s="68"/>
      <c r="M27" s="50"/>
    </row>
    <row r="28" spans="1:19" s="51" customFormat="1" ht="12.95" customHeight="1" x14ac:dyDescent="0.25">
      <c r="A28" s="25">
        <f t="shared" si="0"/>
        <v>44490</v>
      </c>
      <c r="B28" s="39"/>
      <c r="C28" s="40"/>
      <c r="D28" s="53"/>
      <c r="E28" s="38"/>
      <c r="F28" s="37"/>
      <c r="G28" s="38"/>
      <c r="H28" s="54"/>
      <c r="I28" s="40"/>
      <c r="J28" s="40"/>
      <c r="K28" s="55"/>
      <c r="L28" s="68"/>
      <c r="M28" s="50"/>
    </row>
    <row r="29" spans="1:19" s="51" customFormat="1" ht="12.95" customHeight="1" x14ac:dyDescent="0.25">
      <c r="A29" s="25">
        <f t="shared" si="0"/>
        <v>44491</v>
      </c>
      <c r="B29" s="40"/>
      <c r="C29" s="40"/>
      <c r="D29" s="53"/>
      <c r="E29" s="38"/>
      <c r="F29" s="37"/>
      <c r="G29" s="38"/>
      <c r="H29" s="54"/>
      <c r="I29" s="40"/>
      <c r="J29" s="40"/>
      <c r="K29" s="55"/>
      <c r="L29" s="68"/>
      <c r="M29" s="50"/>
      <c r="N29" s="50"/>
    </row>
    <row r="30" spans="1:19" s="51" customFormat="1" ht="12.95" customHeight="1" x14ac:dyDescent="0.25">
      <c r="A30" s="25">
        <f t="shared" si="0"/>
        <v>44492</v>
      </c>
      <c r="B30" s="40"/>
      <c r="C30" s="40"/>
      <c r="D30" s="53"/>
      <c r="E30" s="38"/>
      <c r="F30" s="37"/>
      <c r="G30" s="38"/>
      <c r="H30" s="54"/>
      <c r="I30" s="40"/>
      <c r="J30" s="40"/>
      <c r="K30" s="55"/>
      <c r="L30" s="68"/>
      <c r="M30" s="50"/>
    </row>
    <row r="31" spans="1:19" s="51" customFormat="1" ht="12.95" customHeight="1" x14ac:dyDescent="0.25">
      <c r="A31" s="25">
        <f t="shared" si="0"/>
        <v>44493</v>
      </c>
      <c r="B31" s="40"/>
      <c r="C31" s="40"/>
      <c r="D31" s="53"/>
      <c r="E31" s="38"/>
      <c r="F31" s="37"/>
      <c r="G31" s="38"/>
      <c r="H31" s="54"/>
      <c r="I31" s="40"/>
      <c r="J31" s="40"/>
      <c r="K31" s="55"/>
      <c r="L31" s="68"/>
      <c r="M31" s="50"/>
      <c r="N31" s="50"/>
      <c r="O31" s="50"/>
    </row>
    <row r="32" spans="1:19" s="51" customFormat="1" ht="12.95" customHeight="1" x14ac:dyDescent="0.25">
      <c r="A32" s="25">
        <f t="shared" si="0"/>
        <v>44494</v>
      </c>
      <c r="B32" s="40"/>
      <c r="C32" s="40"/>
      <c r="D32" s="53"/>
      <c r="E32" s="38"/>
      <c r="F32" s="37"/>
      <c r="G32" s="38"/>
      <c r="H32" s="54"/>
      <c r="I32" s="40"/>
      <c r="J32" s="40"/>
      <c r="K32" s="55"/>
      <c r="L32" s="68"/>
      <c r="M32" s="50"/>
      <c r="N32" s="50"/>
      <c r="O32" s="50"/>
    </row>
    <row r="33" spans="1:16" s="51" customFormat="1" ht="12.95" customHeight="1" x14ac:dyDescent="0.25">
      <c r="A33" s="25">
        <f t="shared" si="0"/>
        <v>44495</v>
      </c>
      <c r="B33" s="40"/>
      <c r="C33" s="40"/>
      <c r="D33" s="53"/>
      <c r="E33" s="38"/>
      <c r="F33" s="37"/>
      <c r="G33" s="38"/>
      <c r="H33" s="54"/>
      <c r="I33" s="40"/>
      <c r="J33" s="40"/>
      <c r="K33" s="55"/>
      <c r="L33" s="68"/>
      <c r="N33" s="50"/>
      <c r="O33" s="50"/>
    </row>
    <row r="34" spans="1:16" s="51" customFormat="1" ht="12.95" customHeight="1" x14ac:dyDescent="0.25">
      <c r="A34" s="25">
        <f t="shared" si="0"/>
        <v>44496</v>
      </c>
      <c r="B34" s="40"/>
      <c r="C34" s="40"/>
      <c r="D34" s="59"/>
      <c r="E34" s="38"/>
      <c r="F34" s="37"/>
      <c r="G34" s="38"/>
      <c r="H34" s="54"/>
      <c r="I34" s="38"/>
      <c r="J34" s="38"/>
      <c r="K34" s="55"/>
      <c r="L34" s="74"/>
      <c r="N34" s="50"/>
      <c r="P34" s="50"/>
    </row>
    <row r="35" spans="1:16" s="51" customFormat="1" ht="12.95" customHeight="1" x14ac:dyDescent="0.25">
      <c r="A35" s="25">
        <f>A34+1</f>
        <v>44497</v>
      </c>
      <c r="B35" s="54"/>
      <c r="C35" s="64"/>
      <c r="D35" s="53"/>
      <c r="E35" s="38"/>
      <c r="F35" s="37"/>
      <c r="G35" s="37"/>
      <c r="H35" s="54"/>
      <c r="I35" s="54"/>
      <c r="J35" s="54"/>
      <c r="K35" s="55"/>
      <c r="L35" s="68"/>
      <c r="M35" s="50"/>
      <c r="N35" s="50"/>
      <c r="O35" s="50"/>
    </row>
    <row r="36" spans="1:16" s="65" customFormat="1" x14ac:dyDescent="0.25">
      <c r="A36" s="44">
        <f t="shared" si="0"/>
        <v>44498</v>
      </c>
      <c r="B36" s="54"/>
      <c r="C36" s="64"/>
      <c r="D36" s="53"/>
      <c r="E36" s="42"/>
      <c r="F36" s="37"/>
      <c r="G36" s="37"/>
      <c r="H36" s="54"/>
      <c r="I36" s="54"/>
      <c r="J36" s="54"/>
      <c r="K36" s="55"/>
      <c r="L36" s="75"/>
    </row>
    <row r="37" spans="1:16" s="65" customFormat="1" x14ac:dyDescent="0.25">
      <c r="A37" s="44">
        <f t="shared" si="0"/>
        <v>44499</v>
      </c>
      <c r="B37" s="54"/>
      <c r="C37" s="64"/>
      <c r="D37" s="53"/>
      <c r="E37" s="42"/>
      <c r="F37" s="37"/>
      <c r="G37" s="37"/>
      <c r="H37" s="54"/>
      <c r="I37" s="54"/>
      <c r="J37" s="54"/>
      <c r="K37" s="55"/>
      <c r="L37" s="68"/>
    </row>
    <row r="38" spans="1:16" ht="15.75" thickBot="1" x14ac:dyDescent="0.3">
      <c r="A38" s="76">
        <f>A37+1</f>
        <v>44500</v>
      </c>
      <c r="B38" s="77"/>
      <c r="C38" s="78"/>
      <c r="D38" s="79"/>
      <c r="E38" s="80"/>
      <c r="F38" s="81"/>
      <c r="G38" s="81"/>
      <c r="H38" s="77"/>
      <c r="I38" s="77"/>
      <c r="J38" s="77"/>
      <c r="K38" s="82"/>
      <c r="L38" s="83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3600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70"/>
      <c r="C41" s="70"/>
      <c r="D41" s="34"/>
      <c r="E41" s="70"/>
      <c r="F41" s="70"/>
      <c r="G41" s="70"/>
      <c r="H41" s="70"/>
      <c r="I41" s="70"/>
      <c r="J41" s="70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2021-10-03T04:28:40Z</dcterms:modified>
</cp:coreProperties>
</file>