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Nov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21" i="7" l="1"/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 s="1"/>
  <c r="G5" i="5" s="1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R18" i="9" s="1"/>
  <c r="G18" i="5" s="1"/>
  <c r="AW23" i="7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/>
  <c r="X9" i="7"/>
  <c r="AM9" i="7" s="1"/>
  <c r="Y9" i="7"/>
  <c r="M4" i="9" s="1"/>
  <c r="Z9" i="7"/>
  <c r="AO9" i="7" s="1"/>
  <c r="AA9" i="7"/>
  <c r="O4" i="9" s="1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AK15" i="7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AL16" i="7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F14" i="9" s="1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P16" i="9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M23" i="9" s="1"/>
  <c r="AN28" i="7"/>
  <c r="Z28" i="7"/>
  <c r="AO28" i="7" s="1"/>
  <c r="AA28" i="7"/>
  <c r="AB28" i="7"/>
  <c r="AQ28" i="7" s="1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AG32" i="7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K30" i="9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AG8" i="7" s="1"/>
  <c r="T8" i="7"/>
  <c r="AI8" i="7" s="1"/>
  <c r="U8" i="7"/>
  <c r="AJ8" i="7" s="1"/>
  <c r="V8" i="7"/>
  <c r="AK8" i="7" s="1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AM22" i="7" s="1"/>
  <c r="L17" i="9"/>
  <c r="AK20" i="7"/>
  <c r="F20" i="9"/>
  <c r="N23" i="9"/>
  <c r="T20" i="7"/>
  <c r="T21" i="7"/>
  <c r="AI21" i="7" s="1"/>
  <c r="F25" i="9"/>
  <c r="AN20" i="7"/>
  <c r="AG19" i="7"/>
  <c r="Q30" i="9"/>
  <c r="AJ35" i="7"/>
  <c r="AO31" i="7"/>
  <c r="AM7" i="7"/>
  <c r="R29" i="9"/>
  <c r="G29" i="5" s="1"/>
  <c r="L29" i="9"/>
  <c r="AL19" i="7"/>
  <c r="F19" i="9"/>
  <c r="AN36" i="7"/>
  <c r="F31" i="9"/>
  <c r="I29" i="9"/>
  <c r="AO29" i="7"/>
  <c r="AP10" i="7"/>
  <c r="N12" i="9"/>
  <c r="R10" i="9"/>
  <c r="G10" i="5" s="1"/>
  <c r="AW15" i="7"/>
  <c r="J22" i="9"/>
  <c r="AP13" i="7"/>
  <c r="AN11" i="7"/>
  <c r="AP35" i="7"/>
  <c r="AO19" i="7"/>
  <c r="K14" i="9"/>
  <c r="R17" i="9"/>
  <c r="G17" i="5" s="1"/>
  <c r="AP24" i="7"/>
  <c r="AK24" i="7"/>
  <c r="G19" i="9"/>
  <c r="O23" i="9"/>
  <c r="AP28" i="7"/>
  <c r="AH29" i="7"/>
  <c r="AR31" i="7"/>
  <c r="AM30" i="7"/>
  <c r="J26" i="9"/>
  <c r="Q28" i="9"/>
  <c r="F27" i="9"/>
  <c r="AO35" i="7"/>
  <c r="AH35" i="7"/>
  <c r="F30" i="9"/>
  <c r="R30" i="9"/>
  <c r="G30" i="5" s="1"/>
  <c r="AR36" i="7"/>
  <c r="AL35" i="7"/>
  <c r="AK35" i="7"/>
  <c r="R21" i="9"/>
  <c r="G21" i="5" s="1"/>
  <c r="AO18" i="7"/>
  <c r="AJ36" i="7"/>
  <c r="K25" i="9"/>
  <c r="P22" i="9"/>
  <c r="AI35" i="7"/>
  <c r="AR9" i="7"/>
  <c r="AM8" i="7"/>
  <c r="R7" i="9"/>
  <c r="G7" i="5" s="1"/>
  <c r="AL11" i="7"/>
  <c r="AL14" i="7"/>
  <c r="G12" i="9"/>
  <c r="AJ15" i="7"/>
  <c r="R11" i="9"/>
  <c r="G11" i="5" s="1"/>
  <c r="P9" i="9"/>
  <c r="J10" i="9"/>
  <c r="R6" i="9"/>
  <c r="G6" i="5" s="1"/>
  <c r="AW19" i="7"/>
  <c r="L11" i="9"/>
  <c r="J5" i="9"/>
  <c r="G4" i="9"/>
  <c r="F4" i="9"/>
  <c r="AQ19" i="7"/>
  <c r="AM12" i="7"/>
  <c r="AQ17" i="7"/>
  <c r="P10" i="9"/>
  <c r="AL9" i="7"/>
  <c r="AR18" i="7"/>
  <c r="H3" i="9"/>
  <c r="AQ7" i="7"/>
  <c r="AL8" i="7"/>
  <c r="AF8" i="7"/>
  <c r="AI11" i="7"/>
  <c r="AQ11" i="7"/>
  <c r="G6" i="9"/>
  <c r="N4" i="9"/>
  <c r="AO10" i="7"/>
  <c r="AI13" i="7"/>
  <c r="R28" i="9" l="1"/>
  <c r="G28" i="5" s="1"/>
  <c r="N28" i="9"/>
  <c r="M28" i="9"/>
  <c r="AL33" i="7"/>
  <c r="AJ33" i="7"/>
  <c r="I27" i="9"/>
  <c r="G26" i="9"/>
  <c r="P26" i="9"/>
  <c r="K26" i="9"/>
  <c r="AI31" i="7"/>
  <c r="Q24" i="9"/>
  <c r="AR30" i="7"/>
  <c r="P25" i="9"/>
  <c r="J25" i="9"/>
  <c r="AJ30" i="7"/>
  <c r="H25" i="9"/>
  <c r="F24" i="9"/>
  <c r="P23" i="9"/>
  <c r="AM28" i="7"/>
  <c r="H24" i="9"/>
  <c r="F22" i="9"/>
  <c r="R22" i="9"/>
  <c r="G22" i="5" s="1"/>
  <c r="Q21" i="9"/>
  <c r="AN27" i="7"/>
  <c r="AW25" i="7"/>
  <c r="P21" i="9"/>
  <c r="AN25" i="7"/>
  <c r="Q20" i="9"/>
  <c r="AO24" i="7"/>
  <c r="K20" i="9"/>
  <c r="R19" i="9"/>
  <c r="G19" i="5" s="1"/>
  <c r="Q19" i="9"/>
  <c r="P17" i="9"/>
  <c r="AN23" i="7"/>
  <c r="H18" i="9"/>
  <c r="AH22" i="7"/>
  <c r="AR22" i="7"/>
  <c r="AQ21" i="7"/>
  <c r="AN21" i="7"/>
  <c r="AN22" i="7"/>
  <c r="I17" i="9"/>
  <c r="AH21" i="7"/>
  <c r="F17" i="9"/>
  <c r="N15" i="9"/>
  <c r="AL21" i="7"/>
  <c r="AR20" i="7"/>
  <c r="I15" i="9"/>
  <c r="F15" i="9"/>
  <c r="AK19" i="7"/>
  <c r="J13" i="9"/>
  <c r="G13" i="9"/>
  <c r="AG18" i="7"/>
  <c r="K12" i="9"/>
  <c r="AK17" i="7"/>
  <c r="AG15" i="7"/>
  <c r="F11" i="9"/>
  <c r="K11" i="9"/>
  <c r="M10" i="9"/>
  <c r="M11" i="9"/>
  <c r="Q11" i="9"/>
  <c r="Q10" i="9"/>
  <c r="AH15" i="7"/>
  <c r="AN14" i="7"/>
  <c r="J8" i="9"/>
  <c r="I9" i="9"/>
  <c r="E9" i="9"/>
  <c r="AR11" i="7"/>
  <c r="AO12" i="7"/>
  <c r="AO11" i="7"/>
  <c r="K7" i="9"/>
  <c r="AJ12" i="7"/>
  <c r="I6" i="9"/>
  <c r="AI12" i="7"/>
  <c r="AH12" i="7"/>
  <c r="AL10" i="7"/>
  <c r="G5" i="9"/>
  <c r="AG10" i="7"/>
  <c r="AF11" i="7"/>
  <c r="AS11" i="7" s="1"/>
  <c r="AW10" i="7"/>
  <c r="M5" i="9"/>
  <c r="P5" i="9"/>
  <c r="AR10" i="7"/>
  <c r="AS10" i="7" s="1"/>
  <c r="L5" i="9"/>
  <c r="I5" i="9"/>
  <c r="H5" i="9"/>
  <c r="AQ9" i="7"/>
  <c r="AP9" i="7"/>
  <c r="L4" i="9"/>
  <c r="I3" i="9"/>
  <c r="I4" i="9"/>
  <c r="F3" i="9"/>
  <c r="P3" i="9"/>
  <c r="O2" i="9"/>
  <c r="N2" i="9"/>
  <c r="N3" i="9"/>
  <c r="J3" i="9"/>
  <c r="AJ7" i="7"/>
  <c r="AH8" i="7"/>
  <c r="R4" i="9"/>
  <c r="G4" i="5" s="1"/>
  <c r="AK7" i="7"/>
  <c r="AW13" i="7"/>
  <c r="AW17" i="7"/>
  <c r="AD7" i="7"/>
  <c r="K2" i="9"/>
  <c r="AI9" i="7"/>
  <c r="G29" i="9"/>
  <c r="AL32" i="7"/>
  <c r="AJ24" i="7"/>
  <c r="P18" i="9"/>
  <c r="H21" i="9"/>
  <c r="H9" i="9"/>
  <c r="AN9" i="7"/>
  <c r="G18" i="9"/>
  <c r="J21" i="9"/>
  <c r="H12" i="9"/>
  <c r="J7" i="9"/>
  <c r="AN34" i="7"/>
  <c r="N27" i="9"/>
  <c r="L16" i="9"/>
  <c r="AI19" i="7"/>
  <c r="AQ24" i="7"/>
  <c r="AP20" i="7"/>
  <c r="AG21" i="7"/>
  <c r="Q3" i="9"/>
  <c r="AD10" i="7"/>
  <c r="AD11" i="7"/>
  <c r="L6" i="9"/>
  <c r="E4" i="9"/>
  <c r="O9" i="9"/>
  <c r="AN8" i="7"/>
  <c r="AD9" i="7"/>
  <c r="F6" i="9"/>
  <c r="AN12" i="7"/>
  <c r="O3" i="9"/>
  <c r="J4" i="9"/>
  <c r="P8" i="9"/>
  <c r="AG33" i="7"/>
  <c r="AR12" i="7"/>
  <c r="O6" i="9"/>
  <c r="K21" i="9"/>
  <c r="AP27" i="7"/>
  <c r="AI25" i="7"/>
  <c r="K23" i="9"/>
  <c r="AI7" i="7"/>
  <c r="AN7" i="7"/>
  <c r="Q2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32" i="7" l="1"/>
  <c r="E25" i="5"/>
  <c r="E24" i="5"/>
  <c r="AS26" i="7"/>
  <c r="AS22" i="7"/>
  <c r="AS21" i="7"/>
  <c r="E14" i="5"/>
  <c r="AS14" i="7"/>
  <c r="AS13" i="7"/>
  <c r="E9" i="5"/>
  <c r="AS12" i="7"/>
  <c r="E5" i="5"/>
  <c r="AS9" i="7"/>
  <c r="E4" i="5"/>
  <c r="E3" i="5"/>
  <c r="AS8" i="7"/>
  <c r="E2" i="5"/>
  <c r="E8" i="5"/>
  <c r="AS24" i="7"/>
  <c r="AS34" i="7"/>
  <c r="AS35" i="7"/>
  <c r="E6" i="5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<sst xmlns="http://schemas.openxmlformats.org/spreadsheetml/2006/main" count="127" uniqueCount="49">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</sst>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K19" sqref="K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76160</v>
      </c>
      <c r="F2" s="11">
        <v>5.0000000000000001E-3</v>
      </c>
      <c r="G2" s="12">
        <f>Submetering!R2</f>
        <v>652.98322500000006</v>
      </c>
      <c r="H2" s="11">
        <v>0.52800000000000002</v>
      </c>
      <c r="I2" s="12">
        <f>Hotel!B7</f>
        <v>275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75770</v>
      </c>
      <c r="F3" s="11">
        <v>5.0000000000000001E-3</v>
      </c>
      <c r="G3" s="12">
        <f>Submetering!R3</f>
        <v>611.72225600000002</v>
      </c>
      <c r="H3" s="11">
        <v>0.52800000000000002</v>
      </c>
      <c r="I3" s="12">
        <f>Hotel!B8</f>
        <v>109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11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72280</v>
      </c>
      <c r="F4" s="11">
        <v>5.0000000000000001E-3</v>
      </c>
      <c r="G4" s="12">
        <f>Submetering!R4</f>
        <v>752.16096700000003</v>
      </c>
      <c r="H4" s="11">
        <v>0.52800000000000002</v>
      </c>
      <c r="I4" s="12">
        <f>Hotel!B9</f>
        <v>122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76330</v>
      </c>
      <c r="F5" s="11">
        <v>5.0000000000000001E-3</v>
      </c>
      <c r="G5" s="12">
        <f>Submetering!R5</f>
        <v>631.02784700000007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72930</v>
      </c>
      <c r="F6" s="11">
        <v>5.0000000000000001E-3</v>
      </c>
      <c r="G6" s="12">
        <f>Submetering!R6</f>
        <v>649.19781499999999</v>
      </c>
      <c r="H6" s="11">
        <v>0.52800000000000002</v>
      </c>
      <c r="I6" s="12">
        <f>Hotel!B11</f>
        <v>155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69050</v>
      </c>
      <c r="F7" s="11">
        <v>5.0000000000000001E-3</v>
      </c>
      <c r="G7" s="12">
        <f>Submetering!R7</f>
        <v>960.73705799999993</v>
      </c>
      <c r="H7" s="11">
        <v>0.52800000000000002</v>
      </c>
      <c r="I7" s="12">
        <f>Hotel!B12</f>
        <v>182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71750</v>
      </c>
      <c r="F8" s="11">
        <v>5.0000000000000001E-3</v>
      </c>
      <c r="G8" s="12">
        <f>Submetering!R8</f>
        <v>716.95665399999996</v>
      </c>
      <c r="H8" s="11">
        <v>0.52800000000000002</v>
      </c>
      <c r="I8" s="12">
        <f>Hotel!B13</f>
        <v>244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69010</v>
      </c>
      <c r="F9" s="11">
        <v>5.0000000000000001E-3</v>
      </c>
      <c r="G9" s="12">
        <f>Submetering!R9</f>
        <v>833.16874099999984</v>
      </c>
      <c r="H9" s="11">
        <v>0.52800000000000002</v>
      </c>
      <c r="I9" s="12">
        <f>Hotel!B14</f>
        <v>260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82160</v>
      </c>
      <c r="F10" s="11">
        <v>5.0000000000000001E-3</v>
      </c>
      <c r="G10" s="12">
        <f>Submetering!R10</f>
        <v>1016.0040439999999</v>
      </c>
      <c r="H10" s="11">
        <v>0.52800000000000002</v>
      </c>
      <c r="I10" s="12">
        <f>Hotel!B15</f>
        <v>142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72530</v>
      </c>
      <c r="F11" s="11">
        <v>5.0000000000000001E-3</v>
      </c>
      <c r="G11" s="12">
        <f>Submetering!R11</f>
        <v>664.71799599999997</v>
      </c>
      <c r="H11" s="11">
        <v>0.52800000000000002</v>
      </c>
      <c r="I11" s="12">
        <f>Hotel!B16</f>
        <v>146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73430</v>
      </c>
      <c r="F12" s="11">
        <v>5.0000000000000001E-3</v>
      </c>
      <c r="G12" s="12">
        <f>Submetering!R12</f>
        <v>908.49840000000006</v>
      </c>
      <c r="H12" s="11">
        <v>0.52800000000000002</v>
      </c>
      <c r="I12" s="12">
        <f>Hotel!B17</f>
        <v>190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75780</v>
      </c>
      <c r="F13" s="11">
        <v>5.0000000000000001E-3</v>
      </c>
      <c r="G13" s="12">
        <f>Submetering!R13</f>
        <v>656.39009399999998</v>
      </c>
      <c r="H13" s="11">
        <v>0.52800000000000002</v>
      </c>
      <c r="I13" s="12">
        <f>Hotel!B18</f>
        <v>160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70590</v>
      </c>
      <c r="F14" s="11">
        <v>5.0000000000000001E-3</v>
      </c>
      <c r="G14" s="12">
        <f>Submetering!R14</f>
        <v>855.12411899999984</v>
      </c>
      <c r="H14" s="11">
        <v>0.52800000000000002</v>
      </c>
      <c r="I14" s="12">
        <f>Hotel!B19</f>
        <v>177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68260</v>
      </c>
      <c r="F15" s="11">
        <v>5.0000000000000001E-3</v>
      </c>
      <c r="G15" s="12">
        <f>Submetering!R15</f>
        <v>873.29408699999999</v>
      </c>
      <c r="H15" s="11">
        <v>0.52800000000000002</v>
      </c>
      <c r="I15" s="12">
        <f>Hotel!B20</f>
        <v>258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62450</v>
      </c>
      <c r="F16" s="11">
        <v>5.0000000000000001E-3</v>
      </c>
      <c r="G16" s="12">
        <f>Submetering!R16</f>
        <v>593.17374699999993</v>
      </c>
      <c r="H16" s="11">
        <v>0.52800000000000002</v>
      </c>
      <c r="I16" s="12">
        <f>Hotel!B21</f>
        <v>140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64110</v>
      </c>
      <c r="F17" s="11">
        <v>5.0000000000000001E-3</v>
      </c>
      <c r="G17" s="12">
        <f>Submetering!R17</f>
        <v>745.72577000000001</v>
      </c>
      <c r="H17" s="11">
        <v>0.52800000000000002</v>
      </c>
      <c r="I17" s="12">
        <f>Hotel!B22</f>
        <v>138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61810</v>
      </c>
      <c r="F18" s="11">
        <v>5.0000000000000001E-3</v>
      </c>
      <c r="G18" s="12">
        <f>Submetering!R18</f>
        <v>745.34722899999997</v>
      </c>
      <c r="H18" s="11">
        <v>0.52800000000000002</v>
      </c>
      <c r="I18" s="12">
        <f>Hotel!B23</f>
        <v>144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60430</v>
      </c>
      <c r="F19" s="11">
        <v>5.0000000000000001E-3</v>
      </c>
      <c r="G19" s="12">
        <f>Submetering!R19</f>
        <v>616.26474799999994</v>
      </c>
      <c r="H19" s="11">
        <v>0.52800000000000002</v>
      </c>
      <c r="I19" s="12">
        <f>Hotel!B24</f>
        <v>153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58980</v>
      </c>
      <c r="F20" s="11">
        <v>5.0000000000000001E-3</v>
      </c>
      <c r="G20" s="12">
        <f>Submetering!R20</f>
        <v>556.45527000000004</v>
      </c>
      <c r="H20" s="11">
        <v>0.52800000000000002</v>
      </c>
      <c r="I20" s="12">
        <f>Hotel!B25</f>
        <v>173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60360</v>
      </c>
      <c r="F21" s="11">
        <v>5.0000000000000001E-3</v>
      </c>
      <c r="G21" s="12">
        <f>Submetering!R21</f>
        <v>700.30084999999997</v>
      </c>
      <c r="H21" s="11">
        <v>0.52800000000000002</v>
      </c>
      <c r="I21" s="12">
        <f>Hotel!B26</f>
        <v>167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60490</v>
      </c>
      <c r="F22" s="11">
        <v>5.0000000000000001E-3</v>
      </c>
      <c r="G22" s="12">
        <f>Submetering!R22</f>
        <v>730.58412999999996</v>
      </c>
      <c r="H22" s="11">
        <v>0.52800000000000002</v>
      </c>
      <c r="I22" s="12">
        <f>Hotel!B27</f>
        <v>215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60150</v>
      </c>
      <c r="F23" s="11">
        <v>5.0000000000000001E-3</v>
      </c>
      <c r="G23" s="12">
        <f>Submetering!R23</f>
        <v>541.69217099999992</v>
      </c>
      <c r="H23" s="11">
        <v>0.52800000000000002</v>
      </c>
      <c r="I23" s="12">
        <f>Hotel!B28</f>
        <v>212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58720</v>
      </c>
      <c r="F24" s="11">
        <v>5.0000000000000001E-3</v>
      </c>
      <c r="G24" s="12">
        <f>Submetering!R24</f>
        <v>843.01080699999989</v>
      </c>
      <c r="H24" s="11">
        <v>0.52800000000000002</v>
      </c>
      <c r="I24" s="12">
        <f>Hotel!B29</f>
        <v>122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56930</v>
      </c>
      <c r="F25" s="11">
        <v>5.0000000000000001E-3</v>
      </c>
      <c r="G25" s="12">
        <f>Submetering!R25</f>
        <v>600.36602600000003</v>
      </c>
      <c r="H25" s="11">
        <v>0.52800000000000002</v>
      </c>
      <c r="I25" s="12">
        <f>Hotel!B30</f>
        <v>147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58900</v>
      </c>
      <c r="F26" s="11">
        <v>5.0000000000000001E-3</v>
      </c>
      <c r="G26" s="12">
        <f>Submetering!R26</f>
        <v>738.15494999999999</v>
      </c>
      <c r="H26" s="11">
        <v>0.52800000000000002</v>
      </c>
      <c r="I26" s="12">
        <f>Hotel!B31</f>
        <v>177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57860</v>
      </c>
      <c r="F27" s="11">
        <v>5.0000000000000001E-3</v>
      </c>
      <c r="G27" s="12">
        <f>Submetering!R27</f>
        <v>556.45527000000004</v>
      </c>
      <c r="H27" s="11">
        <v>0.52800000000000002</v>
      </c>
      <c r="I27" s="12">
        <f>Hotel!B32</f>
        <v>122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8680</v>
      </c>
      <c r="F2" s="4">
        <f>Hotel!R7</f>
        <v>12120</v>
      </c>
      <c r="G2" s="4">
        <f>Hotel!S7</f>
        <v>90</v>
      </c>
      <c r="H2" s="4">
        <f>Hotel!T7</f>
        <v>1530</v>
      </c>
      <c r="I2" s="4">
        <f>Hotel!U7</f>
        <v>5660</v>
      </c>
      <c r="J2" s="4">
        <f>Hotel!V7</f>
        <v>4410</v>
      </c>
      <c r="K2" s="4">
        <f>Hotel!W7</f>
        <v>3490</v>
      </c>
      <c r="L2" s="4">
        <f>Hotel!X7</f>
        <v>4810</v>
      </c>
      <c r="M2" s="4">
        <f>Hotel!Y7</f>
        <v>6540</v>
      </c>
      <c r="N2" s="4">
        <f>Hotel!Z7</f>
        <v>2960</v>
      </c>
      <c r="O2" s="4">
        <f>Hotel!AA7</f>
        <v>3640</v>
      </c>
      <c r="P2" s="4">
        <f>Hotel!AB7</f>
        <v>8280</v>
      </c>
      <c r="Q2" s="4">
        <f>Hotel!AC7</f>
        <v>13950</v>
      </c>
      <c r="R2" s="4">
        <f>Hotel!AV7*0.00378541*100</f>
        <v>652.98322500000006</v>
      </c>
      <c r="S2" s="4">
        <f>Hotel!B7</f>
        <v>275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7600</v>
      </c>
      <c r="F3" s="4">
        <f>Hotel!R8</f>
        <v>12190</v>
      </c>
      <c r="G3" s="4">
        <f>Hotel!S8</f>
        <v>90</v>
      </c>
      <c r="H3" s="4">
        <f>Hotel!T8</f>
        <v>1580</v>
      </c>
      <c r="I3" s="4">
        <f>Hotel!U8</f>
        <v>5860</v>
      </c>
      <c r="J3" s="4">
        <f>Hotel!V8</f>
        <v>4630</v>
      </c>
      <c r="K3" s="4">
        <f>Hotel!W8</f>
        <v>2930</v>
      </c>
      <c r="L3" s="4">
        <f>Hotel!X8</f>
        <v>5000</v>
      </c>
      <c r="M3" s="4">
        <f>Hotel!Y8</f>
        <v>6350</v>
      </c>
      <c r="N3" s="4">
        <f>Hotel!Z8</f>
        <v>2990</v>
      </c>
      <c r="O3" s="4">
        <f>Hotel!AA8</f>
        <v>3830</v>
      </c>
      <c r="P3" s="4">
        <f>Hotel!AB8</f>
        <v>8420</v>
      </c>
      <c r="Q3" s="4">
        <f>Hotel!AC8</f>
        <v>14300</v>
      </c>
      <c r="R3" s="4">
        <f>Hotel!AV8*0.00378541*100</f>
        <v>611.72225600000002</v>
      </c>
      <c r="S3" s="4">
        <f>Hotel!B8</f>
        <v>109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5140</v>
      </c>
      <c r="F4" s="4">
        <f>Hotel!R9</f>
        <v>13290</v>
      </c>
      <c r="G4" s="4">
        <f>Hotel!S9</f>
        <v>60</v>
      </c>
      <c r="H4" s="4">
        <f>Hotel!T9</f>
        <v>1550</v>
      </c>
      <c r="I4" s="4">
        <f>Hotel!U9</f>
        <v>5300</v>
      </c>
      <c r="J4" s="4">
        <f>Hotel!V9</f>
        <v>4610</v>
      </c>
      <c r="K4" s="4">
        <f>Hotel!W9</f>
        <v>3070</v>
      </c>
      <c r="L4" s="4">
        <f>Hotel!X9</f>
        <v>4850</v>
      </c>
      <c r="M4" s="4">
        <f>Hotel!Y9</f>
        <v>5980</v>
      </c>
      <c r="N4" s="4">
        <f>Hotel!Z9</f>
        <v>2770</v>
      </c>
      <c r="O4" s="4">
        <f>Hotel!AA9</f>
        <v>3460</v>
      </c>
      <c r="P4" s="4">
        <f>Hotel!AB9</f>
        <v>8140</v>
      </c>
      <c r="Q4" s="4">
        <f>Hotel!AC9</f>
        <v>14060</v>
      </c>
      <c r="R4" s="4">
        <f>Hotel!AV9*0.00378541*100</f>
        <v>752.16096700000003</v>
      </c>
      <c r="S4" s="4">
        <f>Hotel!B9</f>
        <v>122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9170</v>
      </c>
      <c r="F5" s="4">
        <f>Hotel!R10</f>
        <v>12140</v>
      </c>
      <c r="G5" s="4">
        <f>Hotel!S10</f>
        <v>110</v>
      </c>
      <c r="H5" s="4">
        <f>Hotel!T10</f>
        <v>1590</v>
      </c>
      <c r="I5" s="4">
        <f>Hotel!U10</f>
        <v>5460</v>
      </c>
      <c r="J5" s="4">
        <f>Hotel!V10</f>
        <v>4730</v>
      </c>
      <c r="K5" s="4">
        <f>Hotel!W10</f>
        <v>3260</v>
      </c>
      <c r="L5" s="4">
        <f>Hotel!X10</f>
        <v>5050</v>
      </c>
      <c r="M5" s="4">
        <f>Hotel!Y10</f>
        <v>6270</v>
      </c>
      <c r="N5" s="4">
        <f>Hotel!Z10</f>
        <v>2770</v>
      </c>
      <c r="O5" s="4">
        <f>Hotel!AA10</f>
        <v>3460</v>
      </c>
      <c r="P5" s="4">
        <f>Hotel!AB10</f>
        <v>8190</v>
      </c>
      <c r="Q5" s="4">
        <f>Hotel!AC10</f>
        <v>14130</v>
      </c>
      <c r="R5" s="4">
        <f>Hotel!AV10*0.00378541*100</f>
        <v>631.02784700000007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9430</v>
      </c>
      <c r="F6" s="4">
        <f>Hotel!R11</f>
        <v>9510</v>
      </c>
      <c r="G6" s="4">
        <f>Hotel!S11</f>
        <v>90</v>
      </c>
      <c r="H6" s="4">
        <f>Hotel!T11</f>
        <v>1530</v>
      </c>
      <c r="I6" s="4">
        <f>Hotel!U11</f>
        <v>5600</v>
      </c>
      <c r="J6" s="4">
        <f>Hotel!V11</f>
        <v>4630</v>
      </c>
      <c r="K6" s="4">
        <f>Hotel!W11</f>
        <v>3360</v>
      </c>
      <c r="L6" s="4">
        <f>Hotel!X11</f>
        <v>4760</v>
      </c>
      <c r="M6" s="4">
        <f>Hotel!Y11</f>
        <v>5860</v>
      </c>
      <c r="N6" s="4">
        <f>Hotel!Z11</f>
        <v>2750</v>
      </c>
      <c r="O6" s="4">
        <f>Hotel!AA11</f>
        <v>3550</v>
      </c>
      <c r="P6" s="4">
        <f>Hotel!AB11</f>
        <v>7990</v>
      </c>
      <c r="Q6" s="4">
        <f>Hotel!AC11</f>
        <v>13870</v>
      </c>
      <c r="R6" s="4">
        <f>Hotel!AV11*0.00378541*100</f>
        <v>649.19781499999999</v>
      </c>
      <c r="S6" s="4">
        <f>Hotel!B11</f>
        <v>155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11920</v>
      </c>
      <c r="F7" s="4">
        <f>Hotel!R12</f>
        <v>3630</v>
      </c>
      <c r="G7" s="4">
        <f>Hotel!S12</f>
        <v>70</v>
      </c>
      <c r="H7" s="4">
        <f>Hotel!T12</f>
        <v>1520</v>
      </c>
      <c r="I7" s="4">
        <f>Hotel!U12</f>
        <v>5600</v>
      </c>
      <c r="J7" s="4">
        <f>Hotel!V12</f>
        <v>4760</v>
      </c>
      <c r="K7" s="4">
        <f>Hotel!W12</f>
        <v>4020</v>
      </c>
      <c r="L7" s="4">
        <f>Hotel!X12</f>
        <v>4650</v>
      </c>
      <c r="M7" s="4">
        <f>Hotel!Y12</f>
        <v>5730</v>
      </c>
      <c r="N7" s="4">
        <f>Hotel!Z12</f>
        <v>2790</v>
      </c>
      <c r="O7" s="4">
        <f>Hotel!AA12</f>
        <v>3370</v>
      </c>
      <c r="P7" s="4">
        <f>Hotel!AB12</f>
        <v>7390</v>
      </c>
      <c r="Q7" s="4">
        <f>Hotel!AC12</f>
        <v>13600</v>
      </c>
      <c r="R7" s="4">
        <f>Hotel!AV12*0.00378541*100</f>
        <v>960.73705799999993</v>
      </c>
      <c r="S7" s="4">
        <f>Hotel!B12</f>
        <v>182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12700</v>
      </c>
      <c r="F8" s="4">
        <f>Hotel!R13</f>
        <v>3710</v>
      </c>
      <c r="G8" s="4">
        <f>Hotel!S13</f>
        <v>90</v>
      </c>
      <c r="H8" s="4">
        <f>Hotel!T13</f>
        <v>1560</v>
      </c>
      <c r="I8" s="4">
        <f>Hotel!U13</f>
        <v>5840</v>
      </c>
      <c r="J8" s="4">
        <f>Hotel!V13</f>
        <v>4830</v>
      </c>
      <c r="K8" s="4">
        <f>Hotel!W13</f>
        <v>3730</v>
      </c>
      <c r="L8" s="4">
        <f>Hotel!X13</f>
        <v>4800</v>
      </c>
      <c r="M8" s="4">
        <f>Hotel!Y13</f>
        <v>6000</v>
      </c>
      <c r="N8" s="4">
        <f>Hotel!Z13</f>
        <v>2970</v>
      </c>
      <c r="O8" s="4">
        <f>Hotel!AA13</f>
        <v>3630</v>
      </c>
      <c r="P8" s="4">
        <f>Hotel!AB13</f>
        <v>7260</v>
      </c>
      <c r="Q8" s="4">
        <f>Hotel!AC13</f>
        <v>14630</v>
      </c>
      <c r="R8" s="4">
        <f>Hotel!AV13*0.00378541*100</f>
        <v>716.95665399999996</v>
      </c>
      <c r="S8" s="4">
        <f>Hotel!B13</f>
        <v>244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12000</v>
      </c>
      <c r="F9" s="4">
        <f>Hotel!R14</f>
        <v>7400</v>
      </c>
      <c r="G9" s="4">
        <f>Hotel!S14</f>
        <v>90</v>
      </c>
      <c r="H9" s="4">
        <f>Hotel!T14</f>
        <v>1040</v>
      </c>
      <c r="I9" s="4">
        <f>Hotel!U14</f>
        <v>4930</v>
      </c>
      <c r="J9" s="4">
        <f>Hotel!V14</f>
        <v>4210</v>
      </c>
      <c r="K9" s="4">
        <f>Hotel!W14</f>
        <v>2200</v>
      </c>
      <c r="L9" s="4">
        <f>Hotel!X14</f>
        <v>5290</v>
      </c>
      <c r="M9" s="4">
        <f>Hotel!Y14</f>
        <v>2470</v>
      </c>
      <c r="N9" s="4">
        <f>Hotel!Z14</f>
        <v>3690</v>
      </c>
      <c r="O9" s="4">
        <f>Hotel!AA14</f>
        <v>4200</v>
      </c>
      <c r="P9" s="4">
        <f>Hotel!AB14</f>
        <v>6500</v>
      </c>
      <c r="Q9" s="4">
        <f>Hotel!AC14</f>
        <v>14990</v>
      </c>
      <c r="R9" s="4">
        <f>Hotel!AV14*0.00378541*100</f>
        <v>833.16874099999984</v>
      </c>
      <c r="S9" s="4">
        <f>Hotel!B14</f>
        <v>260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7950</v>
      </c>
      <c r="F10" s="4">
        <f>Hotel!R15</f>
        <v>11260</v>
      </c>
      <c r="G10" s="4">
        <f>Hotel!S15</f>
        <v>90</v>
      </c>
      <c r="H10" s="4">
        <f>Hotel!T15</f>
        <v>2080</v>
      </c>
      <c r="I10" s="4">
        <f>Hotel!U15</f>
        <v>7020</v>
      </c>
      <c r="J10" s="4">
        <f>Hotel!V15</f>
        <v>5580</v>
      </c>
      <c r="K10" s="4">
        <f>Hotel!W15</f>
        <v>5190</v>
      </c>
      <c r="L10" s="4">
        <f>Hotel!X15</f>
        <v>4430</v>
      </c>
      <c r="M10" s="4">
        <f>Hotel!Y15</f>
        <v>9770</v>
      </c>
      <c r="N10" s="4">
        <f>Hotel!Z15</f>
        <v>2350</v>
      </c>
      <c r="O10" s="4">
        <f>Hotel!AA15</f>
        <v>3760</v>
      </c>
      <c r="P10" s="4">
        <f>Hotel!AB15</f>
        <v>8510</v>
      </c>
      <c r="Q10" s="4">
        <f>Hotel!AC15</f>
        <v>14170</v>
      </c>
      <c r="R10" s="4">
        <f>Hotel!AV15*0.00378541*100</f>
        <v>1016.0040439999999</v>
      </c>
      <c r="S10" s="4">
        <f>Hotel!B15</f>
        <v>142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10570</v>
      </c>
      <c r="F11" s="4">
        <f>Hotel!R16</f>
        <v>7960</v>
      </c>
      <c r="G11" s="4">
        <f>Hotel!S16</f>
        <v>90</v>
      </c>
      <c r="H11" s="4">
        <f>Hotel!T16</f>
        <v>1560</v>
      </c>
      <c r="I11" s="4">
        <f>Hotel!U16</f>
        <v>5690</v>
      </c>
      <c r="J11" s="4">
        <f>Hotel!V16</f>
        <v>4710</v>
      </c>
      <c r="K11" s="4">
        <f>Hotel!W16</f>
        <v>3120</v>
      </c>
      <c r="L11" s="4">
        <f>Hotel!X16</f>
        <v>4920</v>
      </c>
      <c r="M11" s="4">
        <f>Hotel!Y16</f>
        <v>5720</v>
      </c>
      <c r="N11" s="4">
        <f>Hotel!Z16</f>
        <v>2860</v>
      </c>
      <c r="O11" s="4">
        <f>Hotel!AA16</f>
        <v>3730</v>
      </c>
      <c r="P11" s="4">
        <f>Hotel!AB16</f>
        <v>7440</v>
      </c>
      <c r="Q11" s="4">
        <f>Hotel!AC16</f>
        <v>14160</v>
      </c>
      <c r="R11" s="4">
        <f>Hotel!AV16*0.00378541*100</f>
        <v>664.71799599999997</v>
      </c>
      <c r="S11" s="4">
        <f>Hotel!B16</f>
        <v>146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5870</v>
      </c>
      <c r="F12" s="4">
        <f>Hotel!R17</f>
        <v>13080</v>
      </c>
      <c r="G12" s="4">
        <f>Hotel!S17</f>
        <v>100</v>
      </c>
      <c r="H12" s="4">
        <f>Hotel!T17</f>
        <v>1540</v>
      </c>
      <c r="I12" s="4">
        <f>Hotel!U17</f>
        <v>5770</v>
      </c>
      <c r="J12" s="4">
        <f>Hotel!V17</f>
        <v>4730</v>
      </c>
      <c r="K12" s="4">
        <f>Hotel!W17</f>
        <v>3600</v>
      </c>
      <c r="L12" s="4">
        <f>Hotel!X17</f>
        <v>4960</v>
      </c>
      <c r="M12" s="4">
        <f>Hotel!Y17</f>
        <v>5650</v>
      </c>
      <c r="N12" s="4">
        <f>Hotel!Z17</f>
        <v>2810</v>
      </c>
      <c r="O12" s="4">
        <f>Hotel!AA17</f>
        <v>3490</v>
      </c>
      <c r="P12" s="4">
        <f>Hotel!AB17</f>
        <v>7590</v>
      </c>
      <c r="Q12" s="4">
        <f>Hotel!AC17</f>
        <v>14240</v>
      </c>
      <c r="R12" s="4">
        <f>Hotel!AV17*0.00378541*100</f>
        <v>908.49840000000006</v>
      </c>
      <c r="S12" s="4">
        <f>Hotel!B17</f>
        <v>190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8910</v>
      </c>
      <c r="F13" s="4">
        <f>Hotel!R18</f>
        <v>11140</v>
      </c>
      <c r="G13" s="4">
        <f>Hotel!S18</f>
        <v>100</v>
      </c>
      <c r="H13" s="4">
        <f>Hotel!T18</f>
        <v>1550</v>
      </c>
      <c r="I13" s="4">
        <f>Hotel!U18</f>
        <v>5730</v>
      </c>
      <c r="J13" s="4">
        <f>Hotel!V18</f>
        <v>4720</v>
      </c>
      <c r="K13" s="4">
        <f>Hotel!W18</f>
        <v>3590</v>
      </c>
      <c r="L13" s="4">
        <f>Hotel!X18</f>
        <v>4900</v>
      </c>
      <c r="M13" s="4">
        <f>Hotel!Y18</f>
        <v>5780</v>
      </c>
      <c r="N13" s="4">
        <f>Hotel!Z18</f>
        <v>2810</v>
      </c>
      <c r="O13" s="4">
        <f>Hotel!AA18</f>
        <v>3520</v>
      </c>
      <c r="P13" s="4">
        <f>Hotel!AB18</f>
        <v>8740</v>
      </c>
      <c r="Q13" s="4">
        <f>Hotel!AC18</f>
        <v>14290</v>
      </c>
      <c r="R13" s="4">
        <f>Hotel!AV18*0.00378541*100</f>
        <v>656.39009399999998</v>
      </c>
      <c r="S13" s="4">
        <f>Hotel!B18</f>
        <v>160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8230</v>
      </c>
      <c r="F14" s="4">
        <f>Hotel!R19</f>
        <v>8500</v>
      </c>
      <c r="G14" s="4">
        <f>Hotel!S19</f>
        <v>60</v>
      </c>
      <c r="H14" s="4">
        <f>Hotel!T19</f>
        <v>1570</v>
      </c>
      <c r="I14" s="4">
        <f>Hotel!U19</f>
        <v>5800</v>
      </c>
      <c r="J14" s="4">
        <f>Hotel!V19</f>
        <v>4840</v>
      </c>
      <c r="K14" s="4">
        <f>Hotel!W19</f>
        <v>3600</v>
      </c>
      <c r="L14" s="4">
        <f>Hotel!X19</f>
        <v>4920</v>
      </c>
      <c r="M14" s="4">
        <f>Hotel!Y19</f>
        <v>5800</v>
      </c>
      <c r="N14" s="4">
        <f>Hotel!Z19</f>
        <v>2860</v>
      </c>
      <c r="O14" s="4">
        <f>Hotel!AA19</f>
        <v>3500</v>
      </c>
      <c r="P14" s="4">
        <f>Hotel!AB19</f>
        <v>6610</v>
      </c>
      <c r="Q14" s="4">
        <f>Hotel!AC19</f>
        <v>14300</v>
      </c>
      <c r="R14" s="4">
        <f>Hotel!AV19*0.00378541*100</f>
        <v>855.12411899999984</v>
      </c>
      <c r="S14" s="4">
        <f>Hotel!B19</f>
        <v>177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1050</v>
      </c>
      <c r="F15" s="4">
        <f>Hotel!R20</f>
        <v>9570</v>
      </c>
      <c r="G15" s="4">
        <f>Hotel!S20</f>
        <v>2060</v>
      </c>
      <c r="H15" s="4">
        <f>Hotel!T20</f>
        <v>1570</v>
      </c>
      <c r="I15" s="4">
        <f>Hotel!U20</f>
        <v>5990</v>
      </c>
      <c r="J15" s="4">
        <f>Hotel!V20</f>
        <v>4960</v>
      </c>
      <c r="K15" s="4">
        <f>Hotel!W20</f>
        <v>3470</v>
      </c>
      <c r="L15" s="4">
        <f>Hotel!X20</f>
        <v>4970</v>
      </c>
      <c r="M15" s="4">
        <f>Hotel!Y20</f>
        <v>6050</v>
      </c>
      <c r="N15" s="4">
        <f>Hotel!Z20</f>
        <v>3000</v>
      </c>
      <c r="O15" s="4">
        <f>Hotel!AA20</f>
        <v>3850</v>
      </c>
      <c r="P15" s="4">
        <f>Hotel!AB20</f>
        <v>7810</v>
      </c>
      <c r="Q15" s="4">
        <f>Hotel!AC20</f>
        <v>13910</v>
      </c>
      <c r="R15" s="4">
        <f>Hotel!AV20*0.00378541*100</f>
        <v>873.29408699999999</v>
      </c>
      <c r="S15" s="4">
        <f>Hotel!B20</f>
        <v>258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1020</v>
      </c>
      <c r="F16" s="4">
        <f>Hotel!R21</f>
        <v>3610</v>
      </c>
      <c r="G16" s="4">
        <f>Hotel!S21</f>
        <v>3630</v>
      </c>
      <c r="H16" s="4">
        <f>Hotel!T21</f>
        <v>1530</v>
      </c>
      <c r="I16" s="4">
        <f>Hotel!U21</f>
        <v>6080</v>
      </c>
      <c r="J16" s="4">
        <f>Hotel!V21</f>
        <v>4690</v>
      </c>
      <c r="K16" s="4">
        <f>Hotel!W21</f>
        <v>3190</v>
      </c>
      <c r="L16" s="4">
        <f>Hotel!X21</f>
        <v>4770</v>
      </c>
      <c r="M16" s="4">
        <f>Hotel!Y21</f>
        <v>5970</v>
      </c>
      <c r="N16" s="4">
        <f>Hotel!Z21</f>
        <v>2960</v>
      </c>
      <c r="O16" s="4">
        <f>Hotel!AA21</f>
        <v>3770</v>
      </c>
      <c r="P16" s="4">
        <f>Hotel!AB21</f>
        <v>7600</v>
      </c>
      <c r="Q16" s="4">
        <f>Hotel!AC21</f>
        <v>13630</v>
      </c>
      <c r="R16" s="4">
        <f>Hotel!AV21*0.00378541*100</f>
        <v>593.17374699999993</v>
      </c>
      <c r="S16" s="4">
        <f>Hotel!B21</f>
        <v>140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1070</v>
      </c>
      <c r="F17" s="4">
        <f>Hotel!R22</f>
        <v>3720</v>
      </c>
      <c r="G17" s="4">
        <f>Hotel!S22</f>
        <v>3970</v>
      </c>
      <c r="H17" s="4">
        <f>Hotel!T22</f>
        <v>1580</v>
      </c>
      <c r="I17" s="4">
        <f>Hotel!U22</f>
        <v>6170</v>
      </c>
      <c r="J17" s="4">
        <f>Hotel!V22</f>
        <v>4810</v>
      </c>
      <c r="K17" s="4">
        <f>Hotel!W22</f>
        <v>3140</v>
      </c>
      <c r="L17" s="4">
        <f>Hotel!X22</f>
        <v>5020</v>
      </c>
      <c r="M17" s="4">
        <f>Hotel!Y22</f>
        <v>6140</v>
      </c>
      <c r="N17" s="4">
        <f>Hotel!Z22</f>
        <v>2920</v>
      </c>
      <c r="O17" s="4">
        <f>Hotel!AA22</f>
        <v>3350</v>
      </c>
      <c r="P17" s="4">
        <f>Hotel!AB22</f>
        <v>7830</v>
      </c>
      <c r="Q17" s="4">
        <f>Hotel!AC22</f>
        <v>14390</v>
      </c>
      <c r="R17" s="4">
        <f>Hotel!AV22*0.00378541*100</f>
        <v>745.72577000000001</v>
      </c>
      <c r="S17" s="4">
        <f>Hotel!B22</f>
        <v>138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1020</v>
      </c>
      <c r="F18" s="4">
        <f>Hotel!R23</f>
        <v>3490</v>
      </c>
      <c r="G18" s="4">
        <f>Hotel!S23</f>
        <v>3780</v>
      </c>
      <c r="H18" s="4">
        <f>Hotel!T23</f>
        <v>1530</v>
      </c>
      <c r="I18" s="4">
        <f>Hotel!U23</f>
        <v>5410</v>
      </c>
      <c r="J18" s="4">
        <f>Hotel!V23</f>
        <v>4710</v>
      </c>
      <c r="K18" s="4">
        <f>Hotel!W23</f>
        <v>3210</v>
      </c>
      <c r="L18" s="4">
        <f>Hotel!X23</f>
        <v>4910</v>
      </c>
      <c r="M18" s="4">
        <f>Hotel!Y23</f>
        <v>5810</v>
      </c>
      <c r="N18" s="4">
        <f>Hotel!Z23</f>
        <v>2780</v>
      </c>
      <c r="O18" s="4">
        <f>Hotel!AA23</f>
        <v>3940</v>
      </c>
      <c r="P18" s="4">
        <f>Hotel!AB23</f>
        <v>7580</v>
      </c>
      <c r="Q18" s="4">
        <f>Hotel!AC23</f>
        <v>13640</v>
      </c>
      <c r="R18" s="4">
        <f>Hotel!AV23*0.00378541*100</f>
        <v>745.34722899999997</v>
      </c>
      <c r="S18" s="4">
        <f>Hotel!B23</f>
        <v>144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580</v>
      </c>
      <c r="F19" s="4">
        <f>Hotel!R24</f>
        <v>1920</v>
      </c>
      <c r="G19" s="4">
        <f>Hotel!S24</f>
        <v>3390</v>
      </c>
      <c r="H19" s="4">
        <f>Hotel!T24</f>
        <v>1480</v>
      </c>
      <c r="I19" s="4">
        <f>Hotel!U24</f>
        <v>5640</v>
      </c>
      <c r="J19" s="4">
        <f>Hotel!V24</f>
        <v>4800</v>
      </c>
      <c r="K19" s="4">
        <f>Hotel!W24</f>
        <v>3580</v>
      </c>
      <c r="L19" s="4">
        <f>Hotel!X24</f>
        <v>5230</v>
      </c>
      <c r="M19" s="4">
        <f>Hotel!Y24</f>
        <v>5800</v>
      </c>
      <c r="N19" s="4">
        <f>Hotel!Z24</f>
        <v>2770</v>
      </c>
      <c r="O19" s="4">
        <f>Hotel!AA24</f>
        <v>3410</v>
      </c>
      <c r="P19" s="4">
        <f>Hotel!AB24</f>
        <v>7980</v>
      </c>
      <c r="Q19" s="4">
        <f>Hotel!AC24</f>
        <v>13850</v>
      </c>
      <c r="R19" s="4">
        <f>Hotel!AV24*0.00378541*100</f>
        <v>616.26474799999994</v>
      </c>
      <c r="S19" s="4">
        <f>Hotel!B24</f>
        <v>153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570</v>
      </c>
      <c r="F20" s="4">
        <f>Hotel!R25</f>
        <v>1870</v>
      </c>
      <c r="G20" s="4">
        <f>Hotel!S25</f>
        <v>3020</v>
      </c>
      <c r="H20" s="4">
        <f>Hotel!T25</f>
        <v>1450</v>
      </c>
      <c r="I20" s="4">
        <f>Hotel!U25</f>
        <v>5510</v>
      </c>
      <c r="J20" s="4">
        <f>Hotel!V25</f>
        <v>4810</v>
      </c>
      <c r="K20" s="4">
        <f>Hotel!W25</f>
        <v>3560</v>
      </c>
      <c r="L20" s="4">
        <f>Hotel!X25</f>
        <v>5030</v>
      </c>
      <c r="M20" s="4">
        <f>Hotel!Y25</f>
        <v>5620</v>
      </c>
      <c r="N20" s="4">
        <f>Hotel!Z25</f>
        <v>2770</v>
      </c>
      <c r="O20" s="4">
        <f>Hotel!AA25</f>
        <v>3370</v>
      </c>
      <c r="P20" s="4">
        <f>Hotel!AB25</f>
        <v>7840</v>
      </c>
      <c r="Q20" s="4">
        <f>Hotel!AC25</f>
        <v>13560</v>
      </c>
      <c r="R20" s="4">
        <f>Hotel!AV25*0.00378541*100</f>
        <v>556.45527000000004</v>
      </c>
      <c r="S20" s="4">
        <f>Hotel!B25</f>
        <v>173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580</v>
      </c>
      <c r="F21" s="4">
        <f>Hotel!R26</f>
        <v>1920</v>
      </c>
      <c r="G21" s="4">
        <f>Hotel!S26</f>
        <v>2920</v>
      </c>
      <c r="H21" s="4">
        <f>Hotel!T26</f>
        <v>1470</v>
      </c>
      <c r="I21" s="4">
        <f>Hotel!U26</f>
        <v>5980</v>
      </c>
      <c r="J21" s="4">
        <f>Hotel!V26</f>
        <v>4960</v>
      </c>
      <c r="K21" s="4">
        <f>Hotel!W26</f>
        <v>3690</v>
      </c>
      <c r="L21" s="4">
        <f>Hotel!X26</f>
        <v>5230</v>
      </c>
      <c r="M21" s="4">
        <f>Hotel!Y26</f>
        <v>5500</v>
      </c>
      <c r="N21" s="4">
        <f>Hotel!Z26</f>
        <v>2810</v>
      </c>
      <c r="O21" s="4">
        <f>Hotel!AA26</f>
        <v>3470</v>
      </c>
      <c r="P21" s="4">
        <f>Hotel!AB26</f>
        <v>7790</v>
      </c>
      <c r="Q21" s="4">
        <f>Hotel!AC26</f>
        <v>14040</v>
      </c>
      <c r="R21" s="4">
        <f>Hotel!AV26*0.00378541*100</f>
        <v>700.30084999999997</v>
      </c>
      <c r="S21" s="4">
        <f>Hotel!B26</f>
        <v>167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560</v>
      </c>
      <c r="F22" s="4">
        <f>Hotel!R27</f>
        <v>1870</v>
      </c>
      <c r="G22" s="4">
        <f>Hotel!S27</f>
        <v>2990</v>
      </c>
      <c r="H22" s="4">
        <f>Hotel!T27</f>
        <v>1450</v>
      </c>
      <c r="I22" s="4">
        <f>Hotel!U27</f>
        <v>5980</v>
      </c>
      <c r="J22" s="4">
        <f>Hotel!V27</f>
        <v>5370</v>
      </c>
      <c r="K22" s="4">
        <f>Hotel!W27</f>
        <v>3360</v>
      </c>
      <c r="L22" s="4">
        <f>Hotel!X27</f>
        <v>5330</v>
      </c>
      <c r="M22" s="4">
        <f>Hotel!Y27</f>
        <v>5450</v>
      </c>
      <c r="N22" s="4">
        <f>Hotel!Z27</f>
        <v>2960</v>
      </c>
      <c r="O22" s="4">
        <f>Hotel!AA27</f>
        <v>3520</v>
      </c>
      <c r="P22" s="4">
        <f>Hotel!AB27</f>
        <v>7620</v>
      </c>
      <c r="Q22" s="4">
        <f>Hotel!AC27</f>
        <v>14030</v>
      </c>
      <c r="R22" s="4">
        <f>Hotel!AV27*0.00378541*100</f>
        <v>730.58412999999996</v>
      </c>
      <c r="S22" s="4">
        <f>Hotel!B27</f>
        <v>215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590</v>
      </c>
      <c r="F23" s="4">
        <f>Hotel!R28</f>
        <v>1920</v>
      </c>
      <c r="G23" s="4">
        <f>Hotel!S28</f>
        <v>3160</v>
      </c>
      <c r="H23" s="4">
        <f>Hotel!T28</f>
        <v>1490</v>
      </c>
      <c r="I23" s="4">
        <f>Hotel!U28</f>
        <v>6110</v>
      </c>
      <c r="J23" s="4">
        <f>Hotel!V28</f>
        <v>4580</v>
      </c>
      <c r="K23" s="4">
        <f>Hotel!W28</f>
        <v>3740</v>
      </c>
      <c r="L23" s="4">
        <f>Hotel!X28</f>
        <v>5460</v>
      </c>
      <c r="M23" s="4">
        <f>Hotel!Y28</f>
        <v>5740</v>
      </c>
      <c r="N23" s="4">
        <f>Hotel!Z28</f>
        <v>3100</v>
      </c>
      <c r="O23" s="4">
        <f>Hotel!AA28</f>
        <v>3700</v>
      </c>
      <c r="P23" s="4">
        <f>Hotel!AB28</f>
        <v>7880</v>
      </c>
      <c r="Q23" s="4">
        <f>Hotel!AC28</f>
        <v>12680</v>
      </c>
      <c r="R23" s="4">
        <f>Hotel!AV28*0.00378541*100</f>
        <v>541.69217099999992</v>
      </c>
      <c r="S23" s="4">
        <f>Hotel!B28</f>
        <v>212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560</v>
      </c>
      <c r="F24" s="4">
        <f>Hotel!R29</f>
        <v>1870</v>
      </c>
      <c r="G24" s="4">
        <f>Hotel!S29</f>
        <v>3080</v>
      </c>
      <c r="H24" s="4">
        <f>Hotel!T29</f>
        <v>1930</v>
      </c>
      <c r="I24" s="4">
        <f>Hotel!U29</f>
        <v>6120</v>
      </c>
      <c r="J24" s="4">
        <f>Hotel!V29</f>
        <v>4950</v>
      </c>
      <c r="K24" s="4">
        <f>Hotel!W29</f>
        <v>3280</v>
      </c>
      <c r="L24" s="4">
        <f>Hotel!X29</f>
        <v>5090</v>
      </c>
      <c r="M24" s="4">
        <f>Hotel!Y29</f>
        <v>5410</v>
      </c>
      <c r="N24" s="4">
        <f>Hotel!Z29</f>
        <v>2880</v>
      </c>
      <c r="O24" s="4">
        <f>Hotel!AA29</f>
        <v>3610</v>
      </c>
      <c r="P24" s="4">
        <f>Hotel!AB29</f>
        <v>7620</v>
      </c>
      <c r="Q24" s="4">
        <f>Hotel!AC29</f>
        <v>12320</v>
      </c>
      <c r="R24" s="4">
        <f>Hotel!AV29*0.00378541*100</f>
        <v>843.01080699999989</v>
      </c>
      <c r="S24" s="4">
        <f>Hotel!B29</f>
        <v>122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570</v>
      </c>
      <c r="F25" s="4">
        <f>Hotel!R30</f>
        <v>1890</v>
      </c>
      <c r="G25" s="4">
        <f>Hotel!S30</f>
        <v>3500</v>
      </c>
      <c r="H25" s="4">
        <f>Hotel!T30</f>
        <v>1480</v>
      </c>
      <c r="I25" s="4">
        <f>Hotel!U30</f>
        <v>5730</v>
      </c>
      <c r="J25" s="4">
        <f>Hotel!V30</f>
        <v>4700</v>
      </c>
      <c r="K25" s="4">
        <f>Hotel!W30</f>
        <v>3090</v>
      </c>
      <c r="L25" s="4">
        <f>Hotel!X30</f>
        <v>4650</v>
      </c>
      <c r="M25" s="4">
        <f>Hotel!Y30</f>
        <v>4970</v>
      </c>
      <c r="N25" s="4">
        <f>Hotel!Z30</f>
        <v>2740</v>
      </c>
      <c r="O25" s="4">
        <f>Hotel!AA30</f>
        <v>3600</v>
      </c>
      <c r="P25" s="4">
        <f>Hotel!AB30</f>
        <v>7580</v>
      </c>
      <c r="Q25" s="4">
        <f>Hotel!AC30</f>
        <v>12430</v>
      </c>
      <c r="R25" s="4">
        <f>Hotel!AV30*0.00378541*100</f>
        <v>600.36602600000003</v>
      </c>
      <c r="S25" s="4">
        <f>Hotel!B30</f>
        <v>147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600</v>
      </c>
      <c r="F26" s="4">
        <f>Hotel!R31</f>
        <v>2010</v>
      </c>
      <c r="G26" s="4">
        <f>Hotel!S31</f>
        <v>3830</v>
      </c>
      <c r="H26" s="4">
        <f>Hotel!T31</f>
        <v>1570</v>
      </c>
      <c r="I26" s="4">
        <f>Hotel!U31</f>
        <v>6010</v>
      </c>
      <c r="J26" s="4">
        <f>Hotel!V31</f>
        <v>3980</v>
      </c>
      <c r="K26" s="4">
        <f>Hotel!W31</f>
        <v>3220</v>
      </c>
      <c r="L26" s="4">
        <f>Hotel!X31</f>
        <v>4760</v>
      </c>
      <c r="M26" s="4">
        <f>Hotel!Y31</f>
        <v>4930</v>
      </c>
      <c r="N26" s="4">
        <f>Hotel!Z31</f>
        <v>2950</v>
      </c>
      <c r="O26" s="4">
        <f>Hotel!AA31</f>
        <v>3640</v>
      </c>
      <c r="P26" s="4">
        <f>Hotel!AB31</f>
        <v>8130</v>
      </c>
      <c r="Q26" s="4">
        <f>Hotel!AC31</f>
        <v>13270</v>
      </c>
      <c r="R26" s="4">
        <f>Hotel!AV31*0.00378541*100</f>
        <v>738.15494999999999</v>
      </c>
      <c r="S26" s="4">
        <f>Hotel!B31</f>
        <v>177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540</v>
      </c>
      <c r="F27" s="4">
        <f>Hotel!R32</f>
        <v>1850</v>
      </c>
      <c r="G27" s="4">
        <f>Hotel!S32</f>
        <v>3790</v>
      </c>
      <c r="H27" s="4">
        <f>Hotel!T32</f>
        <v>1440</v>
      </c>
      <c r="I27" s="4">
        <f>Hotel!U32</f>
        <v>5490</v>
      </c>
      <c r="J27" s="4">
        <f>Hotel!V32</f>
        <v>5640</v>
      </c>
      <c r="K27" s="4">
        <f>Hotel!W32</f>
        <v>3020</v>
      </c>
      <c r="L27" s="4">
        <f>Hotel!X32</f>
        <v>4730</v>
      </c>
      <c r="M27" s="4">
        <f>Hotel!Y32</f>
        <v>4980</v>
      </c>
      <c r="N27" s="4">
        <f>Hotel!Z32</f>
        <v>2790</v>
      </c>
      <c r="O27" s="4">
        <f>Hotel!AA32</f>
        <v>3500</v>
      </c>
      <c r="P27" s="4">
        <f>Hotel!AB32</f>
        <v>7480</v>
      </c>
      <c r="Q27" s="4">
        <f>Hotel!AC32</f>
        <v>12610</v>
      </c>
      <c r="R27" s="4">
        <f>Hotel!AV32*0.00378541*100</f>
        <v>556.45527000000004</v>
      </c>
      <c r="S27" s="4">
        <f>Hotel!B32</f>
        <v>122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 t="str">
        <f>Hotel!Q33</f>
        <v>0</v>
      </c>
      <c r="F28" s="4" t="str">
        <f>Hotel!R33</f>
        <v>0</v>
      </c>
      <c r="G28" s="4" t="str">
        <f>Hotel!S33</f>
        <v>0</v>
      </c>
      <c r="H28" s="4" t="str">
        <f>Hotel!T33</f>
        <v>0</v>
      </c>
      <c r="I28" s="4" t="str">
        <f>Hotel!U33</f>
        <v>0</v>
      </c>
      <c r="J28" s="4" t="str">
        <f>Hotel!V33</f>
        <v>0</v>
      </c>
      <c r="K28" s="4" t="str">
        <f>Hotel!W33</f>
        <v>0</v>
      </c>
      <c r="L28" s="4" t="str">
        <f>Hotel!X33</f>
        <v>0</v>
      </c>
      <c r="M28" s="4" t="str">
        <f>Hotel!Y33</f>
        <v>0</v>
      </c>
      <c r="N28" s="4" t="str">
        <f>Hotel!Z33</f>
        <v>0</v>
      </c>
      <c r="O28" s="4" t="str">
        <f>Hotel!AA33</f>
        <v>0</v>
      </c>
      <c r="P28" s="4" t="str">
        <f>Hotel!AB33</f>
        <v>0</v>
      </c>
      <c r="Q28" s="4" t="str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4" zoomScale="93" zoomScaleNormal="93" workbookViewId="0">
      <selection activeCell="AF24" sqref="AF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43769</v>
      </c>
      <c r="B2" s="40">
        <v>244</v>
      </c>
      <c r="C2" s="24">
        <v>5767340</v>
      </c>
      <c r="D2" s="24">
        <v>11863670</v>
      </c>
      <c r="E2" s="24">
        <v>1415460</v>
      </c>
      <c r="F2" s="24">
        <v>2552110</v>
      </c>
      <c r="G2" s="24">
        <v>7712760</v>
      </c>
      <c r="H2" s="24">
        <v>3599300</v>
      </c>
      <c r="I2" s="24">
        <v>3625060</v>
      </c>
      <c r="J2" s="24">
        <v>4070770</v>
      </c>
      <c r="K2" s="24">
        <v>6662030</v>
      </c>
      <c r="L2" s="24">
        <v>2341280</v>
      </c>
      <c r="M2" s="24">
        <v>6198740</v>
      </c>
      <c r="N2" s="24">
        <v>8377810</v>
      </c>
      <c r="O2" s="24">
        <v>10825280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607474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607474</v>
      </c>
    </row>
    <row r="7" spans="1:49" x14ac:dyDescent="0.25">
      <c r="A7" s="23">
        <v>43770</v>
      </c>
      <c r="B7" s="40">
        <v>275</v>
      </c>
      <c r="C7" s="24">
        <v>5776020</v>
      </c>
      <c r="D7" s="24">
        <v>11875790</v>
      </c>
      <c r="E7" s="24">
        <v>1415550</v>
      </c>
      <c r="F7" s="24">
        <v>2553640</v>
      </c>
      <c r="G7" s="24">
        <v>7718420</v>
      </c>
      <c r="H7" s="24">
        <v>3603710</v>
      </c>
      <c r="I7" s="24">
        <v>3628550</v>
      </c>
      <c r="J7" s="24">
        <v>4075580</v>
      </c>
      <c r="K7" s="24">
        <v>6668570</v>
      </c>
      <c r="L7" s="24">
        <v>2344240</v>
      </c>
      <c r="M7" s="24">
        <v>6202380</v>
      </c>
      <c r="N7" s="24">
        <v>8386090</v>
      </c>
      <c r="O7" s="24">
        <v>10839230</v>
      </c>
      <c r="Q7" s="37">
        <f>IF((C7-C2&lt;0), "0",C7-C2)</f>
        <v>8680</v>
      </c>
      <c r="R7" s="37">
        <f t="shared" ref="R7:AC7" si="0">IF((D7-D2&lt;0), "0",D7-D2)</f>
        <v>12120</v>
      </c>
      <c r="S7" s="37">
        <f>IF((E7-E2&lt;0), "0",E7-E2)</f>
        <v>90</v>
      </c>
      <c r="T7" s="37">
        <f t="shared" si="0"/>
        <v>1530</v>
      </c>
      <c r="U7" s="37">
        <f t="shared" si="0"/>
        <v>5660</v>
      </c>
      <c r="V7" s="37">
        <f t="shared" si="0"/>
        <v>4410</v>
      </c>
      <c r="W7" s="37">
        <f t="shared" si="0"/>
        <v>3490</v>
      </c>
      <c r="X7" s="37">
        <f t="shared" si="0"/>
        <v>4810</v>
      </c>
      <c r="Y7" s="37">
        <f t="shared" si="0"/>
        <v>6540</v>
      </c>
      <c r="Z7" s="37">
        <f t="shared" si="0"/>
        <v>2960</v>
      </c>
      <c r="AA7" s="37">
        <f t="shared" si="0"/>
        <v>3640</v>
      </c>
      <c r="AB7" s="37">
        <f t="shared" si="0"/>
        <v>8280</v>
      </c>
      <c r="AC7" s="37">
        <f t="shared" si="0"/>
        <v>13950</v>
      </c>
      <c r="AD7" s="34">
        <f>SUM(Q7:AC7)</f>
        <v>76160</v>
      </c>
      <c r="AF7" s="20">
        <f t="shared" ref="AF7:AF36" si="1">Q7*$D$39</f>
        <v>43.4</v>
      </c>
      <c r="AG7" s="20">
        <f t="shared" ref="AG7:AG36" si="2">R7*$D$39</f>
        <v>60.6</v>
      </c>
      <c r="AH7" s="20">
        <f t="shared" ref="AH7:AH36" si="3">S7*$D$39</f>
        <v>0.45</v>
      </c>
      <c r="AI7" s="20">
        <f t="shared" ref="AI7:AI36" si="4">T7*$D$39</f>
        <v>7.65</v>
      </c>
      <c r="AJ7" s="20">
        <f t="shared" ref="AJ7:AJ36" si="5">U7*$D$39</f>
        <v>28.3</v>
      </c>
      <c r="AK7" s="20">
        <f t="shared" ref="AK7:AK36" si="6">V7*$D$39</f>
        <v>22.05</v>
      </c>
      <c r="AL7" s="20">
        <f t="shared" ref="AL7:AL36" si="7">W7*$D$39</f>
        <v>17.45</v>
      </c>
      <c r="AM7" s="20">
        <f t="shared" ref="AM7:AM36" si="8">X7*$D$39</f>
        <v>24.05</v>
      </c>
      <c r="AN7" s="20">
        <f t="shared" ref="AN7:AN36" si="9">Y7*$D$39</f>
        <v>32.700000000000003</v>
      </c>
      <c r="AO7" s="20">
        <f t="shared" ref="AO7:AO36" si="10">Z7*$D$39</f>
        <v>14.8</v>
      </c>
      <c r="AP7" s="20">
        <f t="shared" ref="AP7:AP36" si="11">AA7*$D$39</f>
        <v>18.2</v>
      </c>
      <c r="AQ7" s="20">
        <f t="shared" ref="AQ7:AQ36" si="12">AB7*$D$39</f>
        <v>41.4</v>
      </c>
      <c r="AR7" s="20">
        <f t="shared" ref="AR7:AR36" si="13">AC7*$D$39</f>
        <v>69.75</v>
      </c>
      <c r="AS7" s="35">
        <f>SUM(AF7:AR7)</f>
        <v>380.8</v>
      </c>
      <c r="AU7" s="47">
        <v>609199</v>
      </c>
      <c r="AV7" s="37">
        <f>IF((AU7-AU6&lt;0),"0",AU7-AU6)</f>
        <v>1725</v>
      </c>
      <c r="AW7" s="50">
        <v>0</v>
      </c>
    </row>
    <row r="8" spans="1:49" x14ac:dyDescent="0.25">
      <c r="A8" s="23">
        <v>43771</v>
      </c>
      <c r="B8" s="40">
        <v>109</v>
      </c>
      <c r="C8" s="24">
        <v>5783620</v>
      </c>
      <c r="D8" s="24">
        <v>11887980</v>
      </c>
      <c r="E8" s="24">
        <v>1415640</v>
      </c>
      <c r="F8" s="24">
        <v>2555220</v>
      </c>
      <c r="G8" s="24">
        <v>7724280</v>
      </c>
      <c r="H8" s="24">
        <v>3608340</v>
      </c>
      <c r="I8" s="24">
        <v>3631480</v>
      </c>
      <c r="J8" s="24">
        <v>4080580</v>
      </c>
      <c r="K8" s="24">
        <v>6674920</v>
      </c>
      <c r="L8" s="24">
        <v>2347230</v>
      </c>
      <c r="M8" s="24">
        <v>6206210</v>
      </c>
      <c r="N8" s="24">
        <v>8394510</v>
      </c>
      <c r="O8" s="24">
        <v>10853530</v>
      </c>
      <c r="Q8" s="37">
        <f>IF((C8-C7&lt;0), "0",C8-C7)</f>
        <v>7600</v>
      </c>
      <c r="R8" s="37">
        <f t="shared" ref="R8:AC8" si="14">IF((D8-D7&lt;0), "0",D8-D7)</f>
        <v>12190</v>
      </c>
      <c r="S8" s="37">
        <f t="shared" ref="S8:S35" si="15">IF((E8-E7&lt;0), "0",E8-E7)</f>
        <v>90</v>
      </c>
      <c r="T8" s="37">
        <f t="shared" si="14"/>
        <v>1580</v>
      </c>
      <c r="U8" s="37">
        <f t="shared" si="14"/>
        <v>5860</v>
      </c>
      <c r="V8" s="37">
        <f t="shared" si="14"/>
        <v>4630</v>
      </c>
      <c r="W8" s="37">
        <f t="shared" si="14"/>
        <v>2930</v>
      </c>
      <c r="X8" s="37">
        <f t="shared" si="14"/>
        <v>5000</v>
      </c>
      <c r="Y8" s="37">
        <f t="shared" si="14"/>
        <v>6350</v>
      </c>
      <c r="Z8" s="37">
        <f t="shared" si="14"/>
        <v>2990</v>
      </c>
      <c r="AA8" s="37">
        <f t="shared" si="14"/>
        <v>3830</v>
      </c>
      <c r="AB8" s="37">
        <f t="shared" si="14"/>
        <v>8420</v>
      </c>
      <c r="AC8" s="37">
        <f t="shared" si="14"/>
        <v>14300</v>
      </c>
      <c r="AD8" s="35">
        <f>SUM(Q8:AC8)</f>
        <v>75770</v>
      </c>
      <c r="AF8" s="20">
        <f t="shared" si="1"/>
        <v>38</v>
      </c>
      <c r="AG8" s="20">
        <f t="shared" si="2"/>
        <v>60.95</v>
      </c>
      <c r="AH8" s="20">
        <f t="shared" si="3"/>
        <v>0.45</v>
      </c>
      <c r="AI8" s="20">
        <f t="shared" si="4"/>
        <v>7.9</v>
      </c>
      <c r="AJ8" s="20">
        <f t="shared" si="5"/>
        <v>29.3</v>
      </c>
      <c r="AK8" s="20">
        <f t="shared" si="6"/>
        <v>23.150000000000002</v>
      </c>
      <c r="AL8" s="20">
        <f t="shared" si="7"/>
        <v>14.65</v>
      </c>
      <c r="AM8" s="20">
        <f t="shared" si="8"/>
        <v>25</v>
      </c>
      <c r="AN8" s="20">
        <f t="shared" si="9"/>
        <v>31.75</v>
      </c>
      <c r="AO8" s="20">
        <f t="shared" si="10"/>
        <v>14.950000000000001</v>
      </c>
      <c r="AP8" s="20">
        <f t="shared" si="11"/>
        <v>19.150000000000002</v>
      </c>
      <c r="AQ8" s="20">
        <f t="shared" si="12"/>
        <v>42.1</v>
      </c>
      <c r="AR8" s="20">
        <f t="shared" si="13"/>
        <v>71.5</v>
      </c>
      <c r="AS8" s="35">
        <f>SUM(AF8:AR8)</f>
        <v>378.85</v>
      </c>
      <c r="AU8" s="47">
        <v>610815</v>
      </c>
      <c r="AV8" s="37">
        <f>IF((AU8-AU7&lt;0),"0",AU8-AU7)</f>
        <v>1616</v>
      </c>
      <c r="AW8" s="35">
        <v>0</v>
      </c>
    </row>
    <row r="9" spans="1:49" x14ac:dyDescent="0.25">
      <c r="A9" s="23">
        <v>43772</v>
      </c>
      <c r="B9" s="40">
        <v>122</v>
      </c>
      <c r="C9" s="24">
        <v>5788760</v>
      </c>
      <c r="D9" s="24">
        <v>11901270</v>
      </c>
      <c r="E9" s="24">
        <v>1415700</v>
      </c>
      <c r="F9" s="24">
        <v>2556770</v>
      </c>
      <c r="G9" s="24">
        <v>7729580</v>
      </c>
      <c r="H9" s="24">
        <v>3612950</v>
      </c>
      <c r="I9" s="24">
        <v>3634550</v>
      </c>
      <c r="J9" s="24">
        <v>4085430</v>
      </c>
      <c r="K9" s="24">
        <v>6680900</v>
      </c>
      <c r="L9" s="24">
        <v>2350000</v>
      </c>
      <c r="M9" s="24">
        <v>6209670</v>
      </c>
      <c r="N9" s="24">
        <v>8402650</v>
      </c>
      <c r="O9" s="24">
        <v>10867590</v>
      </c>
      <c r="Q9" s="37">
        <f t="shared" ref="Q9:Q35" si="16">IF((C9-C8&lt;0), "0",C9-C8)</f>
        <v>5140</v>
      </c>
      <c r="R9" s="37">
        <f t="shared" ref="R9:R35" si="17">IF((D9-D8&lt;0), "0",D9-D8)</f>
        <v>13290</v>
      </c>
      <c r="S9" s="37">
        <f t="shared" si="15"/>
        <v>60</v>
      </c>
      <c r="T9" s="37">
        <f t="shared" ref="T9:T35" si="18">IF((F9-F8&lt;0), "0",F9-F8)</f>
        <v>1550</v>
      </c>
      <c r="U9" s="37">
        <f t="shared" ref="U9:U35" si="19">IF((G9-G8&lt;0), "0",G9-G8)</f>
        <v>5300</v>
      </c>
      <c r="V9" s="37">
        <f t="shared" ref="V9:V35" si="20">IF((H9-H8&lt;0), "0",H9-H8)</f>
        <v>4610</v>
      </c>
      <c r="W9" s="37">
        <f t="shared" ref="W9:W35" si="21">IF((I9-I8&lt;0), "0",I9-I8)</f>
        <v>3070</v>
      </c>
      <c r="X9" s="37">
        <f t="shared" ref="X9:X35" si="22">IF((J9-J8&lt;0), "0",J9-J8)</f>
        <v>4850</v>
      </c>
      <c r="Y9" s="37">
        <f t="shared" ref="Y9:Y35" si="23">IF((K9-K8&lt;0), "0",K9-K8)</f>
        <v>5980</v>
      </c>
      <c r="Z9" s="37">
        <f t="shared" ref="Z9:Z35" si="24">IF((L9-L8&lt;0), "0",L9-L8)</f>
        <v>2770</v>
      </c>
      <c r="AA9" s="37">
        <f t="shared" ref="AA9:AA35" si="25">IF((M9-M8&lt;0), "0",M9-M8)</f>
        <v>3460</v>
      </c>
      <c r="AB9" s="37">
        <f t="shared" ref="AB9:AB35" si="26">IF((N9-N8&lt;0), "0",N9-N8)</f>
        <v>8140</v>
      </c>
      <c r="AC9" s="37">
        <f t="shared" ref="AC9:AC35" si="27">IF((O9-O8&lt;0), "0",O9-O8)</f>
        <v>14060</v>
      </c>
      <c r="AD9" s="35">
        <f t="shared" ref="AD9:AD34" si="28">SUM(Q9:AC9)</f>
        <v>72280</v>
      </c>
      <c r="AF9" s="20">
        <f t="shared" si="1"/>
        <v>25.7</v>
      </c>
      <c r="AG9" s="20">
        <f t="shared" si="2"/>
        <v>66.45</v>
      </c>
      <c r="AH9" s="20">
        <f t="shared" si="3"/>
        <v>0.3</v>
      </c>
      <c r="AI9" s="20">
        <f t="shared" si="4"/>
        <v>7.75</v>
      </c>
      <c r="AJ9" s="20">
        <f t="shared" si="5"/>
        <v>26.5</v>
      </c>
      <c r="AK9" s="20">
        <f t="shared" si="6"/>
        <v>23.05</v>
      </c>
      <c r="AL9" s="20">
        <f t="shared" si="7"/>
        <v>15.35</v>
      </c>
      <c r="AM9" s="20">
        <f t="shared" si="8"/>
        <v>24.25</v>
      </c>
      <c r="AN9" s="20">
        <f t="shared" si="9"/>
        <v>29.900000000000002</v>
      </c>
      <c r="AO9" s="20">
        <f t="shared" si="10"/>
        <v>13.85</v>
      </c>
      <c r="AP9" s="20">
        <f t="shared" si="11"/>
        <v>17.3</v>
      </c>
      <c r="AQ9" s="20">
        <f t="shared" si="12"/>
        <v>40.700000000000003</v>
      </c>
      <c r="AR9" s="20">
        <f t="shared" si="13"/>
        <v>70.3</v>
      </c>
      <c r="AS9" s="35">
        <f t="shared" ref="AS9:AS34" si="29">SUM(AF9:AR9)</f>
        <v>361.40000000000003</v>
      </c>
      <c r="AU9" s="47">
        <v>612802</v>
      </c>
      <c r="AV9" s="37">
        <f>IF((AU9-AU8&lt;0),"0",AU9-AU8)</f>
        <v>1987</v>
      </c>
      <c r="AW9" s="35">
        <f t="shared" ref="AW9:AW36" si="30">AV9*$D$40</f>
        <v>3.9740000000000002</v>
      </c>
    </row>
    <row r="10" spans="1:49" x14ac:dyDescent="0.25">
      <c r="A10" s="23">
        <v>43773</v>
      </c>
      <c r="B10" s="40">
        <v>122</v>
      </c>
      <c r="C10" s="24">
        <v>5797930</v>
      </c>
      <c r="D10" s="24">
        <v>11913410</v>
      </c>
      <c r="E10" s="24">
        <v>1415810</v>
      </c>
      <c r="F10" s="24">
        <v>2558360</v>
      </c>
      <c r="G10" s="24">
        <v>7735040</v>
      </c>
      <c r="H10" s="24">
        <v>3617680</v>
      </c>
      <c r="I10" s="24">
        <v>3637810</v>
      </c>
      <c r="J10" s="24">
        <v>4090480</v>
      </c>
      <c r="K10" s="24">
        <v>6687170</v>
      </c>
      <c r="L10" s="24">
        <v>2352770</v>
      </c>
      <c r="M10" s="24">
        <v>6213130</v>
      </c>
      <c r="N10" s="24">
        <v>8410840</v>
      </c>
      <c r="O10" s="24">
        <v>10881720</v>
      </c>
      <c r="Q10" s="37">
        <f t="shared" si="16"/>
        <v>9170</v>
      </c>
      <c r="R10" s="37">
        <f t="shared" si="17"/>
        <v>12140</v>
      </c>
      <c r="S10" s="37">
        <f t="shared" si="15"/>
        <v>110</v>
      </c>
      <c r="T10" s="37">
        <f t="shared" si="18"/>
        <v>1590</v>
      </c>
      <c r="U10" s="37">
        <f t="shared" si="19"/>
        <v>5460</v>
      </c>
      <c r="V10" s="37">
        <f t="shared" si="20"/>
        <v>4730</v>
      </c>
      <c r="W10" s="37">
        <f t="shared" si="21"/>
        <v>3260</v>
      </c>
      <c r="X10" s="37">
        <f t="shared" si="22"/>
        <v>5050</v>
      </c>
      <c r="Y10" s="37">
        <f t="shared" si="23"/>
        <v>6270</v>
      </c>
      <c r="Z10" s="37">
        <f t="shared" si="24"/>
        <v>2770</v>
      </c>
      <c r="AA10" s="37">
        <f t="shared" si="25"/>
        <v>3460</v>
      </c>
      <c r="AB10" s="37">
        <f t="shared" si="26"/>
        <v>8190</v>
      </c>
      <c r="AC10" s="37">
        <f t="shared" si="27"/>
        <v>14130</v>
      </c>
      <c r="AD10" s="35">
        <f t="shared" si="28"/>
        <v>76330</v>
      </c>
      <c r="AF10" s="20">
        <f t="shared" si="1"/>
        <v>45.85</v>
      </c>
      <c r="AG10" s="20">
        <f t="shared" si="2"/>
        <v>60.7</v>
      </c>
      <c r="AH10" s="20">
        <f t="shared" si="3"/>
        <v>0.55000000000000004</v>
      </c>
      <c r="AI10" s="20">
        <f t="shared" si="4"/>
        <v>7.95</v>
      </c>
      <c r="AJ10" s="20">
        <f t="shared" si="5"/>
        <v>27.3</v>
      </c>
      <c r="AK10" s="20">
        <f t="shared" si="6"/>
        <v>23.650000000000002</v>
      </c>
      <c r="AL10" s="20">
        <f t="shared" si="7"/>
        <v>16.3</v>
      </c>
      <c r="AM10" s="20">
        <f t="shared" si="8"/>
        <v>25.25</v>
      </c>
      <c r="AN10" s="20">
        <f t="shared" si="9"/>
        <v>31.35</v>
      </c>
      <c r="AO10" s="20">
        <f t="shared" si="10"/>
        <v>13.85</v>
      </c>
      <c r="AP10" s="20">
        <f t="shared" si="11"/>
        <v>17.3</v>
      </c>
      <c r="AQ10" s="20">
        <f t="shared" si="12"/>
        <v>40.950000000000003</v>
      </c>
      <c r="AR10" s="20">
        <f t="shared" si="13"/>
        <v>70.650000000000006</v>
      </c>
      <c r="AS10" s="35">
        <f t="shared" si="29"/>
        <v>381.65</v>
      </c>
      <c r="AU10" s="47">
        <v>614469</v>
      </c>
      <c r="AV10" s="37">
        <f t="shared" ref="AV10:AV26" si="31">IF((AU10-AU9&lt;0),"0",AU10-AU9)</f>
        <v>1667</v>
      </c>
      <c r="AW10" s="35">
        <f t="shared" si="30"/>
        <v>3.3340000000000001</v>
      </c>
    </row>
    <row r="11" spans="1:49" x14ac:dyDescent="0.25">
      <c r="A11" s="23">
        <v>43774</v>
      </c>
      <c r="B11" s="40">
        <v>155</v>
      </c>
      <c r="C11" s="24">
        <v>5807360</v>
      </c>
      <c r="D11" s="24">
        <v>11922920</v>
      </c>
      <c r="E11" s="24">
        <v>1415900</v>
      </c>
      <c r="F11" s="24">
        <v>2559890</v>
      </c>
      <c r="G11" s="24">
        <v>7740640</v>
      </c>
      <c r="H11" s="24">
        <v>3622310</v>
      </c>
      <c r="I11" s="24">
        <v>3641170</v>
      </c>
      <c r="J11" s="24">
        <v>4095240</v>
      </c>
      <c r="K11" s="24">
        <v>6693030</v>
      </c>
      <c r="L11" s="24">
        <v>2355520</v>
      </c>
      <c r="M11" s="24">
        <v>6216680</v>
      </c>
      <c r="N11" s="24">
        <v>8418830</v>
      </c>
      <c r="O11" s="24">
        <v>10895590</v>
      </c>
      <c r="Q11" s="37">
        <f t="shared" si="16"/>
        <v>9430</v>
      </c>
      <c r="R11" s="37">
        <f t="shared" si="17"/>
        <v>9510</v>
      </c>
      <c r="S11" s="37">
        <f t="shared" si="15"/>
        <v>90</v>
      </c>
      <c r="T11" s="37">
        <f t="shared" si="18"/>
        <v>1530</v>
      </c>
      <c r="U11" s="37">
        <f t="shared" si="19"/>
        <v>5600</v>
      </c>
      <c r="V11" s="37">
        <f t="shared" si="20"/>
        <v>4630</v>
      </c>
      <c r="W11" s="37">
        <f t="shared" si="21"/>
        <v>3360</v>
      </c>
      <c r="X11" s="37">
        <f t="shared" si="22"/>
        <v>4760</v>
      </c>
      <c r="Y11" s="37">
        <f t="shared" si="23"/>
        <v>5860</v>
      </c>
      <c r="Z11" s="37">
        <f t="shared" si="24"/>
        <v>2750</v>
      </c>
      <c r="AA11" s="37">
        <f t="shared" si="25"/>
        <v>3550</v>
      </c>
      <c r="AB11" s="37">
        <f t="shared" si="26"/>
        <v>7990</v>
      </c>
      <c r="AC11" s="37">
        <f t="shared" si="27"/>
        <v>13870</v>
      </c>
      <c r="AD11" s="35">
        <f t="shared" si="28"/>
        <v>72930</v>
      </c>
      <c r="AF11" s="20">
        <f t="shared" si="1"/>
        <v>47.15</v>
      </c>
      <c r="AG11" s="20">
        <f t="shared" si="2"/>
        <v>47.550000000000004</v>
      </c>
      <c r="AH11" s="20">
        <f t="shared" si="3"/>
        <v>0.45</v>
      </c>
      <c r="AI11" s="20">
        <f t="shared" si="4"/>
        <v>7.65</v>
      </c>
      <c r="AJ11" s="20">
        <f t="shared" si="5"/>
        <v>28</v>
      </c>
      <c r="AK11" s="20">
        <f t="shared" si="6"/>
        <v>23.150000000000002</v>
      </c>
      <c r="AL11" s="20">
        <f t="shared" si="7"/>
        <v>16.8</v>
      </c>
      <c r="AM11" s="20">
        <f t="shared" si="8"/>
        <v>23.8</v>
      </c>
      <c r="AN11" s="20">
        <f t="shared" si="9"/>
        <v>29.3</v>
      </c>
      <c r="AO11" s="20">
        <f t="shared" si="10"/>
        <v>13.75</v>
      </c>
      <c r="AP11" s="20">
        <f t="shared" si="11"/>
        <v>17.75</v>
      </c>
      <c r="AQ11" s="20">
        <f t="shared" si="12"/>
        <v>39.950000000000003</v>
      </c>
      <c r="AR11" s="20">
        <f t="shared" si="13"/>
        <v>69.350000000000009</v>
      </c>
      <c r="AS11" s="35">
        <f t="shared" si="29"/>
        <v>364.65000000000009</v>
      </c>
      <c r="AU11" s="47">
        <v>616184</v>
      </c>
      <c r="AV11" s="37">
        <f t="shared" si="31"/>
        <v>1715</v>
      </c>
      <c r="AW11" s="35">
        <f t="shared" si="30"/>
        <v>3.43</v>
      </c>
    </row>
    <row r="12" spans="1:49" x14ac:dyDescent="0.25">
      <c r="A12" s="23">
        <v>43775</v>
      </c>
      <c r="B12" s="40">
        <v>182</v>
      </c>
      <c r="C12" s="49">
        <v>5819280</v>
      </c>
      <c r="D12" s="24">
        <v>11926550</v>
      </c>
      <c r="E12" s="24">
        <v>1415970</v>
      </c>
      <c r="F12" s="24">
        <v>2561410</v>
      </c>
      <c r="G12" s="24">
        <v>7746240</v>
      </c>
      <c r="H12" s="24">
        <v>3627070</v>
      </c>
      <c r="I12" s="24">
        <v>3645190</v>
      </c>
      <c r="J12" s="24">
        <v>4099890</v>
      </c>
      <c r="K12" s="24">
        <v>6698760</v>
      </c>
      <c r="L12" s="24">
        <v>2358310</v>
      </c>
      <c r="M12" s="24">
        <v>6220050</v>
      </c>
      <c r="N12" s="24">
        <v>8426220</v>
      </c>
      <c r="O12" s="24">
        <v>10909190</v>
      </c>
      <c r="Q12" s="37">
        <f t="shared" si="16"/>
        <v>11920</v>
      </c>
      <c r="R12" s="37">
        <f t="shared" si="17"/>
        <v>3630</v>
      </c>
      <c r="S12" s="37">
        <f t="shared" si="15"/>
        <v>70</v>
      </c>
      <c r="T12" s="37">
        <f t="shared" si="18"/>
        <v>1520</v>
      </c>
      <c r="U12" s="37">
        <f t="shared" si="19"/>
        <v>5600</v>
      </c>
      <c r="V12" s="37">
        <f t="shared" si="20"/>
        <v>4760</v>
      </c>
      <c r="W12" s="37">
        <f t="shared" si="21"/>
        <v>4020</v>
      </c>
      <c r="X12" s="37">
        <f t="shared" si="22"/>
        <v>4650</v>
      </c>
      <c r="Y12" s="37">
        <f t="shared" si="23"/>
        <v>5730</v>
      </c>
      <c r="Z12" s="37">
        <f t="shared" si="24"/>
        <v>2790</v>
      </c>
      <c r="AA12" s="37">
        <f t="shared" si="25"/>
        <v>3370</v>
      </c>
      <c r="AB12" s="37">
        <f t="shared" si="26"/>
        <v>7390</v>
      </c>
      <c r="AC12" s="37">
        <f t="shared" si="27"/>
        <v>13600</v>
      </c>
      <c r="AD12" s="35">
        <f t="shared" si="28"/>
        <v>69050</v>
      </c>
      <c r="AF12" s="20">
        <f t="shared" si="1"/>
        <v>59.6</v>
      </c>
      <c r="AG12" s="20">
        <f t="shared" si="2"/>
        <v>18.150000000000002</v>
      </c>
      <c r="AH12" s="20">
        <f t="shared" si="3"/>
        <v>0.35000000000000003</v>
      </c>
      <c r="AI12" s="20">
        <f t="shared" si="4"/>
        <v>7.6000000000000005</v>
      </c>
      <c r="AJ12" s="20">
        <f t="shared" si="5"/>
        <v>28</v>
      </c>
      <c r="AK12" s="20">
        <f t="shared" si="6"/>
        <v>23.8</v>
      </c>
      <c r="AL12" s="20">
        <f t="shared" si="7"/>
        <v>20.100000000000001</v>
      </c>
      <c r="AM12" s="20">
        <f t="shared" si="8"/>
        <v>23.25</v>
      </c>
      <c r="AN12" s="20">
        <f t="shared" si="9"/>
        <v>28.650000000000002</v>
      </c>
      <c r="AO12" s="20">
        <f t="shared" si="10"/>
        <v>13.950000000000001</v>
      </c>
      <c r="AP12" s="20">
        <f t="shared" si="11"/>
        <v>16.850000000000001</v>
      </c>
      <c r="AQ12" s="20">
        <f t="shared" si="12"/>
        <v>36.950000000000003</v>
      </c>
      <c r="AR12" s="20">
        <f t="shared" si="13"/>
        <v>68</v>
      </c>
      <c r="AS12" s="35">
        <f t="shared" si="29"/>
        <v>345.25</v>
      </c>
      <c r="AU12" s="47">
        <v>618722</v>
      </c>
      <c r="AV12" s="37">
        <f t="shared" si="31"/>
        <v>2538</v>
      </c>
      <c r="AW12" s="35">
        <f t="shared" si="30"/>
        <v>5.0760000000000005</v>
      </c>
    </row>
    <row r="13" spans="1:49" x14ac:dyDescent="0.25">
      <c r="A13" s="23">
        <v>43776</v>
      </c>
      <c r="B13" s="40">
        <v>244</v>
      </c>
      <c r="C13" s="24">
        <v>5831980</v>
      </c>
      <c r="D13" s="24">
        <v>11930260</v>
      </c>
      <c r="E13" s="24">
        <v>1416060</v>
      </c>
      <c r="F13" s="24">
        <v>2562970</v>
      </c>
      <c r="G13" s="24">
        <v>7752080</v>
      </c>
      <c r="H13" s="24">
        <v>3631900</v>
      </c>
      <c r="I13" s="24">
        <v>3648920</v>
      </c>
      <c r="J13" s="24">
        <v>4104690</v>
      </c>
      <c r="K13" s="24">
        <v>6704760</v>
      </c>
      <c r="L13" s="24">
        <v>2361280</v>
      </c>
      <c r="M13" s="24">
        <v>6223680</v>
      </c>
      <c r="N13" s="24">
        <v>8433480</v>
      </c>
      <c r="O13" s="24">
        <v>10923820</v>
      </c>
      <c r="Q13" s="37">
        <f t="shared" si="16"/>
        <v>12700</v>
      </c>
      <c r="R13" s="37">
        <f t="shared" si="17"/>
        <v>3710</v>
      </c>
      <c r="S13" s="37">
        <f t="shared" si="15"/>
        <v>90</v>
      </c>
      <c r="T13" s="37">
        <f t="shared" si="18"/>
        <v>1560</v>
      </c>
      <c r="U13" s="37">
        <f t="shared" si="19"/>
        <v>5840</v>
      </c>
      <c r="V13" s="37">
        <f t="shared" si="20"/>
        <v>4830</v>
      </c>
      <c r="W13" s="37">
        <f t="shared" si="21"/>
        <v>3730</v>
      </c>
      <c r="X13" s="37">
        <f t="shared" si="22"/>
        <v>4800</v>
      </c>
      <c r="Y13" s="37">
        <f t="shared" si="23"/>
        <v>6000</v>
      </c>
      <c r="Z13" s="37">
        <f t="shared" si="24"/>
        <v>2970</v>
      </c>
      <c r="AA13" s="37">
        <f t="shared" si="25"/>
        <v>3630</v>
      </c>
      <c r="AB13" s="37">
        <f t="shared" si="26"/>
        <v>7260</v>
      </c>
      <c r="AC13" s="37">
        <f t="shared" si="27"/>
        <v>14630</v>
      </c>
      <c r="AD13" s="35">
        <f t="shared" si="28"/>
        <v>71750</v>
      </c>
      <c r="AF13" s="20">
        <f t="shared" si="1"/>
        <v>63.5</v>
      </c>
      <c r="AG13" s="20">
        <f t="shared" si="2"/>
        <v>18.55</v>
      </c>
      <c r="AH13" s="20">
        <f t="shared" si="3"/>
        <v>0.45</v>
      </c>
      <c r="AI13" s="20">
        <f t="shared" si="4"/>
        <v>7.8</v>
      </c>
      <c r="AJ13" s="20">
        <f t="shared" si="5"/>
        <v>29.2</v>
      </c>
      <c r="AK13" s="20">
        <f t="shared" si="6"/>
        <v>24.150000000000002</v>
      </c>
      <c r="AL13" s="20">
        <f t="shared" si="7"/>
        <v>18.650000000000002</v>
      </c>
      <c r="AM13" s="20">
        <f t="shared" si="8"/>
        <v>24</v>
      </c>
      <c r="AN13" s="20">
        <f t="shared" si="9"/>
        <v>30</v>
      </c>
      <c r="AO13" s="20">
        <f t="shared" si="10"/>
        <v>14.85</v>
      </c>
      <c r="AP13" s="20">
        <f t="shared" si="11"/>
        <v>18.150000000000002</v>
      </c>
      <c r="AQ13" s="20">
        <f t="shared" si="12"/>
        <v>36.300000000000004</v>
      </c>
      <c r="AR13" s="20">
        <f t="shared" si="13"/>
        <v>73.150000000000006</v>
      </c>
      <c r="AS13" s="35">
        <f t="shared" si="29"/>
        <v>358.75</v>
      </c>
      <c r="AU13" s="47">
        <v>620616</v>
      </c>
      <c r="AV13" s="37">
        <f t="shared" si="31"/>
        <v>1894</v>
      </c>
      <c r="AW13" s="35">
        <f t="shared" si="30"/>
        <v>3.7880000000000003</v>
      </c>
    </row>
    <row r="14" spans="1:49" x14ac:dyDescent="0.25">
      <c r="A14" s="23">
        <v>43777</v>
      </c>
      <c r="B14" s="40">
        <v>260</v>
      </c>
      <c r="C14" s="24">
        <v>5843980</v>
      </c>
      <c r="D14" s="24">
        <v>11937660</v>
      </c>
      <c r="E14" s="24">
        <v>1416150</v>
      </c>
      <c r="F14" s="24">
        <v>2564010</v>
      </c>
      <c r="G14" s="24">
        <v>7757010</v>
      </c>
      <c r="H14" s="24">
        <v>3636110</v>
      </c>
      <c r="I14" s="24">
        <v>3651120</v>
      </c>
      <c r="J14" s="24">
        <v>4109980</v>
      </c>
      <c r="K14" s="24">
        <v>6707230</v>
      </c>
      <c r="L14" s="24">
        <v>2364970</v>
      </c>
      <c r="M14" s="24">
        <v>6227880</v>
      </c>
      <c r="N14" s="24">
        <v>8439980</v>
      </c>
      <c r="O14" s="24">
        <v>10938810</v>
      </c>
      <c r="Q14" s="37">
        <f t="shared" si="16"/>
        <v>12000</v>
      </c>
      <c r="R14" s="37">
        <f t="shared" si="17"/>
        <v>7400</v>
      </c>
      <c r="S14" s="37">
        <f t="shared" si="15"/>
        <v>90</v>
      </c>
      <c r="T14" s="37">
        <f t="shared" si="18"/>
        <v>1040</v>
      </c>
      <c r="U14" s="37">
        <f t="shared" si="19"/>
        <v>4930</v>
      </c>
      <c r="V14" s="37">
        <f t="shared" si="20"/>
        <v>4210</v>
      </c>
      <c r="W14" s="37">
        <f t="shared" si="21"/>
        <v>2200</v>
      </c>
      <c r="X14" s="37">
        <f t="shared" si="22"/>
        <v>5290</v>
      </c>
      <c r="Y14" s="37">
        <f t="shared" si="23"/>
        <v>2470</v>
      </c>
      <c r="Z14" s="37">
        <f t="shared" si="24"/>
        <v>3690</v>
      </c>
      <c r="AA14" s="37">
        <f t="shared" si="25"/>
        <v>4200</v>
      </c>
      <c r="AB14" s="37">
        <f t="shared" si="26"/>
        <v>6500</v>
      </c>
      <c r="AC14" s="37">
        <f t="shared" si="27"/>
        <v>14990</v>
      </c>
      <c r="AD14" s="35">
        <f t="shared" si="28"/>
        <v>69010</v>
      </c>
      <c r="AF14" s="20">
        <f t="shared" si="1"/>
        <v>60</v>
      </c>
      <c r="AG14" s="20">
        <f t="shared" si="2"/>
        <v>37</v>
      </c>
      <c r="AH14" s="20">
        <f t="shared" si="3"/>
        <v>0.45</v>
      </c>
      <c r="AI14" s="20">
        <f t="shared" si="4"/>
        <v>5.2</v>
      </c>
      <c r="AJ14" s="20">
        <f t="shared" si="5"/>
        <v>24.650000000000002</v>
      </c>
      <c r="AK14" s="20">
        <f t="shared" si="6"/>
        <v>21.05</v>
      </c>
      <c r="AL14" s="20">
        <f t="shared" si="7"/>
        <v>11</v>
      </c>
      <c r="AM14" s="20">
        <f t="shared" si="8"/>
        <v>26.45</v>
      </c>
      <c r="AN14" s="20">
        <f t="shared" si="9"/>
        <v>12.35</v>
      </c>
      <c r="AO14" s="20">
        <f t="shared" si="10"/>
        <v>18.45</v>
      </c>
      <c r="AP14" s="20">
        <f t="shared" si="11"/>
        <v>21</v>
      </c>
      <c r="AQ14" s="20">
        <f t="shared" si="12"/>
        <v>32.5</v>
      </c>
      <c r="AR14" s="20">
        <f t="shared" si="13"/>
        <v>74.95</v>
      </c>
      <c r="AS14" s="35">
        <f t="shared" si="29"/>
        <v>345.05</v>
      </c>
      <c r="AU14" s="47">
        <v>622817</v>
      </c>
      <c r="AV14" s="37">
        <f t="shared" si="31"/>
        <v>2201</v>
      </c>
      <c r="AW14" s="35">
        <f t="shared" si="30"/>
        <v>4.4020000000000001</v>
      </c>
    </row>
    <row r="15" spans="1:49" x14ac:dyDescent="0.25">
      <c r="A15" s="23">
        <v>43778</v>
      </c>
      <c r="B15" s="40">
        <v>142</v>
      </c>
      <c r="C15" s="24">
        <v>5851930</v>
      </c>
      <c r="D15" s="24">
        <v>11948920</v>
      </c>
      <c r="E15" s="24">
        <v>1416240</v>
      </c>
      <c r="F15" s="24">
        <v>2566090</v>
      </c>
      <c r="G15" s="24">
        <v>7764030</v>
      </c>
      <c r="H15" s="24">
        <v>3641690</v>
      </c>
      <c r="I15" s="24">
        <v>3656310</v>
      </c>
      <c r="J15" s="24">
        <v>4114410</v>
      </c>
      <c r="K15" s="24">
        <v>6717000</v>
      </c>
      <c r="L15" s="24">
        <v>2367320</v>
      </c>
      <c r="M15" s="24">
        <v>6231640</v>
      </c>
      <c r="N15" s="24">
        <v>8448490</v>
      </c>
      <c r="O15" s="24">
        <v>10952980</v>
      </c>
      <c r="Q15" s="37">
        <f t="shared" si="16"/>
        <v>7950</v>
      </c>
      <c r="R15" s="37">
        <f t="shared" si="17"/>
        <v>11260</v>
      </c>
      <c r="S15" s="37">
        <f t="shared" si="15"/>
        <v>90</v>
      </c>
      <c r="T15" s="37">
        <f t="shared" si="18"/>
        <v>2080</v>
      </c>
      <c r="U15" s="37">
        <f t="shared" si="19"/>
        <v>7020</v>
      </c>
      <c r="V15" s="37">
        <f t="shared" si="20"/>
        <v>5580</v>
      </c>
      <c r="W15" s="37">
        <f t="shared" si="21"/>
        <v>5190</v>
      </c>
      <c r="X15" s="37">
        <f t="shared" si="22"/>
        <v>4430</v>
      </c>
      <c r="Y15" s="37">
        <f t="shared" si="23"/>
        <v>9770</v>
      </c>
      <c r="Z15" s="37">
        <f t="shared" si="24"/>
        <v>2350</v>
      </c>
      <c r="AA15" s="37">
        <f t="shared" si="25"/>
        <v>3760</v>
      </c>
      <c r="AB15" s="37">
        <f t="shared" si="26"/>
        <v>8510</v>
      </c>
      <c r="AC15" s="37">
        <f t="shared" si="27"/>
        <v>14170</v>
      </c>
      <c r="AD15" s="35">
        <f t="shared" si="28"/>
        <v>82160</v>
      </c>
      <c r="AF15" s="20">
        <f t="shared" si="1"/>
        <v>39.75</v>
      </c>
      <c r="AG15" s="20">
        <f t="shared" si="2"/>
        <v>56.300000000000004</v>
      </c>
      <c r="AH15" s="20">
        <f t="shared" si="3"/>
        <v>0.45</v>
      </c>
      <c r="AI15" s="20">
        <f t="shared" si="4"/>
        <v>10.4</v>
      </c>
      <c r="AJ15" s="20">
        <f t="shared" si="5"/>
        <v>35.1</v>
      </c>
      <c r="AK15" s="20">
        <f t="shared" si="6"/>
        <v>27.900000000000002</v>
      </c>
      <c r="AL15" s="20">
        <f t="shared" si="7"/>
        <v>25.95</v>
      </c>
      <c r="AM15" s="20">
        <f t="shared" si="8"/>
        <v>22.150000000000002</v>
      </c>
      <c r="AN15" s="20">
        <f t="shared" si="9"/>
        <v>48.85</v>
      </c>
      <c r="AO15" s="20">
        <f t="shared" si="10"/>
        <v>11.75</v>
      </c>
      <c r="AP15" s="20">
        <f t="shared" si="11"/>
        <v>18.8</v>
      </c>
      <c r="AQ15" s="20">
        <f t="shared" si="12"/>
        <v>42.550000000000004</v>
      </c>
      <c r="AR15" s="20">
        <f t="shared" si="13"/>
        <v>70.850000000000009</v>
      </c>
      <c r="AS15" s="35">
        <f t="shared" si="29"/>
        <v>410.80000000000007</v>
      </c>
      <c r="AU15" s="47">
        <v>625501</v>
      </c>
      <c r="AV15" s="37">
        <f t="shared" si="31"/>
        <v>2684</v>
      </c>
      <c r="AW15" s="35">
        <f t="shared" si="30"/>
        <v>5.3680000000000003</v>
      </c>
    </row>
    <row r="16" spans="1:49" x14ac:dyDescent="0.25">
      <c r="A16" s="23">
        <v>43779</v>
      </c>
      <c r="B16" s="40">
        <v>146</v>
      </c>
      <c r="C16" s="24">
        <v>5862500</v>
      </c>
      <c r="D16" s="24">
        <v>11956880</v>
      </c>
      <c r="E16" s="24">
        <v>1416330</v>
      </c>
      <c r="F16" s="24">
        <v>2567650</v>
      </c>
      <c r="G16" s="24">
        <v>7769720</v>
      </c>
      <c r="H16" s="24">
        <v>3646400</v>
      </c>
      <c r="I16" s="24">
        <v>3659430</v>
      </c>
      <c r="J16" s="24">
        <v>4119330</v>
      </c>
      <c r="K16" s="24">
        <v>6722720</v>
      </c>
      <c r="L16" s="24">
        <v>2370180</v>
      </c>
      <c r="M16" s="24">
        <v>6235370</v>
      </c>
      <c r="N16" s="24">
        <v>8455930</v>
      </c>
      <c r="O16" s="24">
        <v>10967140</v>
      </c>
      <c r="Q16" s="37">
        <f t="shared" si="16"/>
        <v>10570</v>
      </c>
      <c r="R16" s="37">
        <f t="shared" si="17"/>
        <v>7960</v>
      </c>
      <c r="S16" s="37">
        <f t="shared" si="15"/>
        <v>90</v>
      </c>
      <c r="T16" s="37">
        <f t="shared" si="18"/>
        <v>1560</v>
      </c>
      <c r="U16" s="37">
        <f t="shared" si="19"/>
        <v>5690</v>
      </c>
      <c r="V16" s="37">
        <f t="shared" si="20"/>
        <v>4710</v>
      </c>
      <c r="W16" s="37">
        <f t="shared" si="21"/>
        <v>3120</v>
      </c>
      <c r="X16" s="37">
        <f t="shared" si="22"/>
        <v>4920</v>
      </c>
      <c r="Y16" s="37">
        <f t="shared" si="23"/>
        <v>5720</v>
      </c>
      <c r="Z16" s="37">
        <f t="shared" si="24"/>
        <v>2860</v>
      </c>
      <c r="AA16" s="37">
        <f t="shared" si="25"/>
        <v>3730</v>
      </c>
      <c r="AB16" s="37">
        <f t="shared" si="26"/>
        <v>7440</v>
      </c>
      <c r="AC16" s="37">
        <f t="shared" si="27"/>
        <v>14160</v>
      </c>
      <c r="AD16" s="35">
        <f t="shared" si="28"/>
        <v>72530</v>
      </c>
      <c r="AF16" s="20">
        <f t="shared" si="1"/>
        <v>52.85</v>
      </c>
      <c r="AG16" s="20">
        <f t="shared" si="2"/>
        <v>39.800000000000004</v>
      </c>
      <c r="AH16" s="20">
        <f t="shared" si="3"/>
        <v>0.45</v>
      </c>
      <c r="AI16" s="20">
        <f t="shared" si="4"/>
        <v>7.8</v>
      </c>
      <c r="AJ16" s="20">
        <f t="shared" si="5"/>
        <v>28.45</v>
      </c>
      <c r="AK16" s="20">
        <f t="shared" si="6"/>
        <v>23.55</v>
      </c>
      <c r="AL16" s="20">
        <f t="shared" si="7"/>
        <v>15.6</v>
      </c>
      <c r="AM16" s="20">
        <f t="shared" si="8"/>
        <v>24.6</v>
      </c>
      <c r="AN16" s="20">
        <f t="shared" si="9"/>
        <v>28.6</v>
      </c>
      <c r="AO16" s="20">
        <f t="shared" si="10"/>
        <v>14.3</v>
      </c>
      <c r="AP16" s="20">
        <f t="shared" si="11"/>
        <v>18.650000000000002</v>
      </c>
      <c r="AQ16" s="20">
        <f t="shared" si="12"/>
        <v>37.200000000000003</v>
      </c>
      <c r="AR16" s="20">
        <f t="shared" si="13"/>
        <v>70.8</v>
      </c>
      <c r="AS16" s="35">
        <f t="shared" si="29"/>
        <v>362.65000000000003</v>
      </c>
      <c r="AU16" s="47">
        <v>627257</v>
      </c>
      <c r="AV16" s="37">
        <f t="shared" si="31"/>
        <v>1756</v>
      </c>
      <c r="AW16" s="35">
        <f t="shared" si="30"/>
        <v>3.512</v>
      </c>
    </row>
    <row r="17" spans="1:49" x14ac:dyDescent="0.25">
      <c r="A17" s="23">
        <v>43780</v>
      </c>
      <c r="B17" s="40">
        <v>190</v>
      </c>
      <c r="C17" s="24">
        <v>5868370</v>
      </c>
      <c r="D17" s="24">
        <v>11969960</v>
      </c>
      <c r="E17" s="24">
        <v>1416430</v>
      </c>
      <c r="F17" s="24">
        <v>2569190</v>
      </c>
      <c r="G17" s="24">
        <v>7775490</v>
      </c>
      <c r="H17" s="24">
        <v>3651130</v>
      </c>
      <c r="I17" s="24">
        <v>3663030</v>
      </c>
      <c r="J17" s="24">
        <v>4124290</v>
      </c>
      <c r="K17" s="24">
        <v>6728370</v>
      </c>
      <c r="L17" s="24">
        <v>2372990</v>
      </c>
      <c r="M17" s="24">
        <v>6238860</v>
      </c>
      <c r="N17" s="24">
        <v>8463520</v>
      </c>
      <c r="O17" s="24">
        <v>10981380</v>
      </c>
      <c r="Q17" s="37">
        <f t="shared" si="16"/>
        <v>5870</v>
      </c>
      <c r="R17" s="37">
        <f t="shared" si="17"/>
        <v>13080</v>
      </c>
      <c r="S17" s="37">
        <f t="shared" si="15"/>
        <v>100</v>
      </c>
      <c r="T17" s="37">
        <f t="shared" si="18"/>
        <v>1540</v>
      </c>
      <c r="U17" s="37">
        <f t="shared" si="19"/>
        <v>5770</v>
      </c>
      <c r="V17" s="37">
        <f t="shared" si="20"/>
        <v>4730</v>
      </c>
      <c r="W17" s="37">
        <f t="shared" si="21"/>
        <v>3600</v>
      </c>
      <c r="X17" s="37">
        <f t="shared" si="22"/>
        <v>4960</v>
      </c>
      <c r="Y17" s="37">
        <f t="shared" si="23"/>
        <v>5650</v>
      </c>
      <c r="Z17" s="37">
        <f t="shared" si="24"/>
        <v>2810</v>
      </c>
      <c r="AA17" s="37">
        <f t="shared" si="25"/>
        <v>3490</v>
      </c>
      <c r="AB17" s="37">
        <f t="shared" si="26"/>
        <v>7590</v>
      </c>
      <c r="AC17" s="37">
        <f t="shared" si="27"/>
        <v>14240</v>
      </c>
      <c r="AD17" s="35">
        <f t="shared" si="28"/>
        <v>73430</v>
      </c>
      <c r="AF17" s="20">
        <f t="shared" si="1"/>
        <v>29.35</v>
      </c>
      <c r="AG17" s="20">
        <f t="shared" si="2"/>
        <v>65.400000000000006</v>
      </c>
      <c r="AH17" s="20">
        <f t="shared" si="3"/>
        <v>0.5</v>
      </c>
      <c r="AI17" s="20">
        <f t="shared" si="4"/>
        <v>7.7</v>
      </c>
      <c r="AJ17" s="20">
        <f t="shared" si="5"/>
        <v>28.85</v>
      </c>
      <c r="AK17" s="20">
        <f t="shared" si="6"/>
        <v>23.650000000000002</v>
      </c>
      <c r="AL17" s="20">
        <f t="shared" si="7"/>
        <v>18</v>
      </c>
      <c r="AM17" s="20">
        <f t="shared" si="8"/>
        <v>24.8</v>
      </c>
      <c r="AN17" s="20">
        <f t="shared" si="9"/>
        <v>28.25</v>
      </c>
      <c r="AO17" s="20">
        <f t="shared" si="10"/>
        <v>14.05</v>
      </c>
      <c r="AP17" s="20">
        <f t="shared" si="11"/>
        <v>17.45</v>
      </c>
      <c r="AQ17" s="20">
        <f t="shared" si="12"/>
        <v>37.950000000000003</v>
      </c>
      <c r="AR17" s="20">
        <f t="shared" si="13"/>
        <v>71.2</v>
      </c>
      <c r="AS17" s="35">
        <f t="shared" si="29"/>
        <v>367.15000000000003</v>
      </c>
      <c r="AU17" s="47">
        <v>629657</v>
      </c>
      <c r="AV17" s="37">
        <f t="shared" si="31"/>
        <v>2400</v>
      </c>
      <c r="AW17" s="35">
        <f t="shared" si="30"/>
        <v>4.8</v>
      </c>
    </row>
    <row r="18" spans="1:49" x14ac:dyDescent="0.25">
      <c r="A18" s="23">
        <v>43781</v>
      </c>
      <c r="B18" s="40">
        <v>160</v>
      </c>
      <c r="C18" s="24">
        <v>5877280</v>
      </c>
      <c r="D18" s="24">
        <v>11981100</v>
      </c>
      <c r="E18" s="24">
        <v>1416530</v>
      </c>
      <c r="F18" s="24">
        <v>2570740</v>
      </c>
      <c r="G18" s="24">
        <v>7781220</v>
      </c>
      <c r="H18" s="24">
        <v>3655850</v>
      </c>
      <c r="I18" s="24">
        <v>3666620</v>
      </c>
      <c r="J18" s="24">
        <v>4129190</v>
      </c>
      <c r="K18" s="24">
        <v>6734150</v>
      </c>
      <c r="L18" s="24">
        <v>2375800</v>
      </c>
      <c r="M18" s="24">
        <v>6242380</v>
      </c>
      <c r="N18" s="24">
        <v>8472260</v>
      </c>
      <c r="O18" s="24">
        <v>10995670</v>
      </c>
      <c r="Q18" s="37">
        <f t="shared" si="16"/>
        <v>8910</v>
      </c>
      <c r="R18" s="37">
        <f t="shared" si="17"/>
        <v>11140</v>
      </c>
      <c r="S18" s="37">
        <f t="shared" si="15"/>
        <v>100</v>
      </c>
      <c r="T18" s="37">
        <f t="shared" si="18"/>
        <v>1550</v>
      </c>
      <c r="U18" s="37">
        <f t="shared" si="19"/>
        <v>5730</v>
      </c>
      <c r="V18" s="37">
        <f t="shared" si="20"/>
        <v>4720</v>
      </c>
      <c r="W18" s="37">
        <f t="shared" si="21"/>
        <v>3590</v>
      </c>
      <c r="X18" s="37">
        <f t="shared" si="22"/>
        <v>4900</v>
      </c>
      <c r="Y18" s="37">
        <f t="shared" si="23"/>
        <v>5780</v>
      </c>
      <c r="Z18" s="37">
        <f t="shared" si="24"/>
        <v>2810</v>
      </c>
      <c r="AA18" s="37">
        <f t="shared" si="25"/>
        <v>3520</v>
      </c>
      <c r="AB18" s="37">
        <f t="shared" si="26"/>
        <v>8740</v>
      </c>
      <c r="AC18" s="37">
        <f t="shared" si="27"/>
        <v>14290</v>
      </c>
      <c r="AD18" s="35">
        <f t="shared" si="28"/>
        <v>75780</v>
      </c>
      <c r="AF18" s="20">
        <f t="shared" si="1"/>
        <v>44.550000000000004</v>
      </c>
      <c r="AG18" s="20">
        <f t="shared" si="2"/>
        <v>55.7</v>
      </c>
      <c r="AH18" s="20">
        <f t="shared" si="3"/>
        <v>0.5</v>
      </c>
      <c r="AI18" s="20">
        <f t="shared" si="4"/>
        <v>7.75</v>
      </c>
      <c r="AJ18" s="20">
        <f t="shared" si="5"/>
        <v>28.650000000000002</v>
      </c>
      <c r="AK18" s="20">
        <f t="shared" si="6"/>
        <v>23.6</v>
      </c>
      <c r="AL18" s="20">
        <f t="shared" si="7"/>
        <v>17.95</v>
      </c>
      <c r="AM18" s="20">
        <f t="shared" si="8"/>
        <v>24.5</v>
      </c>
      <c r="AN18" s="20">
        <f t="shared" si="9"/>
        <v>28.900000000000002</v>
      </c>
      <c r="AO18" s="20">
        <f t="shared" si="10"/>
        <v>14.05</v>
      </c>
      <c r="AP18" s="20">
        <f t="shared" si="11"/>
        <v>17.600000000000001</v>
      </c>
      <c r="AQ18" s="20">
        <f t="shared" si="12"/>
        <v>43.7</v>
      </c>
      <c r="AR18" s="20">
        <f t="shared" si="13"/>
        <v>71.45</v>
      </c>
      <c r="AS18" s="35">
        <f t="shared" si="29"/>
        <v>378.9</v>
      </c>
      <c r="AU18" s="47">
        <v>631391</v>
      </c>
      <c r="AV18" s="37">
        <f t="shared" si="31"/>
        <v>1734</v>
      </c>
      <c r="AW18" s="35">
        <f t="shared" si="30"/>
        <v>3.468</v>
      </c>
    </row>
    <row r="19" spans="1:49" x14ac:dyDescent="0.25">
      <c r="A19" s="23">
        <v>43782</v>
      </c>
      <c r="B19" s="40">
        <v>177</v>
      </c>
      <c r="C19" s="24">
        <v>5885510</v>
      </c>
      <c r="D19" s="24">
        <v>11989600</v>
      </c>
      <c r="E19" s="24">
        <v>1416590</v>
      </c>
      <c r="F19" s="24">
        <v>2572310</v>
      </c>
      <c r="G19" s="24">
        <v>7787020</v>
      </c>
      <c r="H19" s="24">
        <v>3660690</v>
      </c>
      <c r="I19" s="24">
        <v>3670220</v>
      </c>
      <c r="J19" s="24">
        <v>4134110</v>
      </c>
      <c r="K19" s="24">
        <v>6739950</v>
      </c>
      <c r="L19" s="24">
        <v>2378660</v>
      </c>
      <c r="M19" s="24">
        <v>6245880</v>
      </c>
      <c r="N19" s="24">
        <v>8478870</v>
      </c>
      <c r="O19" s="24">
        <v>11009970</v>
      </c>
      <c r="Q19" s="37">
        <f t="shared" si="16"/>
        <v>8230</v>
      </c>
      <c r="R19" s="37">
        <f t="shared" si="17"/>
        <v>8500</v>
      </c>
      <c r="S19" s="37">
        <f t="shared" si="15"/>
        <v>60</v>
      </c>
      <c r="T19" s="37">
        <f t="shared" si="18"/>
        <v>1570</v>
      </c>
      <c r="U19" s="37">
        <f t="shared" si="19"/>
        <v>5800</v>
      </c>
      <c r="V19" s="37">
        <f t="shared" si="20"/>
        <v>4840</v>
      </c>
      <c r="W19" s="37">
        <f t="shared" si="21"/>
        <v>3600</v>
      </c>
      <c r="X19" s="37">
        <f t="shared" si="22"/>
        <v>4920</v>
      </c>
      <c r="Y19" s="37">
        <f t="shared" si="23"/>
        <v>5800</v>
      </c>
      <c r="Z19" s="37">
        <f t="shared" si="24"/>
        <v>2860</v>
      </c>
      <c r="AA19" s="37">
        <f t="shared" si="25"/>
        <v>3500</v>
      </c>
      <c r="AB19" s="37">
        <f t="shared" si="26"/>
        <v>6610</v>
      </c>
      <c r="AC19" s="37">
        <f t="shared" si="27"/>
        <v>14300</v>
      </c>
      <c r="AD19" s="35">
        <f t="shared" si="28"/>
        <v>70590</v>
      </c>
      <c r="AF19" s="20">
        <f t="shared" si="1"/>
        <v>41.15</v>
      </c>
      <c r="AG19" s="20">
        <f t="shared" si="2"/>
        <v>42.5</v>
      </c>
      <c r="AH19" s="20">
        <f t="shared" si="3"/>
        <v>0.3</v>
      </c>
      <c r="AI19" s="20">
        <f t="shared" si="4"/>
        <v>7.8500000000000005</v>
      </c>
      <c r="AJ19" s="20">
        <f t="shared" si="5"/>
        <v>29</v>
      </c>
      <c r="AK19" s="20">
        <f t="shared" si="6"/>
        <v>24.2</v>
      </c>
      <c r="AL19" s="20">
        <f t="shared" si="7"/>
        <v>18</v>
      </c>
      <c r="AM19" s="20">
        <f t="shared" si="8"/>
        <v>24.6</v>
      </c>
      <c r="AN19" s="20">
        <f t="shared" si="9"/>
        <v>29</v>
      </c>
      <c r="AO19" s="20">
        <f t="shared" si="10"/>
        <v>14.3</v>
      </c>
      <c r="AP19" s="20">
        <f t="shared" si="11"/>
        <v>17.5</v>
      </c>
      <c r="AQ19" s="20">
        <f t="shared" si="12"/>
        <v>33.049999999999997</v>
      </c>
      <c r="AR19" s="20">
        <f t="shared" si="13"/>
        <v>71.5</v>
      </c>
      <c r="AS19" s="35">
        <f t="shared" si="29"/>
        <v>352.95</v>
      </c>
      <c r="AU19" s="47">
        <v>633650</v>
      </c>
      <c r="AV19" s="37">
        <f t="shared" si="31"/>
        <v>2259</v>
      </c>
      <c r="AW19" s="35">
        <f t="shared" si="30"/>
        <v>4.5179999999999998</v>
      </c>
    </row>
    <row r="20" spans="1:49" x14ac:dyDescent="0.25">
      <c r="A20" s="23">
        <v>43783</v>
      </c>
      <c r="B20" s="40">
        <v>258</v>
      </c>
      <c r="C20" s="24">
        <v>5886560</v>
      </c>
      <c r="D20" s="24">
        <v>11999170</v>
      </c>
      <c r="E20" s="24">
        <v>1418650</v>
      </c>
      <c r="F20" s="24">
        <v>2573880</v>
      </c>
      <c r="G20" s="24">
        <v>7793010</v>
      </c>
      <c r="H20" s="24">
        <v>3665650</v>
      </c>
      <c r="I20" s="24">
        <v>3673690</v>
      </c>
      <c r="J20" s="24">
        <v>4139080</v>
      </c>
      <c r="K20" s="24">
        <v>6746000</v>
      </c>
      <c r="L20" s="24">
        <v>2381660</v>
      </c>
      <c r="M20" s="24">
        <v>6249730</v>
      </c>
      <c r="N20" s="24">
        <v>8486680</v>
      </c>
      <c r="O20" s="24">
        <v>11023880</v>
      </c>
      <c r="Q20" s="37">
        <f t="shared" si="16"/>
        <v>1050</v>
      </c>
      <c r="R20" s="37">
        <f t="shared" si="17"/>
        <v>9570</v>
      </c>
      <c r="S20" s="37">
        <f t="shared" si="15"/>
        <v>2060</v>
      </c>
      <c r="T20" s="37">
        <f t="shared" si="18"/>
        <v>1570</v>
      </c>
      <c r="U20" s="37">
        <f t="shared" si="19"/>
        <v>5990</v>
      </c>
      <c r="V20" s="37">
        <f t="shared" si="20"/>
        <v>4960</v>
      </c>
      <c r="W20" s="37">
        <f t="shared" si="21"/>
        <v>3470</v>
      </c>
      <c r="X20" s="37">
        <f t="shared" si="22"/>
        <v>4970</v>
      </c>
      <c r="Y20" s="37">
        <f t="shared" si="23"/>
        <v>6050</v>
      </c>
      <c r="Z20" s="37">
        <f t="shared" si="24"/>
        <v>3000</v>
      </c>
      <c r="AA20" s="37">
        <f t="shared" si="25"/>
        <v>3850</v>
      </c>
      <c r="AB20" s="37">
        <f t="shared" si="26"/>
        <v>7810</v>
      </c>
      <c r="AC20" s="37">
        <f t="shared" si="27"/>
        <v>13910</v>
      </c>
      <c r="AD20" s="35">
        <f t="shared" si="28"/>
        <v>68260</v>
      </c>
      <c r="AF20" s="20">
        <f t="shared" si="1"/>
        <v>5.25</v>
      </c>
      <c r="AG20" s="20">
        <f t="shared" si="2"/>
        <v>47.85</v>
      </c>
      <c r="AH20" s="20">
        <f t="shared" si="3"/>
        <v>10.3</v>
      </c>
      <c r="AI20" s="20">
        <f t="shared" si="4"/>
        <v>7.8500000000000005</v>
      </c>
      <c r="AJ20" s="20">
        <f t="shared" si="5"/>
        <v>29.95</v>
      </c>
      <c r="AK20" s="20">
        <f t="shared" si="6"/>
        <v>24.8</v>
      </c>
      <c r="AL20" s="20">
        <f t="shared" si="7"/>
        <v>17.350000000000001</v>
      </c>
      <c r="AM20" s="20">
        <f t="shared" si="8"/>
        <v>24.85</v>
      </c>
      <c r="AN20" s="20">
        <f t="shared" si="9"/>
        <v>30.25</v>
      </c>
      <c r="AO20" s="20">
        <f t="shared" si="10"/>
        <v>15</v>
      </c>
      <c r="AP20" s="20">
        <f t="shared" si="11"/>
        <v>19.25</v>
      </c>
      <c r="AQ20" s="20">
        <f t="shared" si="12"/>
        <v>39.050000000000004</v>
      </c>
      <c r="AR20" s="20">
        <f t="shared" si="13"/>
        <v>69.55</v>
      </c>
      <c r="AS20" s="35">
        <f t="shared" si="29"/>
        <v>341.3</v>
      </c>
      <c r="AU20" s="47">
        <v>635957</v>
      </c>
      <c r="AV20" s="37">
        <f t="shared" si="31"/>
        <v>2307</v>
      </c>
      <c r="AW20" s="35">
        <f t="shared" si="30"/>
        <v>4.6139999999999999</v>
      </c>
    </row>
    <row r="21" spans="1:49" x14ac:dyDescent="0.25">
      <c r="A21" s="23">
        <v>43784</v>
      </c>
      <c r="B21" s="40">
        <v>140</v>
      </c>
      <c r="C21" s="24">
        <v>5887580</v>
      </c>
      <c r="D21" s="24">
        <v>12002780</v>
      </c>
      <c r="E21" s="24">
        <v>1422280</v>
      </c>
      <c r="F21" s="24">
        <v>2575410</v>
      </c>
      <c r="G21" s="24">
        <v>7799090</v>
      </c>
      <c r="H21" s="24">
        <v>3670340</v>
      </c>
      <c r="I21" s="24">
        <v>3676880</v>
      </c>
      <c r="J21" s="24">
        <v>4143850</v>
      </c>
      <c r="K21" s="24">
        <v>6751970</v>
      </c>
      <c r="L21" s="24">
        <v>2384620</v>
      </c>
      <c r="M21" s="24">
        <v>6253500</v>
      </c>
      <c r="N21" s="24">
        <v>8494280</v>
      </c>
      <c r="O21" s="24">
        <v>11037510</v>
      </c>
      <c r="Q21" s="37">
        <f t="shared" si="16"/>
        <v>1020</v>
      </c>
      <c r="R21" s="37">
        <f t="shared" si="17"/>
        <v>3610</v>
      </c>
      <c r="S21" s="37">
        <f t="shared" si="15"/>
        <v>3630</v>
      </c>
      <c r="T21" s="37">
        <f t="shared" si="18"/>
        <v>1530</v>
      </c>
      <c r="U21" s="37">
        <f t="shared" si="19"/>
        <v>6080</v>
      </c>
      <c r="V21" s="37">
        <f t="shared" si="20"/>
        <v>4690</v>
      </c>
      <c r="W21" s="37">
        <f t="shared" si="21"/>
        <v>3190</v>
      </c>
      <c r="X21" s="37">
        <f t="shared" si="22"/>
        <v>4770</v>
      </c>
      <c r="Y21" s="37">
        <f t="shared" si="23"/>
        <v>5970</v>
      </c>
      <c r="Z21" s="37">
        <f t="shared" si="24"/>
        <v>2960</v>
      </c>
      <c r="AA21" s="37">
        <f t="shared" si="25"/>
        <v>3770</v>
      </c>
      <c r="AB21" s="37">
        <f>IF((N21-N20&lt;0), "0",N21-N20)</f>
        <v>7600</v>
      </c>
      <c r="AC21" s="37">
        <f t="shared" si="27"/>
        <v>13630</v>
      </c>
      <c r="AD21" s="35">
        <f t="shared" si="28"/>
        <v>62450</v>
      </c>
      <c r="AF21" s="20">
        <f t="shared" si="1"/>
        <v>5.1000000000000005</v>
      </c>
      <c r="AG21" s="20">
        <f t="shared" si="2"/>
        <v>18.05</v>
      </c>
      <c r="AH21" s="20">
        <f t="shared" si="3"/>
        <v>18.150000000000002</v>
      </c>
      <c r="AI21" s="20">
        <f t="shared" si="4"/>
        <v>7.65</v>
      </c>
      <c r="AJ21" s="20">
        <f t="shared" si="5"/>
        <v>30.400000000000002</v>
      </c>
      <c r="AK21" s="20">
        <f t="shared" si="6"/>
        <v>23.45</v>
      </c>
      <c r="AL21" s="20">
        <f t="shared" si="7"/>
        <v>15.950000000000001</v>
      </c>
      <c r="AM21" s="20">
        <f t="shared" si="8"/>
        <v>23.85</v>
      </c>
      <c r="AN21" s="20">
        <f t="shared" si="9"/>
        <v>29.85</v>
      </c>
      <c r="AO21" s="20">
        <f t="shared" si="10"/>
        <v>14.8</v>
      </c>
      <c r="AP21" s="20">
        <f t="shared" si="11"/>
        <v>18.850000000000001</v>
      </c>
      <c r="AQ21" s="20">
        <f t="shared" si="12"/>
        <v>38</v>
      </c>
      <c r="AR21" s="20">
        <f t="shared" si="13"/>
        <v>68.150000000000006</v>
      </c>
      <c r="AS21" s="35">
        <f t="shared" si="29"/>
        <v>312.25</v>
      </c>
      <c r="AU21" s="47">
        <v>637524</v>
      </c>
      <c r="AV21" s="37">
        <f t="shared" si="31"/>
        <v>1567</v>
      </c>
      <c r="AW21" s="35">
        <f t="shared" si="30"/>
        <v>3.1339999999999999</v>
      </c>
    </row>
    <row r="22" spans="1:49" x14ac:dyDescent="0.25">
      <c r="A22" s="23">
        <v>43785</v>
      </c>
      <c r="B22" s="40">
        <v>138</v>
      </c>
      <c r="C22" s="24">
        <v>5888650</v>
      </c>
      <c r="D22" s="24">
        <v>12006500</v>
      </c>
      <c r="E22" s="24">
        <v>1426250</v>
      </c>
      <c r="F22" s="24">
        <v>2576990</v>
      </c>
      <c r="G22" s="24">
        <v>7805260</v>
      </c>
      <c r="H22" s="24">
        <v>3675150</v>
      </c>
      <c r="I22" s="24">
        <v>3680020</v>
      </c>
      <c r="J22" s="44">
        <v>4148870</v>
      </c>
      <c r="K22" s="24">
        <v>6758110</v>
      </c>
      <c r="L22" s="24">
        <v>2387540</v>
      </c>
      <c r="M22" s="24">
        <v>6256850</v>
      </c>
      <c r="N22" s="24">
        <v>8502110</v>
      </c>
      <c r="O22" s="44">
        <v>11051900</v>
      </c>
      <c r="Q22" s="37">
        <f t="shared" si="16"/>
        <v>1070</v>
      </c>
      <c r="R22" s="37">
        <f t="shared" si="17"/>
        <v>3720</v>
      </c>
      <c r="S22" s="37">
        <f t="shared" si="15"/>
        <v>3970</v>
      </c>
      <c r="T22" s="37">
        <f t="shared" si="18"/>
        <v>1580</v>
      </c>
      <c r="U22" s="37">
        <f t="shared" si="19"/>
        <v>6170</v>
      </c>
      <c r="V22" s="37">
        <f t="shared" si="20"/>
        <v>4810</v>
      </c>
      <c r="W22" s="37">
        <f t="shared" si="21"/>
        <v>3140</v>
      </c>
      <c r="X22" s="37">
        <f t="shared" si="22"/>
        <v>5020</v>
      </c>
      <c r="Y22" s="37">
        <f t="shared" si="23"/>
        <v>6140</v>
      </c>
      <c r="Z22" s="37">
        <f t="shared" si="24"/>
        <v>2920</v>
      </c>
      <c r="AA22" s="37">
        <f t="shared" si="25"/>
        <v>3350</v>
      </c>
      <c r="AB22" s="37">
        <f t="shared" si="26"/>
        <v>7830</v>
      </c>
      <c r="AC22" s="37">
        <f t="shared" si="27"/>
        <v>14390</v>
      </c>
      <c r="AD22" s="35">
        <f t="shared" si="28"/>
        <v>64110</v>
      </c>
      <c r="AF22" s="20">
        <f t="shared" si="1"/>
        <v>5.3500000000000005</v>
      </c>
      <c r="AG22" s="20">
        <f t="shared" si="2"/>
        <v>18.600000000000001</v>
      </c>
      <c r="AH22" s="20">
        <f t="shared" si="3"/>
        <v>19.850000000000001</v>
      </c>
      <c r="AI22" s="20">
        <f t="shared" si="4"/>
        <v>7.9</v>
      </c>
      <c r="AJ22" s="20">
        <f t="shared" si="5"/>
        <v>30.85</v>
      </c>
      <c r="AK22" s="20">
        <f t="shared" si="6"/>
        <v>24.05</v>
      </c>
      <c r="AL22" s="20">
        <f t="shared" si="7"/>
        <v>15.700000000000001</v>
      </c>
      <c r="AM22" s="20">
        <f t="shared" si="8"/>
        <v>25.1</v>
      </c>
      <c r="AN22" s="20">
        <f t="shared" si="9"/>
        <v>30.7</v>
      </c>
      <c r="AO22" s="20">
        <f t="shared" si="10"/>
        <v>14.6</v>
      </c>
      <c r="AP22" s="20">
        <f t="shared" si="11"/>
        <v>16.75</v>
      </c>
      <c r="AQ22" s="20">
        <f t="shared" si="12"/>
        <v>39.15</v>
      </c>
      <c r="AR22" s="20">
        <f t="shared" si="13"/>
        <v>71.95</v>
      </c>
      <c r="AS22" s="35">
        <f t="shared" si="29"/>
        <v>320.55</v>
      </c>
      <c r="AU22" s="47">
        <v>639494</v>
      </c>
      <c r="AV22" s="37">
        <f t="shared" si="31"/>
        <v>1970</v>
      </c>
      <c r="AW22" s="35">
        <f t="shared" si="30"/>
        <v>3.94</v>
      </c>
    </row>
    <row r="23" spans="1:49" x14ac:dyDescent="0.25">
      <c r="A23" s="23">
        <v>43786</v>
      </c>
      <c r="B23" s="40">
        <v>144</v>
      </c>
      <c r="C23" s="24">
        <v>5889670</v>
      </c>
      <c r="D23" s="24">
        <v>12009990</v>
      </c>
      <c r="E23" s="24">
        <v>1430030</v>
      </c>
      <c r="F23" s="24">
        <v>2578520</v>
      </c>
      <c r="G23" s="24">
        <v>7810670</v>
      </c>
      <c r="H23" s="24">
        <v>3679860</v>
      </c>
      <c r="I23" s="24">
        <v>3683230</v>
      </c>
      <c r="J23" s="24">
        <v>4153780</v>
      </c>
      <c r="K23" s="24">
        <v>6763920</v>
      </c>
      <c r="L23" s="24">
        <v>2390320</v>
      </c>
      <c r="M23" s="24">
        <v>6260790</v>
      </c>
      <c r="N23" s="24">
        <v>8509690</v>
      </c>
      <c r="O23" s="24">
        <v>11065540</v>
      </c>
      <c r="Q23" s="37">
        <f t="shared" si="16"/>
        <v>1020</v>
      </c>
      <c r="R23" s="37">
        <f t="shared" si="17"/>
        <v>3490</v>
      </c>
      <c r="S23" s="37">
        <f t="shared" si="15"/>
        <v>3780</v>
      </c>
      <c r="T23" s="37">
        <f t="shared" si="18"/>
        <v>1530</v>
      </c>
      <c r="U23" s="37">
        <f t="shared" si="19"/>
        <v>5410</v>
      </c>
      <c r="V23" s="37">
        <f t="shared" si="20"/>
        <v>4710</v>
      </c>
      <c r="W23" s="37">
        <f t="shared" si="21"/>
        <v>3210</v>
      </c>
      <c r="X23" s="37">
        <f t="shared" si="22"/>
        <v>4910</v>
      </c>
      <c r="Y23" s="37">
        <f t="shared" si="23"/>
        <v>5810</v>
      </c>
      <c r="Z23" s="37">
        <f t="shared" si="24"/>
        <v>2780</v>
      </c>
      <c r="AA23" s="37">
        <f t="shared" si="25"/>
        <v>3940</v>
      </c>
      <c r="AB23" s="37">
        <f t="shared" si="26"/>
        <v>7580</v>
      </c>
      <c r="AC23" s="37">
        <f t="shared" si="27"/>
        <v>13640</v>
      </c>
      <c r="AD23" s="35">
        <f t="shared" si="28"/>
        <v>61810</v>
      </c>
      <c r="AF23" s="20">
        <f t="shared" si="1"/>
        <v>5.1000000000000005</v>
      </c>
      <c r="AG23" s="20">
        <f t="shared" si="2"/>
        <v>17.45</v>
      </c>
      <c r="AH23" s="20">
        <f t="shared" si="3"/>
        <v>18.900000000000002</v>
      </c>
      <c r="AI23" s="20">
        <f t="shared" si="4"/>
        <v>7.65</v>
      </c>
      <c r="AJ23" s="20">
        <f t="shared" si="5"/>
        <v>27.05</v>
      </c>
      <c r="AK23" s="20">
        <f t="shared" si="6"/>
        <v>23.55</v>
      </c>
      <c r="AL23" s="20">
        <f t="shared" si="7"/>
        <v>16.05</v>
      </c>
      <c r="AM23" s="20">
        <f t="shared" si="8"/>
        <v>24.55</v>
      </c>
      <c r="AN23" s="20">
        <f t="shared" si="9"/>
        <v>29.05</v>
      </c>
      <c r="AO23" s="20">
        <f t="shared" si="10"/>
        <v>13.9</v>
      </c>
      <c r="AP23" s="20">
        <f t="shared" si="11"/>
        <v>19.7</v>
      </c>
      <c r="AQ23" s="20">
        <f t="shared" si="12"/>
        <v>37.9</v>
      </c>
      <c r="AR23" s="20">
        <f t="shared" si="13"/>
        <v>68.2</v>
      </c>
      <c r="AS23" s="35">
        <f t="shared" si="29"/>
        <v>309.05</v>
      </c>
      <c r="AU23" s="47">
        <v>641463</v>
      </c>
      <c r="AV23" s="37">
        <f t="shared" si="31"/>
        <v>1969</v>
      </c>
      <c r="AW23" s="35">
        <f t="shared" si="30"/>
        <v>3.9380000000000002</v>
      </c>
    </row>
    <row r="24" spans="1:49" x14ac:dyDescent="0.25">
      <c r="A24" s="23">
        <v>43787</v>
      </c>
      <c r="B24" s="40">
        <v>153</v>
      </c>
      <c r="C24" s="24">
        <v>5890250</v>
      </c>
      <c r="D24" s="24">
        <v>12011910</v>
      </c>
      <c r="E24" s="24">
        <v>1433420</v>
      </c>
      <c r="F24" s="24">
        <v>2580000</v>
      </c>
      <c r="G24" s="24">
        <v>7816310</v>
      </c>
      <c r="H24" s="24">
        <v>3684660</v>
      </c>
      <c r="I24" s="24">
        <v>3686810</v>
      </c>
      <c r="J24" s="24">
        <v>4159010</v>
      </c>
      <c r="K24" s="24">
        <v>6769720</v>
      </c>
      <c r="L24" s="24">
        <v>2393090</v>
      </c>
      <c r="M24" s="24">
        <v>6264200</v>
      </c>
      <c r="N24" s="24">
        <v>8517670</v>
      </c>
      <c r="O24" s="24">
        <v>11079390</v>
      </c>
      <c r="Q24" s="37">
        <f t="shared" si="16"/>
        <v>580</v>
      </c>
      <c r="R24" s="37">
        <f t="shared" si="17"/>
        <v>1920</v>
      </c>
      <c r="S24" s="37">
        <f t="shared" si="15"/>
        <v>3390</v>
      </c>
      <c r="T24" s="37">
        <f t="shared" si="18"/>
        <v>1480</v>
      </c>
      <c r="U24" s="37">
        <f t="shared" si="19"/>
        <v>5640</v>
      </c>
      <c r="V24" s="37">
        <f t="shared" si="20"/>
        <v>4800</v>
      </c>
      <c r="W24" s="37">
        <f t="shared" si="21"/>
        <v>3580</v>
      </c>
      <c r="X24" s="37">
        <f t="shared" si="22"/>
        <v>5230</v>
      </c>
      <c r="Y24" s="37">
        <f t="shared" si="23"/>
        <v>5800</v>
      </c>
      <c r="Z24" s="37">
        <f t="shared" si="24"/>
        <v>2770</v>
      </c>
      <c r="AA24" s="37">
        <f t="shared" si="25"/>
        <v>3410</v>
      </c>
      <c r="AB24" s="37">
        <f t="shared" si="26"/>
        <v>7980</v>
      </c>
      <c r="AC24" s="37">
        <f t="shared" si="27"/>
        <v>13850</v>
      </c>
      <c r="AD24" s="35">
        <f t="shared" si="28"/>
        <v>60430</v>
      </c>
      <c r="AF24" s="20">
        <f t="shared" si="1"/>
        <v>2.9</v>
      </c>
      <c r="AG24" s="20">
        <f t="shared" si="2"/>
        <v>9.6</v>
      </c>
      <c r="AH24" s="20">
        <f t="shared" si="3"/>
        <v>16.95</v>
      </c>
      <c r="AI24" s="20">
        <f t="shared" si="4"/>
        <v>7.4</v>
      </c>
      <c r="AJ24" s="20">
        <f t="shared" si="5"/>
        <v>28.2</v>
      </c>
      <c r="AK24" s="20">
        <f t="shared" si="6"/>
        <v>24</v>
      </c>
      <c r="AL24" s="20">
        <f t="shared" si="7"/>
        <v>17.900000000000002</v>
      </c>
      <c r="AM24" s="20">
        <f t="shared" si="8"/>
        <v>26.150000000000002</v>
      </c>
      <c r="AN24" s="20">
        <f t="shared" si="9"/>
        <v>29</v>
      </c>
      <c r="AO24" s="20">
        <f t="shared" si="10"/>
        <v>13.85</v>
      </c>
      <c r="AP24" s="20">
        <f t="shared" si="11"/>
        <v>17.05</v>
      </c>
      <c r="AQ24" s="20">
        <f t="shared" si="12"/>
        <v>39.9</v>
      </c>
      <c r="AR24" s="20">
        <f t="shared" si="13"/>
        <v>69.25</v>
      </c>
      <c r="AS24" s="35">
        <f t="shared" si="29"/>
        <v>302.14999999999998</v>
      </c>
      <c r="AU24" s="47">
        <v>643091</v>
      </c>
      <c r="AV24" s="37">
        <f t="shared" si="31"/>
        <v>1628</v>
      </c>
      <c r="AW24" s="35">
        <f t="shared" si="30"/>
        <v>3.2560000000000002</v>
      </c>
    </row>
    <row r="25" spans="1:49" x14ac:dyDescent="0.25">
      <c r="A25" s="23">
        <v>43788</v>
      </c>
      <c r="B25" s="40">
        <v>173</v>
      </c>
      <c r="C25" s="24">
        <v>5890820</v>
      </c>
      <c r="D25" s="24">
        <v>12013780</v>
      </c>
      <c r="E25" s="24">
        <v>1436440</v>
      </c>
      <c r="F25" s="24">
        <v>2581450</v>
      </c>
      <c r="G25" s="24">
        <v>7821820</v>
      </c>
      <c r="H25" s="24">
        <v>3689470</v>
      </c>
      <c r="I25" s="24">
        <v>3690370</v>
      </c>
      <c r="J25" s="24">
        <v>4164040</v>
      </c>
      <c r="K25" s="24">
        <v>6775340</v>
      </c>
      <c r="L25" s="24">
        <v>2395860</v>
      </c>
      <c r="M25" s="24">
        <v>6267570</v>
      </c>
      <c r="N25" s="24">
        <v>8525510</v>
      </c>
      <c r="O25" s="24">
        <v>11092950</v>
      </c>
      <c r="Q25" s="37">
        <f t="shared" ref="Q25:AC27" si="32">IF((C25-C24&lt;0), "0",C25-C24)</f>
        <v>570</v>
      </c>
      <c r="R25" s="37">
        <f t="shared" si="32"/>
        <v>1870</v>
      </c>
      <c r="S25" s="37">
        <f t="shared" si="32"/>
        <v>3020</v>
      </c>
      <c r="T25" s="37">
        <f t="shared" si="32"/>
        <v>1450</v>
      </c>
      <c r="U25" s="37">
        <f t="shared" si="32"/>
        <v>5510</v>
      </c>
      <c r="V25" s="37">
        <f t="shared" si="32"/>
        <v>4810</v>
      </c>
      <c r="W25" s="37">
        <f t="shared" si="32"/>
        <v>3560</v>
      </c>
      <c r="X25" s="37">
        <f t="shared" si="32"/>
        <v>5030</v>
      </c>
      <c r="Y25" s="37">
        <f t="shared" si="32"/>
        <v>5620</v>
      </c>
      <c r="Z25" s="37">
        <f t="shared" si="32"/>
        <v>2770</v>
      </c>
      <c r="AA25" s="37">
        <f t="shared" si="32"/>
        <v>3370</v>
      </c>
      <c r="AB25" s="37">
        <f t="shared" si="32"/>
        <v>7840</v>
      </c>
      <c r="AC25" s="37">
        <f t="shared" si="32"/>
        <v>13560</v>
      </c>
      <c r="AD25" s="35">
        <f t="shared" si="28"/>
        <v>58980</v>
      </c>
      <c r="AF25" s="20">
        <f t="shared" si="1"/>
        <v>2.85</v>
      </c>
      <c r="AG25" s="20">
        <f t="shared" si="2"/>
        <v>9.35</v>
      </c>
      <c r="AH25" s="20">
        <f t="shared" si="3"/>
        <v>15.1</v>
      </c>
      <c r="AI25" s="20">
        <f t="shared" si="4"/>
        <v>7.25</v>
      </c>
      <c r="AJ25" s="20">
        <f t="shared" si="5"/>
        <v>27.55</v>
      </c>
      <c r="AK25" s="20">
        <f t="shared" si="6"/>
        <v>24.05</v>
      </c>
      <c r="AL25" s="20">
        <f t="shared" si="7"/>
        <v>17.8</v>
      </c>
      <c r="AM25" s="20">
        <f t="shared" si="8"/>
        <v>25.150000000000002</v>
      </c>
      <c r="AN25" s="20">
        <f t="shared" si="9"/>
        <v>28.1</v>
      </c>
      <c r="AO25" s="20">
        <f t="shared" si="10"/>
        <v>13.85</v>
      </c>
      <c r="AP25" s="20">
        <f t="shared" si="11"/>
        <v>16.850000000000001</v>
      </c>
      <c r="AQ25" s="20">
        <f t="shared" si="12"/>
        <v>39.200000000000003</v>
      </c>
      <c r="AR25" s="20">
        <f t="shared" si="13"/>
        <v>67.8</v>
      </c>
      <c r="AS25" s="35">
        <f t="shared" si="29"/>
        <v>294.89999999999998</v>
      </c>
      <c r="AU25" s="47">
        <v>644561</v>
      </c>
      <c r="AV25" s="37">
        <f t="shared" si="31"/>
        <v>1470</v>
      </c>
      <c r="AW25" s="35">
        <f t="shared" si="30"/>
        <v>2.94</v>
      </c>
    </row>
    <row r="26" spans="1:49" x14ac:dyDescent="0.25">
      <c r="A26" s="23">
        <v>43789</v>
      </c>
      <c r="B26" s="40">
        <v>167</v>
      </c>
      <c r="C26" s="24">
        <v>5891400</v>
      </c>
      <c r="D26" s="24">
        <v>12015700</v>
      </c>
      <c r="E26" s="24">
        <v>1439360</v>
      </c>
      <c r="F26" s="24">
        <v>2582920</v>
      </c>
      <c r="G26" s="24">
        <v>7827800</v>
      </c>
      <c r="H26" s="24">
        <v>3694430</v>
      </c>
      <c r="I26" s="24">
        <v>3694060</v>
      </c>
      <c r="J26" s="24">
        <v>4169270</v>
      </c>
      <c r="K26" s="24">
        <v>6780840</v>
      </c>
      <c r="L26" s="24">
        <v>2398670</v>
      </c>
      <c r="M26" s="24">
        <v>6271040</v>
      </c>
      <c r="N26" s="24">
        <v>8533300</v>
      </c>
      <c r="O26" s="24">
        <v>11106990</v>
      </c>
      <c r="Q26" s="37">
        <f t="shared" si="32"/>
        <v>580</v>
      </c>
      <c r="R26" s="37">
        <f t="shared" si="32"/>
        <v>1920</v>
      </c>
      <c r="S26" s="37">
        <f t="shared" si="32"/>
        <v>2920</v>
      </c>
      <c r="T26" s="37">
        <f t="shared" si="32"/>
        <v>1470</v>
      </c>
      <c r="U26" s="37">
        <f t="shared" si="32"/>
        <v>5980</v>
      </c>
      <c r="V26" s="37">
        <f t="shared" si="32"/>
        <v>4960</v>
      </c>
      <c r="W26" s="37">
        <f t="shared" si="32"/>
        <v>3690</v>
      </c>
      <c r="X26" s="37">
        <f t="shared" si="32"/>
        <v>5230</v>
      </c>
      <c r="Y26" s="37">
        <f t="shared" si="32"/>
        <v>5500</v>
      </c>
      <c r="Z26" s="37">
        <f t="shared" si="32"/>
        <v>2810</v>
      </c>
      <c r="AA26" s="37">
        <f t="shared" si="32"/>
        <v>3470</v>
      </c>
      <c r="AB26" s="37">
        <f t="shared" si="32"/>
        <v>7790</v>
      </c>
      <c r="AC26" s="37">
        <f t="shared" si="32"/>
        <v>14040</v>
      </c>
      <c r="AD26" s="35">
        <f t="shared" si="28"/>
        <v>60360</v>
      </c>
      <c r="AF26" s="20">
        <f t="shared" si="1"/>
        <v>2.9</v>
      </c>
      <c r="AG26" s="20">
        <f t="shared" si="2"/>
        <v>9.6</v>
      </c>
      <c r="AH26" s="20">
        <f t="shared" si="3"/>
        <v>14.6</v>
      </c>
      <c r="AI26" s="20">
        <f t="shared" si="4"/>
        <v>7.3500000000000005</v>
      </c>
      <c r="AJ26" s="20">
        <f t="shared" si="5"/>
        <v>29.900000000000002</v>
      </c>
      <c r="AK26" s="20">
        <f t="shared" si="6"/>
        <v>24.8</v>
      </c>
      <c r="AL26" s="20">
        <f t="shared" si="7"/>
        <v>18.45</v>
      </c>
      <c r="AM26" s="20">
        <f t="shared" si="8"/>
        <v>26.150000000000002</v>
      </c>
      <c r="AN26" s="20">
        <f t="shared" si="9"/>
        <v>27.5</v>
      </c>
      <c r="AO26" s="20">
        <f t="shared" si="10"/>
        <v>14.05</v>
      </c>
      <c r="AP26" s="20">
        <f t="shared" si="11"/>
        <v>17.350000000000001</v>
      </c>
      <c r="AQ26" s="20">
        <f t="shared" si="12"/>
        <v>38.950000000000003</v>
      </c>
      <c r="AR26" s="20">
        <f t="shared" si="13"/>
        <v>70.2</v>
      </c>
      <c r="AS26" s="35">
        <f t="shared" si="29"/>
        <v>301.8</v>
      </c>
      <c r="AU26" s="47">
        <v>646411</v>
      </c>
      <c r="AV26" s="37">
        <f t="shared" si="31"/>
        <v>1850</v>
      </c>
      <c r="AW26" s="35">
        <f t="shared" si="30"/>
        <v>3.7</v>
      </c>
    </row>
    <row r="27" spans="1:49" x14ac:dyDescent="0.25">
      <c r="A27" s="23">
        <v>43790</v>
      </c>
      <c r="B27" s="40">
        <v>215</v>
      </c>
      <c r="C27" s="24">
        <v>5891960</v>
      </c>
      <c r="D27" s="24">
        <v>12017570</v>
      </c>
      <c r="E27" s="24">
        <v>1442350</v>
      </c>
      <c r="F27" s="24">
        <v>2584370</v>
      </c>
      <c r="G27" s="24">
        <v>7833780</v>
      </c>
      <c r="H27" s="24">
        <v>3699800</v>
      </c>
      <c r="I27" s="24">
        <v>3697420</v>
      </c>
      <c r="J27" s="24">
        <v>4174600</v>
      </c>
      <c r="K27" s="24">
        <v>6786290</v>
      </c>
      <c r="L27" s="24">
        <v>2401630</v>
      </c>
      <c r="M27" s="24">
        <v>6274560</v>
      </c>
      <c r="N27" s="24">
        <v>8540920</v>
      </c>
      <c r="O27" s="24">
        <v>11121020</v>
      </c>
      <c r="Q27" s="37">
        <f t="shared" si="32"/>
        <v>560</v>
      </c>
      <c r="R27" s="37">
        <f t="shared" si="32"/>
        <v>1870</v>
      </c>
      <c r="S27" s="37">
        <f t="shared" si="32"/>
        <v>2990</v>
      </c>
      <c r="T27" s="37">
        <f t="shared" si="32"/>
        <v>1450</v>
      </c>
      <c r="U27" s="37">
        <f t="shared" si="32"/>
        <v>5980</v>
      </c>
      <c r="V27" s="37">
        <f t="shared" si="32"/>
        <v>5370</v>
      </c>
      <c r="W27" s="37">
        <f t="shared" si="32"/>
        <v>3360</v>
      </c>
      <c r="X27" s="37">
        <f t="shared" si="32"/>
        <v>5330</v>
      </c>
      <c r="Y27" s="37">
        <f t="shared" si="32"/>
        <v>5450</v>
      </c>
      <c r="Z27" s="37">
        <f t="shared" si="32"/>
        <v>2960</v>
      </c>
      <c r="AA27" s="37">
        <f t="shared" si="32"/>
        <v>3520</v>
      </c>
      <c r="AB27" s="37">
        <f t="shared" si="32"/>
        <v>7620</v>
      </c>
      <c r="AC27" s="37">
        <f t="shared" si="32"/>
        <v>14030</v>
      </c>
      <c r="AD27" s="35">
        <f t="shared" si="28"/>
        <v>60490</v>
      </c>
      <c r="AF27" s="20">
        <f t="shared" si="1"/>
        <v>2.8000000000000003</v>
      </c>
      <c r="AG27" s="20">
        <f t="shared" si="2"/>
        <v>9.35</v>
      </c>
      <c r="AH27" s="20">
        <f t="shared" si="3"/>
        <v>14.950000000000001</v>
      </c>
      <c r="AI27" s="20">
        <f t="shared" si="4"/>
        <v>7.25</v>
      </c>
      <c r="AJ27" s="20">
        <f t="shared" si="5"/>
        <v>29.900000000000002</v>
      </c>
      <c r="AK27" s="20">
        <f t="shared" si="6"/>
        <v>26.85</v>
      </c>
      <c r="AL27" s="20">
        <f t="shared" si="7"/>
        <v>16.8</v>
      </c>
      <c r="AM27" s="20">
        <f t="shared" si="8"/>
        <v>26.650000000000002</v>
      </c>
      <c r="AN27" s="20">
        <f t="shared" si="9"/>
        <v>27.25</v>
      </c>
      <c r="AO27" s="20">
        <f t="shared" si="10"/>
        <v>14.8</v>
      </c>
      <c r="AP27" s="20">
        <f t="shared" si="11"/>
        <v>17.600000000000001</v>
      </c>
      <c r="AQ27" s="20">
        <f t="shared" si="12"/>
        <v>38.1</v>
      </c>
      <c r="AR27" s="20">
        <f t="shared" si="13"/>
        <v>70.150000000000006</v>
      </c>
      <c r="AS27" s="35">
        <f t="shared" si="29"/>
        <v>302.45</v>
      </c>
      <c r="AU27" s="47">
        <v>648341</v>
      </c>
      <c r="AV27" s="37">
        <f>IF((AU27-AU26&lt;0),"0",AU27-AU26)</f>
        <v>1930</v>
      </c>
      <c r="AW27" s="35">
        <f t="shared" si="30"/>
        <v>3.86</v>
      </c>
    </row>
    <row r="28" spans="1:49" x14ac:dyDescent="0.25">
      <c r="A28" s="23">
        <v>43791</v>
      </c>
      <c r="B28" s="40">
        <v>212</v>
      </c>
      <c r="C28" s="24">
        <v>5892550</v>
      </c>
      <c r="D28" s="24">
        <v>12019490</v>
      </c>
      <c r="E28" s="24">
        <v>1445510</v>
      </c>
      <c r="F28" s="24">
        <v>2585860</v>
      </c>
      <c r="G28" s="24">
        <v>7839890</v>
      </c>
      <c r="H28" s="24">
        <v>3704380</v>
      </c>
      <c r="I28" s="24">
        <v>3701160</v>
      </c>
      <c r="J28" s="24">
        <v>4180060</v>
      </c>
      <c r="K28" s="24">
        <v>6792030</v>
      </c>
      <c r="L28" s="24">
        <v>2404730</v>
      </c>
      <c r="M28" s="24">
        <v>6278260</v>
      </c>
      <c r="N28" s="24">
        <v>8548800</v>
      </c>
      <c r="O28" s="24">
        <v>11133700</v>
      </c>
      <c r="Q28" s="37">
        <f t="shared" si="16"/>
        <v>590</v>
      </c>
      <c r="R28" s="37">
        <f t="shared" si="17"/>
        <v>1920</v>
      </c>
      <c r="S28" s="37">
        <f t="shared" si="15"/>
        <v>3160</v>
      </c>
      <c r="T28" s="37">
        <f t="shared" si="18"/>
        <v>1490</v>
      </c>
      <c r="U28" s="37">
        <f t="shared" si="19"/>
        <v>6110</v>
      </c>
      <c r="V28" s="37">
        <f t="shared" si="20"/>
        <v>4580</v>
      </c>
      <c r="W28" s="37">
        <f t="shared" si="21"/>
        <v>3740</v>
      </c>
      <c r="X28" s="37">
        <f t="shared" si="22"/>
        <v>5460</v>
      </c>
      <c r="Y28" s="37">
        <f t="shared" si="23"/>
        <v>5740</v>
      </c>
      <c r="Z28" s="37">
        <f t="shared" si="24"/>
        <v>3100</v>
      </c>
      <c r="AA28" s="37">
        <f t="shared" si="25"/>
        <v>3700</v>
      </c>
      <c r="AB28" s="37">
        <f t="shared" si="26"/>
        <v>7880</v>
      </c>
      <c r="AC28" s="37">
        <f t="shared" si="27"/>
        <v>12680</v>
      </c>
      <c r="AD28" s="35">
        <f t="shared" si="28"/>
        <v>60150</v>
      </c>
      <c r="AF28" s="20">
        <f t="shared" si="1"/>
        <v>2.95</v>
      </c>
      <c r="AG28" s="20">
        <f t="shared" si="2"/>
        <v>9.6</v>
      </c>
      <c r="AH28" s="20">
        <f t="shared" si="3"/>
        <v>15.8</v>
      </c>
      <c r="AI28" s="20">
        <f t="shared" si="4"/>
        <v>7.45</v>
      </c>
      <c r="AJ28" s="20">
        <f t="shared" si="5"/>
        <v>30.55</v>
      </c>
      <c r="AK28" s="20">
        <f t="shared" si="6"/>
        <v>22.900000000000002</v>
      </c>
      <c r="AL28" s="20">
        <f t="shared" si="7"/>
        <v>18.7</v>
      </c>
      <c r="AM28" s="20">
        <f t="shared" si="8"/>
        <v>27.3</v>
      </c>
      <c r="AN28" s="20">
        <f t="shared" si="9"/>
        <v>28.7</v>
      </c>
      <c r="AO28" s="20">
        <f t="shared" si="10"/>
        <v>15.5</v>
      </c>
      <c r="AP28" s="20">
        <f t="shared" si="11"/>
        <v>18.5</v>
      </c>
      <c r="AQ28" s="20">
        <f t="shared" si="12"/>
        <v>39.4</v>
      </c>
      <c r="AR28" s="20">
        <f t="shared" si="13"/>
        <v>63.4</v>
      </c>
      <c r="AS28" s="35">
        <f t="shared" si="29"/>
        <v>300.75</v>
      </c>
      <c r="AU28" s="47">
        <v>649772</v>
      </c>
      <c r="AV28" s="37">
        <f>IF((AU28-AU27&lt;0),"0",AU28-AU27)</f>
        <v>1431</v>
      </c>
      <c r="AW28" s="35">
        <f t="shared" si="30"/>
        <v>2.8620000000000001</v>
      </c>
    </row>
    <row r="29" spans="1:49" x14ac:dyDescent="0.25">
      <c r="A29" s="23">
        <v>43792</v>
      </c>
      <c r="B29" s="40">
        <v>122</v>
      </c>
      <c r="C29" s="24">
        <v>5893110</v>
      </c>
      <c r="D29" s="24">
        <v>12021360</v>
      </c>
      <c r="E29" s="24">
        <v>1448590</v>
      </c>
      <c r="F29" s="24">
        <v>2587790</v>
      </c>
      <c r="G29" s="24">
        <v>7846010</v>
      </c>
      <c r="H29" s="24">
        <v>3709330</v>
      </c>
      <c r="I29" s="24">
        <v>3704440</v>
      </c>
      <c r="J29" s="24">
        <v>4185150</v>
      </c>
      <c r="K29" s="24">
        <v>6797440</v>
      </c>
      <c r="L29" s="24">
        <v>2407610</v>
      </c>
      <c r="M29" s="24">
        <v>6281870</v>
      </c>
      <c r="N29" s="24">
        <v>8556420</v>
      </c>
      <c r="O29" s="24">
        <v>11146020</v>
      </c>
      <c r="Q29" s="37">
        <f t="shared" si="16"/>
        <v>560</v>
      </c>
      <c r="R29" s="37">
        <f t="shared" si="17"/>
        <v>1870</v>
      </c>
      <c r="S29" s="37">
        <f t="shared" si="15"/>
        <v>3080</v>
      </c>
      <c r="T29" s="37">
        <f t="shared" si="18"/>
        <v>1930</v>
      </c>
      <c r="U29" s="37">
        <f t="shared" si="19"/>
        <v>6120</v>
      </c>
      <c r="V29" s="37">
        <f t="shared" si="20"/>
        <v>4950</v>
      </c>
      <c r="W29" s="37">
        <f t="shared" si="21"/>
        <v>3280</v>
      </c>
      <c r="X29" s="37">
        <f t="shared" si="22"/>
        <v>5090</v>
      </c>
      <c r="Y29" s="37">
        <f t="shared" si="23"/>
        <v>5410</v>
      </c>
      <c r="Z29" s="37">
        <f t="shared" si="24"/>
        <v>2880</v>
      </c>
      <c r="AA29" s="37">
        <f t="shared" si="25"/>
        <v>3610</v>
      </c>
      <c r="AB29" s="37">
        <f t="shared" si="26"/>
        <v>7620</v>
      </c>
      <c r="AC29" s="37">
        <f t="shared" si="27"/>
        <v>12320</v>
      </c>
      <c r="AD29" s="35">
        <f t="shared" si="28"/>
        <v>58720</v>
      </c>
      <c r="AF29" s="20">
        <f t="shared" si="1"/>
        <v>2.8000000000000003</v>
      </c>
      <c r="AG29" s="20">
        <f t="shared" si="2"/>
        <v>9.35</v>
      </c>
      <c r="AH29" s="20">
        <f t="shared" si="3"/>
        <v>15.4</v>
      </c>
      <c r="AI29" s="20">
        <f t="shared" si="4"/>
        <v>9.65</v>
      </c>
      <c r="AJ29" s="20">
        <f t="shared" si="5"/>
        <v>30.6</v>
      </c>
      <c r="AK29" s="20">
        <f t="shared" si="6"/>
        <v>24.75</v>
      </c>
      <c r="AL29" s="20">
        <f t="shared" si="7"/>
        <v>16.399999999999999</v>
      </c>
      <c r="AM29" s="20">
        <f t="shared" si="8"/>
        <v>25.45</v>
      </c>
      <c r="AN29" s="20">
        <f t="shared" si="9"/>
        <v>27.05</v>
      </c>
      <c r="AO29" s="20">
        <f t="shared" si="10"/>
        <v>14.4</v>
      </c>
      <c r="AP29" s="20">
        <f t="shared" si="11"/>
        <v>18.05</v>
      </c>
      <c r="AQ29" s="20">
        <f t="shared" si="12"/>
        <v>38.1</v>
      </c>
      <c r="AR29" s="20">
        <f t="shared" si="13"/>
        <v>61.6</v>
      </c>
      <c r="AS29" s="35">
        <f t="shared" si="29"/>
        <v>293.60000000000002</v>
      </c>
      <c r="AU29" s="47">
        <v>651999</v>
      </c>
      <c r="AV29" s="37">
        <f t="shared" ref="AV29:AV36" si="33">IF((AU29-AU28&lt;0),"0",AU29-AU28)</f>
        <v>2227</v>
      </c>
      <c r="AW29" s="35">
        <f t="shared" si="30"/>
        <v>4.4539999999999997</v>
      </c>
    </row>
    <row r="30" spans="1:49" x14ac:dyDescent="0.25">
      <c r="A30" s="23">
        <v>43793</v>
      </c>
      <c r="B30" s="40">
        <v>147</v>
      </c>
      <c r="C30" s="24">
        <v>5893680</v>
      </c>
      <c r="D30" s="24">
        <v>12023250</v>
      </c>
      <c r="E30" s="24">
        <v>1452090</v>
      </c>
      <c r="F30" s="24">
        <v>2589270</v>
      </c>
      <c r="G30" s="24">
        <v>7851740</v>
      </c>
      <c r="H30" s="24">
        <v>3714030</v>
      </c>
      <c r="I30" s="24">
        <v>3707530</v>
      </c>
      <c r="J30" s="24">
        <v>4189800</v>
      </c>
      <c r="K30" s="24">
        <v>6802410</v>
      </c>
      <c r="L30" s="24">
        <v>2410350</v>
      </c>
      <c r="M30" s="24">
        <v>6285470</v>
      </c>
      <c r="N30" s="24">
        <v>8564000</v>
      </c>
      <c r="O30" s="24">
        <v>11158450</v>
      </c>
      <c r="Q30" s="37">
        <f t="shared" si="16"/>
        <v>570</v>
      </c>
      <c r="R30" s="37">
        <f t="shared" si="17"/>
        <v>1890</v>
      </c>
      <c r="S30" s="37">
        <f t="shared" si="15"/>
        <v>3500</v>
      </c>
      <c r="T30" s="37">
        <f t="shared" si="18"/>
        <v>1480</v>
      </c>
      <c r="U30" s="37">
        <f t="shared" si="19"/>
        <v>5730</v>
      </c>
      <c r="V30" s="37">
        <f t="shared" si="20"/>
        <v>4700</v>
      </c>
      <c r="W30" s="37">
        <f t="shared" si="21"/>
        <v>3090</v>
      </c>
      <c r="X30" s="37">
        <f t="shared" si="22"/>
        <v>4650</v>
      </c>
      <c r="Y30" s="37">
        <f t="shared" si="23"/>
        <v>4970</v>
      </c>
      <c r="Z30" s="37">
        <f t="shared" si="24"/>
        <v>2740</v>
      </c>
      <c r="AA30" s="37">
        <f t="shared" si="25"/>
        <v>3600</v>
      </c>
      <c r="AB30" s="37">
        <f t="shared" si="26"/>
        <v>7580</v>
      </c>
      <c r="AC30" s="37">
        <f t="shared" si="27"/>
        <v>12430</v>
      </c>
      <c r="AD30" s="35">
        <f t="shared" si="28"/>
        <v>56930</v>
      </c>
      <c r="AF30" s="20">
        <f t="shared" si="1"/>
        <v>2.85</v>
      </c>
      <c r="AG30" s="20">
        <f t="shared" si="2"/>
        <v>9.4500000000000011</v>
      </c>
      <c r="AH30" s="20">
        <f t="shared" si="3"/>
        <v>17.5</v>
      </c>
      <c r="AI30" s="20">
        <f t="shared" si="4"/>
        <v>7.4</v>
      </c>
      <c r="AJ30" s="20">
        <f t="shared" si="5"/>
        <v>28.650000000000002</v>
      </c>
      <c r="AK30" s="20">
        <f t="shared" si="6"/>
        <v>23.5</v>
      </c>
      <c r="AL30" s="20">
        <f t="shared" si="7"/>
        <v>15.450000000000001</v>
      </c>
      <c r="AM30" s="20">
        <f t="shared" si="8"/>
        <v>23.25</v>
      </c>
      <c r="AN30" s="20">
        <f t="shared" si="9"/>
        <v>24.85</v>
      </c>
      <c r="AO30" s="20">
        <f t="shared" si="10"/>
        <v>13.700000000000001</v>
      </c>
      <c r="AP30" s="20">
        <f t="shared" si="11"/>
        <v>18</v>
      </c>
      <c r="AQ30" s="20">
        <f t="shared" si="12"/>
        <v>37.9</v>
      </c>
      <c r="AR30" s="20">
        <f t="shared" si="13"/>
        <v>62.15</v>
      </c>
      <c r="AS30" s="35">
        <f t="shared" si="29"/>
        <v>284.64999999999998</v>
      </c>
      <c r="AU30" s="47">
        <v>653585</v>
      </c>
      <c r="AV30" s="37">
        <f t="shared" si="33"/>
        <v>1586</v>
      </c>
      <c r="AW30" s="35">
        <f t="shared" si="30"/>
        <v>3.1720000000000002</v>
      </c>
    </row>
    <row r="31" spans="1:49" x14ac:dyDescent="0.25">
      <c r="A31" s="23">
        <v>43794</v>
      </c>
      <c r="B31" s="40">
        <v>177</v>
      </c>
      <c r="C31" s="24">
        <v>5894280</v>
      </c>
      <c r="D31" s="24">
        <v>12025260</v>
      </c>
      <c r="E31" s="24">
        <v>1455920</v>
      </c>
      <c r="F31" s="24">
        <v>2590840</v>
      </c>
      <c r="G31" s="24">
        <v>7857750</v>
      </c>
      <c r="H31" s="24">
        <v>3718010</v>
      </c>
      <c r="I31" s="24">
        <v>3710750</v>
      </c>
      <c r="J31" s="24">
        <v>4194560</v>
      </c>
      <c r="K31" s="24">
        <v>6807340</v>
      </c>
      <c r="L31" s="24">
        <v>2413300</v>
      </c>
      <c r="M31" s="24">
        <v>6289110</v>
      </c>
      <c r="N31" s="24">
        <v>8572130</v>
      </c>
      <c r="O31" s="24">
        <v>11171720</v>
      </c>
      <c r="Q31" s="37">
        <f t="shared" si="16"/>
        <v>600</v>
      </c>
      <c r="R31" s="37">
        <f t="shared" si="17"/>
        <v>2010</v>
      </c>
      <c r="S31" s="37">
        <f t="shared" si="15"/>
        <v>3830</v>
      </c>
      <c r="T31" s="37">
        <f t="shared" si="18"/>
        <v>1570</v>
      </c>
      <c r="U31" s="37">
        <f t="shared" si="19"/>
        <v>6010</v>
      </c>
      <c r="V31" s="37">
        <f t="shared" si="20"/>
        <v>3980</v>
      </c>
      <c r="W31" s="37">
        <f t="shared" si="21"/>
        <v>3220</v>
      </c>
      <c r="X31" s="37">
        <f t="shared" si="22"/>
        <v>4760</v>
      </c>
      <c r="Y31" s="37">
        <f t="shared" si="23"/>
        <v>4930</v>
      </c>
      <c r="Z31" s="37">
        <f t="shared" si="24"/>
        <v>2950</v>
      </c>
      <c r="AA31" s="37">
        <f t="shared" si="25"/>
        <v>3640</v>
      </c>
      <c r="AB31" s="37">
        <f t="shared" si="26"/>
        <v>8130</v>
      </c>
      <c r="AC31" s="37">
        <f t="shared" si="27"/>
        <v>13270</v>
      </c>
      <c r="AD31" s="35">
        <f t="shared" si="28"/>
        <v>58900</v>
      </c>
      <c r="AF31" s="20">
        <f t="shared" si="1"/>
        <v>3</v>
      </c>
      <c r="AG31" s="20">
        <f t="shared" si="2"/>
        <v>10.050000000000001</v>
      </c>
      <c r="AH31" s="20">
        <f t="shared" si="3"/>
        <v>19.150000000000002</v>
      </c>
      <c r="AI31" s="20">
        <f t="shared" si="4"/>
        <v>7.8500000000000005</v>
      </c>
      <c r="AJ31" s="20">
        <f t="shared" si="5"/>
        <v>30.05</v>
      </c>
      <c r="AK31" s="20">
        <f t="shared" si="6"/>
        <v>19.900000000000002</v>
      </c>
      <c r="AL31" s="20">
        <f t="shared" si="7"/>
        <v>16.100000000000001</v>
      </c>
      <c r="AM31" s="20">
        <f t="shared" si="8"/>
        <v>23.8</v>
      </c>
      <c r="AN31" s="20">
        <f t="shared" si="9"/>
        <v>24.650000000000002</v>
      </c>
      <c r="AO31" s="20">
        <f t="shared" si="10"/>
        <v>14.75</v>
      </c>
      <c r="AP31" s="20">
        <f t="shared" si="11"/>
        <v>18.2</v>
      </c>
      <c r="AQ31" s="20">
        <f t="shared" si="12"/>
        <v>40.65</v>
      </c>
      <c r="AR31" s="20">
        <f t="shared" si="13"/>
        <v>66.349999999999994</v>
      </c>
      <c r="AS31" s="35">
        <f t="shared" si="29"/>
        <v>294.5</v>
      </c>
      <c r="AU31" s="47">
        <v>655535</v>
      </c>
      <c r="AV31" s="37">
        <f t="shared" si="33"/>
        <v>1950</v>
      </c>
      <c r="AW31" s="35">
        <f t="shared" si="30"/>
        <v>3.9</v>
      </c>
    </row>
    <row r="32" spans="1:49" x14ac:dyDescent="0.25">
      <c r="A32" s="23">
        <v>43795</v>
      </c>
      <c r="B32" s="40">
        <v>122</v>
      </c>
      <c r="C32" s="24">
        <v>5894820</v>
      </c>
      <c r="D32" s="24">
        <v>12027110</v>
      </c>
      <c r="E32" s="24">
        <v>1459710</v>
      </c>
      <c r="F32" s="24">
        <v>2592280</v>
      </c>
      <c r="G32" s="24">
        <v>7863240</v>
      </c>
      <c r="H32" s="24">
        <v>3723650</v>
      </c>
      <c r="I32" s="24">
        <v>3713770</v>
      </c>
      <c r="J32" s="24">
        <v>4199290</v>
      </c>
      <c r="K32" s="24">
        <v>6812320</v>
      </c>
      <c r="L32" s="24">
        <v>2416090</v>
      </c>
      <c r="M32" s="24">
        <v>6292610</v>
      </c>
      <c r="N32" s="24">
        <v>8579610</v>
      </c>
      <c r="O32" s="24">
        <v>11184330</v>
      </c>
      <c r="Q32" s="37">
        <f t="shared" si="16"/>
        <v>540</v>
      </c>
      <c r="R32" s="37">
        <f t="shared" si="17"/>
        <v>1850</v>
      </c>
      <c r="S32" s="37">
        <f t="shared" si="15"/>
        <v>3790</v>
      </c>
      <c r="T32" s="37">
        <f t="shared" si="18"/>
        <v>1440</v>
      </c>
      <c r="U32" s="37">
        <f t="shared" si="19"/>
        <v>5490</v>
      </c>
      <c r="V32" s="37">
        <f t="shared" si="20"/>
        <v>5640</v>
      </c>
      <c r="W32" s="37">
        <f t="shared" si="21"/>
        <v>3020</v>
      </c>
      <c r="X32" s="37">
        <f t="shared" si="22"/>
        <v>4730</v>
      </c>
      <c r="Y32" s="37">
        <f t="shared" si="23"/>
        <v>4980</v>
      </c>
      <c r="Z32" s="37">
        <f t="shared" si="24"/>
        <v>2790</v>
      </c>
      <c r="AA32" s="37">
        <f t="shared" si="25"/>
        <v>3500</v>
      </c>
      <c r="AB32" s="37">
        <f t="shared" si="26"/>
        <v>7480</v>
      </c>
      <c r="AC32" s="37">
        <f t="shared" si="27"/>
        <v>12610</v>
      </c>
      <c r="AD32" s="35">
        <f t="shared" si="28"/>
        <v>57860</v>
      </c>
      <c r="AF32" s="20">
        <f t="shared" si="1"/>
        <v>2.7</v>
      </c>
      <c r="AG32" s="20">
        <f t="shared" si="2"/>
        <v>9.25</v>
      </c>
      <c r="AH32" s="20">
        <f t="shared" si="3"/>
        <v>18.95</v>
      </c>
      <c r="AI32" s="20">
        <f t="shared" si="4"/>
        <v>7.2</v>
      </c>
      <c r="AJ32" s="20">
        <f t="shared" si="5"/>
        <v>27.45</v>
      </c>
      <c r="AK32" s="20">
        <f t="shared" si="6"/>
        <v>28.2</v>
      </c>
      <c r="AL32" s="20">
        <f t="shared" si="7"/>
        <v>15.1</v>
      </c>
      <c r="AM32" s="20">
        <f t="shared" si="8"/>
        <v>23.650000000000002</v>
      </c>
      <c r="AN32" s="20">
        <f t="shared" si="9"/>
        <v>24.900000000000002</v>
      </c>
      <c r="AO32" s="20">
        <f t="shared" si="10"/>
        <v>13.950000000000001</v>
      </c>
      <c r="AP32" s="20">
        <f t="shared" si="11"/>
        <v>17.5</v>
      </c>
      <c r="AQ32" s="20">
        <f t="shared" si="12"/>
        <v>37.4</v>
      </c>
      <c r="AR32" s="20">
        <f t="shared" si="13"/>
        <v>63.050000000000004</v>
      </c>
      <c r="AS32" s="35">
        <f t="shared" si="29"/>
        <v>289.3</v>
      </c>
      <c r="AU32" s="47">
        <v>657005</v>
      </c>
      <c r="AV32" s="37">
        <f t="shared" si="33"/>
        <v>1470</v>
      </c>
      <c r="AW32" s="35">
        <f t="shared" si="30"/>
        <v>2.94</v>
      </c>
    </row>
    <row r="33" spans="1:49" x14ac:dyDescent="0.25">
      <c r="A33" s="23">
        <v>43796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 t="str">
        <f t="shared" si="16"/>
        <v>0</v>
      </c>
      <c r="R33" s="37" t="str">
        <f t="shared" si="17"/>
        <v>0</v>
      </c>
      <c r="S33" s="37" t="str">
        <f t="shared" si="15"/>
        <v>0</v>
      </c>
      <c r="T33" s="37" t="str">
        <f t="shared" si="18"/>
        <v>0</v>
      </c>
      <c r="U33" s="37" t="str">
        <f t="shared" si="19"/>
        <v>0</v>
      </c>
      <c r="V33" s="37" t="str">
        <f t="shared" si="20"/>
        <v>0</v>
      </c>
      <c r="W33" s="37" t="str">
        <f t="shared" si="21"/>
        <v>0</v>
      </c>
      <c r="X33" s="37" t="str">
        <f t="shared" si="22"/>
        <v>0</v>
      </c>
      <c r="Y33" s="37" t="str">
        <f t="shared" si="23"/>
        <v>0</v>
      </c>
      <c r="Z33" s="37" t="str">
        <f t="shared" si="24"/>
        <v>0</v>
      </c>
      <c r="AA33" s="37" t="str">
        <f t="shared" si="25"/>
        <v>0</v>
      </c>
      <c r="AB33" s="37" t="str">
        <f t="shared" si="26"/>
        <v>0</v>
      </c>
      <c r="AC33" s="37" t="str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 t="str">
        <f t="shared" si="33"/>
        <v>0</v>
      </c>
      <c r="AW33" s="35">
        <f t="shared" si="30"/>
        <v>0</v>
      </c>
    </row>
    <row r="34" spans="1:49" x14ac:dyDescent="0.25">
      <c r="A34" s="23">
        <v>43797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43798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43799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3"/>
        <v>0</v>
      </c>
      <c r="AW36" s="35">
        <f t="shared" si="30"/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127480</v>
      </c>
      <c r="R38" s="30">
        <f t="shared" si="35"/>
        <v>163440</v>
      </c>
      <c r="S38" s="30">
        <f t="shared" si="35"/>
        <v>44250</v>
      </c>
      <c r="T38" s="30">
        <f t="shared" si="35"/>
        <v>40170</v>
      </c>
      <c r="U38" s="30">
        <f t="shared" si="35"/>
        <v>150480</v>
      </c>
      <c r="V38" s="30">
        <f t="shared" si="35"/>
        <v>124350</v>
      </c>
      <c r="W38" s="30">
        <f t="shared" si="35"/>
        <v>88710</v>
      </c>
      <c r="X38" s="30">
        <f t="shared" si="35"/>
        <v>128520</v>
      </c>
      <c r="Y38" s="30">
        <f t="shared" si="35"/>
        <v>150290</v>
      </c>
      <c r="Z38" s="30">
        <f t="shared" si="35"/>
        <v>74810</v>
      </c>
      <c r="AA38" s="30">
        <f t="shared" si="35"/>
        <v>93870</v>
      </c>
      <c r="AB38" s="30">
        <f t="shared" si="35"/>
        <v>201800</v>
      </c>
      <c r="AC38" s="30">
        <f t="shared" si="35"/>
        <v>359050</v>
      </c>
      <c r="AD38" s="35">
        <f t="shared" si="35"/>
        <v>1747220</v>
      </c>
      <c r="AF38" s="35">
        <f t="shared" ref="AF38:AS38" si="36">SUM(AF7:AF34)</f>
        <v>637.40000000000009</v>
      </c>
      <c r="AG38" s="35">
        <f t="shared" si="36"/>
        <v>817.20000000000027</v>
      </c>
      <c r="AH38" s="35">
        <f t="shared" si="36"/>
        <v>221.25</v>
      </c>
      <c r="AI38" s="35">
        <f t="shared" si="36"/>
        <v>200.85</v>
      </c>
      <c r="AJ38" s="35">
        <f t="shared" si="36"/>
        <v>752.39999999999986</v>
      </c>
      <c r="AK38" s="35">
        <f t="shared" si="36"/>
        <v>621.75000000000011</v>
      </c>
      <c r="AL38" s="35">
        <f t="shared" si="36"/>
        <v>443.54999999999995</v>
      </c>
      <c r="AM38" s="35">
        <f t="shared" si="36"/>
        <v>642.59999999999991</v>
      </c>
      <c r="AN38" s="35">
        <f t="shared" si="36"/>
        <v>751.45</v>
      </c>
      <c r="AO38" s="35">
        <f t="shared" si="36"/>
        <v>374.05000000000007</v>
      </c>
      <c r="AP38" s="35">
        <f t="shared" si="36"/>
        <v>469.35000000000008</v>
      </c>
      <c r="AQ38" s="35">
        <f t="shared" si="36"/>
        <v>1009</v>
      </c>
      <c r="AR38" s="35">
        <f t="shared" si="36"/>
        <v>1795.2500000000002</v>
      </c>
      <c r="AS38" s="35">
        <f t="shared" si="36"/>
        <v>8736.0999999999985</v>
      </c>
      <c r="AU38" s="48"/>
      <c r="AV38" s="35">
        <f>SUM(AV7:AV34)</f>
        <v>49531</v>
      </c>
      <c r="AW38" s="35">
        <f>SUM(AW7:AW34)</f>
        <v>92.379999999999981</v>
      </c>
    </row>
    <row r="39" spans="1:49" x14ac:dyDescent="0.25">
      <c r="D39">
        <v>5.0000000000000001E-3</v>
      </c>
      <c r="AV39" s="36">
        <f>AV38*0.00378541*1000</f>
        <v>187495.14270999999</v>
      </c>
    </row>
    <row r="40" spans="1:49" x14ac:dyDescent="0.25">
      <c r="D40">
        <v>2E-3</v>
      </c>
      <c r="AV40">
        <f>AV39/31</f>
        <v>6048.2304099999992</v>
      </c>
    </row>
    <row r="41" spans="1:49" x14ac:dyDescent="0.25">
      <c r="AV41">
        <f>AV38*0.00378541</f>
        <v>187.49514270999998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2019-11-27T08:09:43Z</dcterms:modified>
</cp:coreProperties>
</file>