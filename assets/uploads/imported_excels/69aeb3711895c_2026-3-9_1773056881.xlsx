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CE9B05D7-6546-43E6-8467-D4648892BD1E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March 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2" l="1"/>
  <c r="N8" i="2"/>
  <c r="N7" i="2"/>
  <c r="N6" i="2"/>
  <c r="N5" i="2"/>
  <c r="N4" i="2"/>
  <c r="N3" i="2"/>
  <c r="Y7" i="2"/>
  <c r="Y6" i="2"/>
  <c r="Y5" i="2"/>
  <c r="Y4" i="2"/>
  <c r="Y3" i="2"/>
  <c r="AB32" i="2"/>
  <c r="AB31" i="2"/>
  <c r="AB30" i="2"/>
  <c r="AB29" i="2"/>
  <c r="AB28" i="2"/>
  <c r="AB27" i="2"/>
  <c r="W32" i="2"/>
  <c r="W31" i="2"/>
  <c r="W30" i="2"/>
  <c r="W29" i="2"/>
  <c r="W28" i="2"/>
  <c r="W27" i="2"/>
  <c r="U27" i="2"/>
  <c r="N33" i="2"/>
  <c r="N32" i="2"/>
  <c r="N31" i="2"/>
  <c r="N30" i="2"/>
  <c r="N29" i="2"/>
  <c r="N28" i="2"/>
  <c r="N27" i="2"/>
  <c r="G32" i="2"/>
  <c r="G31" i="2"/>
  <c r="G30" i="2"/>
  <c r="G29" i="2"/>
  <c r="G28" i="2"/>
  <c r="G27" i="2"/>
  <c r="E32" i="2"/>
  <c r="E31" i="2"/>
  <c r="E30" i="2"/>
  <c r="E29" i="2"/>
  <c r="E28" i="2"/>
  <c r="E27" i="2"/>
  <c r="C32" i="2"/>
  <c r="C31" i="2"/>
  <c r="C30" i="2"/>
  <c r="C29" i="2"/>
  <c r="C28" i="2"/>
  <c r="C27" i="2"/>
  <c r="S28" i="2"/>
  <c r="U28" i="2" s="1"/>
  <c r="K28" i="2"/>
  <c r="H28" i="2"/>
  <c r="I28" i="2" s="1"/>
  <c r="S29" i="2"/>
  <c r="K29" i="2"/>
  <c r="H29" i="2"/>
  <c r="S30" i="2"/>
  <c r="K30" i="2"/>
  <c r="H30" i="2"/>
  <c r="AB25" i="2"/>
  <c r="AB24" i="2"/>
  <c r="AB23" i="2"/>
  <c r="AB22" i="2"/>
  <c r="M4" i="3"/>
  <c r="P29" i="3"/>
  <c r="O29" i="3"/>
  <c r="K29" i="3"/>
  <c r="I29" i="3"/>
  <c r="M30" i="3"/>
  <c r="M29" i="3"/>
  <c r="M28" i="3"/>
  <c r="C26" i="2"/>
  <c r="C25" i="2"/>
  <c r="C24" i="2"/>
  <c r="Y16" i="2"/>
  <c r="Y15" i="2"/>
  <c r="Y14" i="2"/>
  <c r="N24" i="2"/>
  <c r="M24" i="3" s="1"/>
  <c r="Y17" i="2"/>
  <c r="E13" i="2"/>
  <c r="E12" i="2"/>
  <c r="E11" i="2"/>
  <c r="E10" i="2"/>
  <c r="E9" i="2"/>
  <c r="E8" i="2"/>
  <c r="E7" i="2"/>
  <c r="E6" i="2"/>
  <c r="E5" i="2"/>
  <c r="E4" i="2"/>
  <c r="E3" i="2"/>
  <c r="Y26" i="2"/>
  <c r="I29" i="2" l="1"/>
  <c r="J28" i="2" s="1"/>
  <c r="I30" i="2"/>
  <c r="U29" i="2"/>
  <c r="F29" i="3"/>
  <c r="E29" i="3"/>
  <c r="H32" i="2"/>
  <c r="Y10" i="2"/>
  <c r="Y9" i="2"/>
  <c r="Y8" i="2"/>
  <c r="S11" i="2"/>
  <c r="S10" i="2"/>
  <c r="S9" i="2"/>
  <c r="S8" i="2"/>
  <c r="S7" i="2"/>
  <c r="S6" i="2"/>
  <c r="S5" i="2"/>
  <c r="S4" i="2"/>
  <c r="S32" i="2"/>
  <c r="K32" i="2"/>
  <c r="J29" i="2" l="1"/>
  <c r="I32" i="2"/>
  <c r="J32" i="2" s="1"/>
  <c r="W26" i="2"/>
  <c r="W25" i="2"/>
  <c r="W24" i="2"/>
  <c r="P24" i="3"/>
  <c r="O24" i="3"/>
  <c r="P23" i="3"/>
  <c r="O23" i="3"/>
  <c r="K28" i="3" l="1"/>
  <c r="K27" i="3"/>
  <c r="AB26" i="2"/>
  <c r="K26" i="3" s="1"/>
  <c r="K25" i="3"/>
  <c r="K24" i="3"/>
  <c r="K23" i="3"/>
  <c r="C12" i="2"/>
  <c r="C11" i="2"/>
  <c r="C10" i="2"/>
  <c r="C9" i="2"/>
  <c r="C8" i="2"/>
  <c r="C7" i="2"/>
  <c r="S33" i="2"/>
  <c r="U32" i="2" s="1"/>
  <c r="G29" i="3" s="1"/>
  <c r="S31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U9" i="2"/>
  <c r="U8" i="2"/>
  <c r="U7" i="2"/>
  <c r="U5" i="2"/>
  <c r="S3" i="2"/>
  <c r="S2" i="2"/>
  <c r="U31" i="2" l="1"/>
  <c r="U30" i="2"/>
  <c r="U14" i="2"/>
  <c r="U22" i="2"/>
  <c r="U19" i="2"/>
  <c r="U21" i="2"/>
  <c r="U18" i="2"/>
  <c r="U17" i="2"/>
  <c r="U15" i="2"/>
  <c r="U16" i="2"/>
  <c r="U24" i="2"/>
  <c r="G24" i="3" s="1"/>
  <c r="U20" i="2"/>
  <c r="U13" i="2"/>
  <c r="U12" i="2"/>
  <c r="U3" i="2"/>
  <c r="U4" i="2"/>
  <c r="U10" i="2"/>
  <c r="U11" i="2"/>
  <c r="U23" i="2"/>
  <c r="G23" i="3" s="1"/>
  <c r="U6" i="2"/>
  <c r="G27" i="3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M27" i="3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M25" i="3" s="1"/>
  <c r="N26" i="2"/>
  <c r="M26" i="3" s="1"/>
  <c r="N2" i="2"/>
  <c r="M2" i="3" s="1"/>
  <c r="AB2" i="2"/>
  <c r="Y18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11" i="2"/>
  <c r="Y20" i="2"/>
  <c r="Y21" i="2"/>
  <c r="Y22" i="2"/>
  <c r="Y23" i="2"/>
  <c r="Y24" i="2"/>
  <c r="Y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D34" i="2" l="1"/>
  <c r="AC34" i="2"/>
  <c r="AA34" i="2"/>
  <c r="T34" i="2"/>
  <c r="N34" i="2"/>
  <c r="K33" i="2"/>
  <c r="K31" i="2"/>
  <c r="H31" i="2"/>
  <c r="K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28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24" i="2"/>
  <c r="I24" i="2" s="1"/>
  <c r="I31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31" i="2" l="1"/>
  <c r="J30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<sst xmlns="http://schemas.openxmlformats.org/spreadsheetml/2006/main" count="74" uniqueCount="40">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</sst>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39"/>
  <sheetViews>
    <sheetView workbookViewId="0">
      <selection activeCell="C30" sqref="C30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20.71093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3</v>
      </c>
      <c r="D2" s="4">
        <v>2026</v>
      </c>
      <c r="E2" s="96">
        <f>IF('March  2026'!C2&lt;0,"0",'March  2026'!C2)+(IF('March  2026'!E2&lt;0,"0",'March  2026'!E2)-(IF('March  2026'!G2&lt;0,"0",'March  2026'!G2)))</f>
        <v>4417</v>
      </c>
      <c r="F2" s="110">
        <f>('March  2026'!C2*0.27)/('March  2026'!C2+'March  2026'!E2)</f>
        <v>0.19139008376726285</v>
      </c>
      <c r="G2" s="97">
        <f>'March  2026'!U2</f>
        <v>25</v>
      </c>
      <c r="H2" s="113">
        <v>0.62</v>
      </c>
      <c r="I2" s="98">
        <f>'March  2026'!W2</f>
        <v>0</v>
      </c>
      <c r="J2" s="99">
        <v>2.42</v>
      </c>
      <c r="K2" s="106">
        <f>'March  2026'!AB2*5.04</f>
        <v>0</v>
      </c>
      <c r="L2" s="116">
        <v>0.11509999999999999</v>
      </c>
      <c r="M2" s="107">
        <f>'March  2026'!N2</f>
        <v>524</v>
      </c>
      <c r="N2" s="119">
        <v>0.88</v>
      </c>
      <c r="O2" s="100">
        <f>'March  2026'!AC2</f>
        <v>53</v>
      </c>
      <c r="P2" s="100">
        <f>'March  2026'!AD2</f>
        <v>88</v>
      </c>
    </row>
    <row r="3" spans="1:16" ht="15" x14ac:dyDescent="0.25">
      <c r="A3" s="95" t="s">
        <v>37</v>
      </c>
      <c r="B3" s="5">
        <f>B2+1</f>
        <v>2</v>
      </c>
      <c r="C3" s="122">
        <v>3</v>
      </c>
      <c r="D3" s="4">
        <v>2026</v>
      </c>
      <c r="E3" s="96">
        <f>IF('March  2026'!C3&lt;0,"0",'March  2026'!C3)+(IF('March  2026'!E3&lt;0,"0",'March  2026'!E3)-(IF('March  2026'!G3&lt;0,"0",'March  2026'!G3)))</f>
        <v>4797</v>
      </c>
      <c r="F3" s="110">
        <f>('March  2026'!C3*0.27)/('March  2026'!C3+'March  2026'!E3)</f>
        <v>0.23707317073170731</v>
      </c>
      <c r="G3" s="97">
        <f>'March  2026'!U3</f>
        <v>82</v>
      </c>
      <c r="H3" s="113">
        <v>0.62</v>
      </c>
      <c r="I3" s="98">
        <f>'March  2026'!W3</f>
        <v>0</v>
      </c>
      <c r="J3" s="99">
        <v>2.42</v>
      </c>
      <c r="K3" s="106">
        <f>'March  2026'!AB3*5.04</f>
        <v>0</v>
      </c>
      <c r="L3" s="116">
        <v>0.11509999999999999</v>
      </c>
      <c r="M3" s="107">
        <f>'March  2026'!N3</f>
        <v>606</v>
      </c>
      <c r="N3" s="119">
        <v>0.88</v>
      </c>
      <c r="O3" s="100">
        <f>'March  2026'!AC3</f>
        <v>145</v>
      </c>
      <c r="P3" s="100">
        <f>'March  2026'!AD3</f>
        <v>239</v>
      </c>
    </row>
    <row r="4" spans="1:16" ht="15" x14ac:dyDescent="0.25">
      <c r="A4" s="95" t="s">
        <v>37</v>
      </c>
      <c r="B4" s="5">
        <f t="shared" ref="B4:B29" si="0">B3+1</f>
        <v>3</v>
      </c>
      <c r="C4" s="122">
        <v>3</v>
      </c>
      <c r="D4" s="4">
        <v>2026</v>
      </c>
      <c r="E4" s="96">
        <f>IF('March  2026'!C4&lt;0,"0",'March  2026'!C4)+(IF('March  2026'!E4&lt;0,"0",'March  2026'!E4)-(IF('March  2026'!G4&lt;0,"0",'March  2026'!G4)))</f>
        <v>4935</v>
      </c>
      <c r="F4" s="110">
        <f>('March  2026'!C4*0.27)/('March  2026'!C4+'March  2026'!E4)</f>
        <v>0.20500303951367782</v>
      </c>
      <c r="G4" s="97">
        <f>'March  2026'!U4</f>
        <v>100</v>
      </c>
      <c r="H4" s="113">
        <v>0.62</v>
      </c>
      <c r="I4" s="98">
        <f>'March  2026'!W4</f>
        <v>2</v>
      </c>
      <c r="J4" s="99">
        <v>2.42</v>
      </c>
      <c r="K4" s="106">
        <f>'March  2026'!AB4*5.04</f>
        <v>0</v>
      </c>
      <c r="L4" s="116">
        <v>0.11509999999999999</v>
      </c>
      <c r="M4" s="107">
        <f>'March  2026'!N4</f>
        <v>591</v>
      </c>
      <c r="N4" s="119">
        <v>0.88</v>
      </c>
      <c r="O4" s="100">
        <f>'March  2026'!AC4</f>
        <v>134</v>
      </c>
      <c r="P4" s="100">
        <f>'March  2026'!AD4</f>
        <v>218</v>
      </c>
    </row>
    <row r="5" spans="1:16" ht="15" x14ac:dyDescent="0.25">
      <c r="A5" s="95" t="s">
        <v>37</v>
      </c>
      <c r="B5" s="5">
        <f t="shared" si="0"/>
        <v>4</v>
      </c>
      <c r="C5" s="122">
        <v>3</v>
      </c>
      <c r="D5" s="4">
        <v>2026</v>
      </c>
      <c r="E5" s="96">
        <f>IF('March  2026'!C5&lt;0,"0",'March  2026'!C5)+(IF('March  2026'!E5&lt;0,"0",'March  2026'!E5)-(IF('March  2026'!G5&lt;0,"0",'March  2026'!G5)))</f>
        <v>5065</v>
      </c>
      <c r="F5" s="110">
        <f>('March  2026'!C5*0.27)/('March  2026'!C5+'March  2026'!E5)</f>
        <v>0.20960315893385983</v>
      </c>
      <c r="G5" s="97">
        <f>'March  2026'!U5</f>
        <v>75</v>
      </c>
      <c r="H5" s="113">
        <v>0.62</v>
      </c>
      <c r="I5" s="98">
        <f>'March  2026'!W5</f>
        <v>56</v>
      </c>
      <c r="J5" s="99">
        <v>2.42</v>
      </c>
      <c r="K5" s="106">
        <f>'March  2026'!AB5*5.04</f>
        <v>0</v>
      </c>
      <c r="L5" s="116">
        <v>0.11509999999999999</v>
      </c>
      <c r="M5" s="107">
        <f>'March  2026'!N5</f>
        <v>486</v>
      </c>
      <c r="N5" s="119">
        <v>0.88</v>
      </c>
      <c r="O5" s="100">
        <f>'March  2026'!AC5</f>
        <v>115</v>
      </c>
      <c r="P5" s="100">
        <f>'March  2026'!AD5</f>
        <v>184</v>
      </c>
    </row>
    <row r="6" spans="1:16" ht="15" x14ac:dyDescent="0.25">
      <c r="A6" s="95" t="s">
        <v>37</v>
      </c>
      <c r="B6" s="5">
        <f t="shared" si="0"/>
        <v>5</v>
      </c>
      <c r="C6" s="122">
        <v>3</v>
      </c>
      <c r="D6" s="4">
        <v>2026</v>
      </c>
      <c r="E6" s="96">
        <f>IF('March  2026'!C6&lt;0,"0",'March  2026'!C6)+(IF('March  2026'!E6&lt;0,"0",'March  2026'!E6)-(IF('March  2026'!G6&lt;0,"0",'March  2026'!G6)))</f>
        <v>4578</v>
      </c>
      <c r="F6" s="110">
        <f>('March  2026'!C6*0.27)/('March  2026'!C6+'March  2026'!E6)</f>
        <v>0.19704456094364353</v>
      </c>
      <c r="G6" s="97">
        <f>'March  2026'!U6</f>
        <v>0</v>
      </c>
      <c r="H6" s="113">
        <v>0.62</v>
      </c>
      <c r="I6" s="98">
        <f>'March  2026'!W6</f>
        <v>17</v>
      </c>
      <c r="J6" s="99">
        <v>2.42</v>
      </c>
      <c r="K6" s="106">
        <f>'March  2026'!AB6*5.04</f>
        <v>0</v>
      </c>
      <c r="L6" s="116">
        <v>0.11509999999999999</v>
      </c>
      <c r="M6" s="107">
        <f>'March  2026'!N6</f>
        <v>456</v>
      </c>
      <c r="N6" s="119">
        <v>0.88</v>
      </c>
      <c r="O6" s="100">
        <f>'March  2026'!AC6</f>
        <v>92</v>
      </c>
      <c r="P6" s="100">
        <f>'March  2026'!AD6</f>
        <v>143</v>
      </c>
    </row>
    <row r="7" spans="1:16" ht="15" x14ac:dyDescent="0.25">
      <c r="A7" s="95" t="s">
        <v>37</v>
      </c>
      <c r="B7" s="5">
        <f t="shared" si="0"/>
        <v>6</v>
      </c>
      <c r="C7" s="122">
        <v>3</v>
      </c>
      <c r="D7" s="4">
        <v>2026</v>
      </c>
      <c r="E7" s="96">
        <f>IF('March  2026'!C7&lt;0,"0",'March  2026'!C7)+(IF('March  2026'!E7&lt;0,"0",'March  2026'!E7)-(IF('March  2026'!G7&lt;0,"0",'March  2026'!G7)))</f>
        <v>4639</v>
      </c>
      <c r="F7" s="110">
        <f>('March  2026'!C7*0.27)/('March  2026'!C7+'March  2026'!E7)</f>
        <v>0.22105195085147661</v>
      </c>
      <c r="G7" s="97">
        <f>'March  2026'!U7</f>
        <v>150</v>
      </c>
      <c r="H7" s="113">
        <v>0.62</v>
      </c>
      <c r="I7" s="98">
        <f>'March  2026'!W7</f>
        <v>12</v>
      </c>
      <c r="J7" s="99">
        <v>2.42</v>
      </c>
      <c r="K7" s="106">
        <f>'March  2026'!AB7*5.04</f>
        <v>0</v>
      </c>
      <c r="L7" s="116">
        <v>0.11509999999999999</v>
      </c>
      <c r="M7" s="107">
        <f>'March  2026'!N7</f>
        <v>430</v>
      </c>
      <c r="N7" s="119">
        <v>0.88</v>
      </c>
      <c r="O7" s="100">
        <f>'March  2026'!AC7</f>
        <v>92</v>
      </c>
      <c r="P7" s="100">
        <f>'March  2026'!AD7</f>
        <v>143</v>
      </c>
    </row>
    <row r="8" spans="1:16" ht="15" x14ac:dyDescent="0.25">
      <c r="A8" s="95" t="s">
        <v>37</v>
      </c>
      <c r="B8" s="5">
        <f t="shared" si="0"/>
        <v>7</v>
      </c>
      <c r="C8" s="122">
        <v>3</v>
      </c>
      <c r="D8" s="4">
        <v>2026</v>
      </c>
      <c r="E8" s="96">
        <f>IF('March  2026'!C8&lt;0,"0",'March  2026'!C8)+(IF('March  2026'!E8&lt;0,"0",'March  2026'!E8)-(IF('March  2026'!G8&lt;0,"0",'March  2026'!G8)))</f>
        <v>4657</v>
      </c>
      <c r="F8" s="110">
        <f>('March  2026'!C8*0.27)/('March  2026'!C8+'March  2026'!E8)</f>
        <v>0.21457375993128625</v>
      </c>
      <c r="G8" s="97">
        <f>'March  2026'!U8</f>
        <v>0</v>
      </c>
      <c r="H8" s="113">
        <v>0.62</v>
      </c>
      <c r="I8" s="98">
        <f>'March  2026'!W8</f>
        <v>10</v>
      </c>
      <c r="J8" s="99">
        <v>2.42</v>
      </c>
      <c r="K8" s="106">
        <f>'March  2026'!AB8*5.04</f>
        <v>0</v>
      </c>
      <c r="L8" s="116">
        <v>0.11509999999999999</v>
      </c>
      <c r="M8" s="107">
        <f>'March  2026'!N8</f>
        <v>480</v>
      </c>
      <c r="N8" s="119">
        <v>0.88</v>
      </c>
      <c r="O8" s="100">
        <f>'March  2026'!AC8</f>
        <v>113</v>
      </c>
      <c r="P8" s="100">
        <f>'March  2026'!AD8</f>
        <v>172</v>
      </c>
    </row>
    <row r="9" spans="1:16" ht="15" x14ac:dyDescent="0.25">
      <c r="A9" s="95" t="s">
        <v>37</v>
      </c>
      <c r="B9" s="5">
        <f t="shared" si="0"/>
        <v>8</v>
      </c>
      <c r="C9" s="122">
        <v>3</v>
      </c>
      <c r="D9" s="4">
        <v>2026</v>
      </c>
      <c r="E9" s="96">
        <f>IF('March  2026'!C9&lt;0,"0",'March  2026'!C9)+(IF('March  2026'!E9&lt;0,"0",'March  2026'!E9)-(IF('March  2026'!G9&lt;0,"0",'March  2026'!G9)))</f>
        <v>4729</v>
      </c>
      <c r="F9" s="110">
        <f>('March  2026'!C9*0.27)/('March  2026'!C9+'March  2026'!E9)</f>
        <v>0.19669063226897865</v>
      </c>
      <c r="G9" s="97">
        <f>'March  2026'!U9</f>
        <v>175</v>
      </c>
      <c r="H9" s="113">
        <v>0.62</v>
      </c>
      <c r="I9" s="98">
        <f>'March  2026'!W9</f>
        <v>9</v>
      </c>
      <c r="J9" s="99">
        <v>2.42</v>
      </c>
      <c r="K9" s="106">
        <f>'March  2026'!AB9*5.04</f>
        <v>0</v>
      </c>
      <c r="L9" s="116">
        <v>0.11509999999999999</v>
      </c>
      <c r="M9" s="107">
        <f>'March  2026'!N9</f>
        <v>469</v>
      </c>
      <c r="N9" s="119">
        <v>0.88</v>
      </c>
      <c r="O9" s="100">
        <f>'March  2026'!AC9</f>
        <v>97</v>
      </c>
      <c r="P9" s="100">
        <f>'March  2026'!AD9</f>
        <v>148</v>
      </c>
    </row>
    <row r="10" spans="1:16" ht="15" x14ac:dyDescent="0.25">
      <c r="A10" s="95" t="s">
        <v>37</v>
      </c>
      <c r="B10" s="5">
        <f t="shared" si="0"/>
        <v>9</v>
      </c>
      <c r="C10" s="122">
        <v>3</v>
      </c>
      <c r="D10" s="4">
        <v>2026</v>
      </c>
      <c r="E10" s="96">
        <f>IF('March  2026'!C10&lt;0,"0",'March  2026'!C10)+(IF('March  2026'!E10&lt;0,"0",'March  2026'!E10)-(IF('March  2026'!G10&lt;0,"0",'March  2026'!G10)))</f>
        <v>0</v>
      </c>
      <c r="F10" s="110" t="e">
        <f>('March  2026'!C10*0.27)/('March  2026'!C10+'March  2026'!E10)</f>
        <v>#DIV/0!</v>
      </c>
      <c r="G10" s="97" t="str">
        <f>'March  2026'!U10</f>
        <v>0</v>
      </c>
      <c r="H10" s="113">
        <v>0.62</v>
      </c>
      <c r="I10" s="98" t="str">
        <f>'March  2026'!W10</f>
        <v>0</v>
      </c>
      <c r="J10" s="99">
        <v>2.42</v>
      </c>
      <c r="K10" s="106">
        <f>'March  2026'!AB10*5.04</f>
        <v>0</v>
      </c>
      <c r="L10" s="116">
        <v>0.11509999999999999</v>
      </c>
      <c r="M10" s="107" t="str">
        <f>'March  2026'!N10</f>
        <v>0</v>
      </c>
      <c r="N10" s="119">
        <v>0.88</v>
      </c>
      <c r="O10" s="100">
        <f>'March  2026'!AC10</f>
        <v>54</v>
      </c>
      <c r="P10" s="100">
        <f>'March  2026'!AD10</f>
        <v>82</v>
      </c>
    </row>
    <row r="11" spans="1:16" ht="15" x14ac:dyDescent="0.25">
      <c r="A11" s="95" t="s">
        <v>37</v>
      </c>
      <c r="B11" s="5">
        <f t="shared" si="0"/>
        <v>10</v>
      </c>
      <c r="C11" s="122">
        <v>3</v>
      </c>
      <c r="D11" s="4">
        <v>2026</v>
      </c>
      <c r="E11" s="96">
        <f>IF('March  2026'!C11&lt;0,"0",'March  2026'!C11)+(IF('March  2026'!E11&lt;0,"0",'March  2026'!E11)-(IF('March  2026'!G11&lt;0,"0",'March  2026'!G11)))</f>
        <v>0</v>
      </c>
      <c r="F11" s="110" t="e">
        <f>('March  2026'!C11*0.27)/('March  2026'!C11+'March  2026'!E11)</f>
        <v>#DIV/0!</v>
      </c>
      <c r="G11" s="97" t="str">
        <f>'March  2026'!U11</f>
        <v>0</v>
      </c>
      <c r="H11" s="113">
        <v>0.62</v>
      </c>
      <c r="I11" s="98">
        <f>'March  2026'!W11</f>
        <v>0</v>
      </c>
      <c r="J11" s="99">
        <v>2.42</v>
      </c>
      <c r="K11" s="106">
        <f>'March  2026'!AB11*5.04</f>
        <v>0</v>
      </c>
      <c r="L11" s="116">
        <v>0.11509999999999999</v>
      </c>
      <c r="M11" s="107" t="str">
        <f>'March  2026'!N11</f>
        <v>0</v>
      </c>
      <c r="N11" s="119">
        <v>0.88</v>
      </c>
      <c r="O11" s="100">
        <f>'March  2026'!AC11</f>
        <v>0</v>
      </c>
      <c r="P11" s="100">
        <f>'March  2026'!AD11</f>
        <v>0</v>
      </c>
    </row>
    <row r="12" spans="1:16" ht="15" x14ac:dyDescent="0.25">
      <c r="A12" s="95" t="s">
        <v>37</v>
      </c>
      <c r="B12" s="5">
        <f t="shared" si="0"/>
        <v>11</v>
      </c>
      <c r="C12" s="122">
        <v>3</v>
      </c>
      <c r="D12" s="4">
        <v>2026</v>
      </c>
      <c r="E12" s="96">
        <f>IF('March  2026'!C12&lt;0,"0",'March  2026'!C12)+(IF('March  2026'!E12&lt;0,"0",'March  2026'!E12)-(IF('March  2026'!G12&lt;0,"0",'March  2026'!G12)))</f>
        <v>0</v>
      </c>
      <c r="F12" s="110" t="e">
        <f>('March  2026'!C12*0.27)/('March  2026'!C12+'March  2026'!E12)</f>
        <v>#DIV/0!</v>
      </c>
      <c r="G12" s="97" t="str">
        <f>'March  2026'!U12</f>
        <v>0</v>
      </c>
      <c r="H12" s="113">
        <v>0.62</v>
      </c>
      <c r="I12" s="98">
        <f>'March  2026'!W12</f>
        <v>0</v>
      </c>
      <c r="J12" s="99">
        <v>2.42</v>
      </c>
      <c r="K12" s="106">
        <f>'March  2026'!AB12*5.04</f>
        <v>0</v>
      </c>
      <c r="L12" s="116">
        <v>0.11509999999999999</v>
      </c>
      <c r="M12" s="107" t="str">
        <f>'March  2026'!N12</f>
        <v>0</v>
      </c>
      <c r="N12" s="119">
        <v>0.88</v>
      </c>
      <c r="O12" s="100">
        <f>'March  2026'!AC12</f>
        <v>0</v>
      </c>
      <c r="P12" s="100">
        <f>'March  2026'!AD12</f>
        <v>0</v>
      </c>
    </row>
    <row r="13" spans="1:16" ht="15" x14ac:dyDescent="0.25">
      <c r="A13" s="95" t="s">
        <v>37</v>
      </c>
      <c r="B13" s="5">
        <f t="shared" si="0"/>
        <v>12</v>
      </c>
      <c r="C13" s="122">
        <v>3</v>
      </c>
      <c r="D13" s="4">
        <v>2026</v>
      </c>
      <c r="E13" s="96">
        <f>IF('March  2026'!C13&lt;0,"0",'March  2026'!C13)+(IF('March  2026'!E13&lt;0,"0",'March  2026'!E13)-(IF('March  2026'!G13&lt;0,"0",'March  2026'!G13)))</f>
        <v>0</v>
      </c>
      <c r="F13" s="110" t="e">
        <f>('March  2026'!C13*0.27)/('March  2026'!C13+'March  2026'!E13)</f>
        <v>#DIV/0!</v>
      </c>
      <c r="G13" s="97" t="str">
        <f>'March  2026'!U13</f>
        <v>0</v>
      </c>
      <c r="H13" s="113">
        <v>0.62</v>
      </c>
      <c r="I13" s="98">
        <f>'March  2026'!W13</f>
        <v>0</v>
      </c>
      <c r="J13" s="99">
        <v>2.42</v>
      </c>
      <c r="K13" s="106">
        <f>'March  2026'!AB13*5.04</f>
        <v>0</v>
      </c>
      <c r="L13" s="116">
        <v>0.11509999999999999</v>
      </c>
      <c r="M13" s="107" t="str">
        <f>'March  2026'!N13</f>
        <v>0</v>
      </c>
      <c r="N13" s="119">
        <v>0.88</v>
      </c>
      <c r="O13" s="100">
        <f>'March  2026'!AC13</f>
        <v>0</v>
      </c>
      <c r="P13" s="100">
        <f>'March  2026'!AD13</f>
        <v>0</v>
      </c>
    </row>
    <row r="14" spans="1:16" ht="15" x14ac:dyDescent="0.25">
      <c r="A14" s="95" t="s">
        <v>37</v>
      </c>
      <c r="B14" s="5">
        <f t="shared" si="0"/>
        <v>13</v>
      </c>
      <c r="C14" s="122">
        <v>3</v>
      </c>
      <c r="D14" s="4">
        <v>2026</v>
      </c>
      <c r="E14" s="96">
        <f>IF('March  2026'!C14&lt;0,"0",'March  2026'!C14)+(IF('March  2026'!E14&lt;0,"0",'March  2026'!E14)-(IF('March  2026'!G14&lt;0,"0",'March  2026'!G14)))</f>
        <v>0</v>
      </c>
      <c r="F14" s="110" t="e">
        <f>('March  2026'!C14*0.27)/('March  2026'!C14+'March  2026'!E14)</f>
        <v>#DIV/0!</v>
      </c>
      <c r="G14" s="97" t="str">
        <f>'March  2026'!U14</f>
        <v>0</v>
      </c>
      <c r="H14" s="113">
        <v>0.62</v>
      </c>
      <c r="I14" s="98">
        <f>'March  2026'!W14</f>
        <v>0</v>
      </c>
      <c r="J14" s="99">
        <v>2.42</v>
      </c>
      <c r="K14" s="106">
        <f>'March  2026'!AB14*5.04</f>
        <v>0</v>
      </c>
      <c r="L14" s="116">
        <v>0.11509999999999999</v>
      </c>
      <c r="M14" s="107" t="str">
        <f>'March  2026'!N14</f>
        <v>0</v>
      </c>
      <c r="N14" s="119">
        <v>0.88</v>
      </c>
      <c r="O14" s="100">
        <f>'March  2026'!AC14</f>
        <v>0</v>
      </c>
      <c r="P14" s="100">
        <f>'March  2026'!AD14</f>
        <v>0</v>
      </c>
    </row>
    <row r="15" spans="1:16" ht="15" x14ac:dyDescent="0.25">
      <c r="A15" s="95" t="s">
        <v>37</v>
      </c>
      <c r="B15" s="5">
        <f t="shared" si="0"/>
        <v>14</v>
      </c>
      <c r="C15" s="122">
        <v>3</v>
      </c>
      <c r="D15" s="4">
        <v>2026</v>
      </c>
      <c r="E15" s="96">
        <f>IF('March  2026'!C15&lt;0,"0",'March  2026'!C15)+(IF('March  2026'!E15&lt;0,"0",'March  2026'!E15)-(IF('March  2026'!G15&lt;0,"0",'March  2026'!G15)))</f>
        <v>0</v>
      </c>
      <c r="F15" s="110" t="e">
        <f>('March  2026'!C15*0.27)/('March  2026'!C15+'March  2026'!E15)</f>
        <v>#DIV/0!</v>
      </c>
      <c r="G15" s="97" t="str">
        <f>'March  2026'!U15</f>
        <v>0</v>
      </c>
      <c r="H15" s="113">
        <v>0.62</v>
      </c>
      <c r="I15" s="98">
        <f>'March  2026'!W15</f>
        <v>0</v>
      </c>
      <c r="J15" s="99">
        <v>2.42</v>
      </c>
      <c r="K15" s="106">
        <f>'March  2026'!AB15*5.04</f>
        <v>0</v>
      </c>
      <c r="L15" s="116">
        <v>0.11509999999999999</v>
      </c>
      <c r="M15" s="107" t="str">
        <f>'March  2026'!N15</f>
        <v>0</v>
      </c>
      <c r="N15" s="119">
        <v>0.88</v>
      </c>
      <c r="O15" s="100">
        <f>'March  2026'!AC15</f>
        <v>0</v>
      </c>
      <c r="P15" s="100">
        <f>'March  2026'!AD15</f>
        <v>0</v>
      </c>
    </row>
    <row r="16" spans="1:16" ht="15" x14ac:dyDescent="0.25">
      <c r="A16" s="95" t="s">
        <v>37</v>
      </c>
      <c r="B16" s="5">
        <f t="shared" si="0"/>
        <v>15</v>
      </c>
      <c r="C16" s="122">
        <v>3</v>
      </c>
      <c r="D16" s="4">
        <v>2026</v>
      </c>
      <c r="E16" s="96">
        <f>IF('March  2026'!C16&lt;0,"0",'March  2026'!C16)+(IF('March  2026'!E16&lt;0,"0",'March  2026'!E16)-(IF('March  2026'!G16&lt;0,"0",'March  2026'!G16)))</f>
        <v>0</v>
      </c>
      <c r="F16" s="110" t="e">
        <f>('March  2026'!C16*0.27)/('March  2026'!C16+'March  2026'!E16)</f>
        <v>#DIV/0!</v>
      </c>
      <c r="G16" s="97" t="str">
        <f>'March  2026'!U16</f>
        <v>0</v>
      </c>
      <c r="H16" s="113">
        <v>0.62</v>
      </c>
      <c r="I16" s="98">
        <f>'March  2026'!W16</f>
        <v>0</v>
      </c>
      <c r="J16" s="99">
        <v>2.42</v>
      </c>
      <c r="K16" s="106">
        <f>'March  2026'!AB16*5.04</f>
        <v>0</v>
      </c>
      <c r="L16" s="116">
        <v>0.11509999999999999</v>
      </c>
      <c r="M16" s="107" t="str">
        <f>'March  2026'!N16</f>
        <v>0</v>
      </c>
      <c r="N16" s="119">
        <v>0.88</v>
      </c>
      <c r="O16" s="100">
        <f>'March  2026'!AC16</f>
        <v>0</v>
      </c>
      <c r="P16" s="100">
        <f>'March  2026'!AD16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3</v>
      </c>
      <c r="D17" s="4">
        <v>2026</v>
      </c>
      <c r="E17" s="96">
        <f>IF('March  2026'!C17&lt;0,"0",'March  2026'!C17)+(IF('March  2026'!E17&lt;0,"0",'March  2026'!E17)-(IF('March  2026'!G17&lt;0,"0",'March  2026'!G17)))</f>
        <v>0</v>
      </c>
      <c r="F17" s="110" t="e">
        <f>('March  2026'!C17*0.27)/('March  2026'!C17+'March  2026'!E17)</f>
        <v>#DIV/0!</v>
      </c>
      <c r="G17" s="97" t="str">
        <f>'March  2026'!U17</f>
        <v>0</v>
      </c>
      <c r="H17" s="113">
        <v>0.62</v>
      </c>
      <c r="I17" s="98">
        <f>'March  2026'!W17</f>
        <v>0</v>
      </c>
      <c r="J17" s="99">
        <v>2.42</v>
      </c>
      <c r="K17" s="106">
        <f>'March  2026'!AB17*5.04</f>
        <v>0</v>
      </c>
      <c r="L17" s="116">
        <v>0.11509999999999999</v>
      </c>
      <c r="M17" s="107" t="str">
        <f>'March  2026'!N17</f>
        <v>0</v>
      </c>
      <c r="N17" s="119">
        <v>0.88</v>
      </c>
      <c r="O17" s="100">
        <f>'March  2026'!AC17</f>
        <v>0</v>
      </c>
      <c r="P17" s="100">
        <f>'March  2026'!AD17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3</v>
      </c>
      <c r="D18" s="4">
        <v>2026</v>
      </c>
      <c r="E18" s="96">
        <f>IF('March  2026'!C18&lt;0,"0",'March  2026'!C18)+(IF('March  2026'!E18&lt;0,"0",'March  2026'!E18)-(IF('March  2026'!G18&lt;0,"0",'March  2026'!G18)))</f>
        <v>0</v>
      </c>
      <c r="F18" s="110" t="e">
        <f>('March  2026'!C18*0.27)/('March  2026'!C18+'March  2026'!E18)</f>
        <v>#DIV/0!</v>
      </c>
      <c r="G18" s="97" t="str">
        <f>'March  2026'!U18</f>
        <v>0</v>
      </c>
      <c r="H18" s="113">
        <v>0.62</v>
      </c>
      <c r="I18" s="98">
        <f>'March  2026'!W18</f>
        <v>0</v>
      </c>
      <c r="J18" s="99">
        <v>2.42</v>
      </c>
      <c r="K18" s="106">
        <f>'March  2026'!AB18*5.04</f>
        <v>0</v>
      </c>
      <c r="L18" s="116">
        <v>0.11509999999999999</v>
      </c>
      <c r="M18" s="107" t="str">
        <f>'March  2026'!N18</f>
        <v>0</v>
      </c>
      <c r="N18" s="119">
        <v>0.88</v>
      </c>
      <c r="O18" s="100">
        <f>'March  2026'!AC18</f>
        <v>0</v>
      </c>
      <c r="P18" s="100">
        <f>'March  2026'!AD18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3</v>
      </c>
      <c r="D19" s="4">
        <v>2026</v>
      </c>
      <c r="E19" s="96">
        <f>IF('March  2026'!C19&lt;0,"0",'March  2026'!C19)+(IF('March  2026'!E19&lt;0,"0",'March  2026'!E19)-(IF('March  2026'!G19&lt;0,"0",'March  2026'!G19)))</f>
        <v>0</v>
      </c>
      <c r="F19" s="110" t="e">
        <f>('March  2026'!C19*0.27)/('March  2026'!C19+'March  2026'!E19)</f>
        <v>#DIV/0!</v>
      </c>
      <c r="G19" s="97" t="str">
        <f>'March  2026'!U19</f>
        <v>0</v>
      </c>
      <c r="H19" s="113">
        <v>0.62</v>
      </c>
      <c r="I19" s="98">
        <f>'March  2026'!W19</f>
        <v>0</v>
      </c>
      <c r="J19" s="99">
        <v>2.42</v>
      </c>
      <c r="K19" s="106">
        <f>'March  2026'!AB19*5.04</f>
        <v>0</v>
      </c>
      <c r="L19" s="116">
        <v>0.11509999999999999</v>
      </c>
      <c r="M19" s="107" t="str">
        <f>'March  2026'!N19</f>
        <v>0</v>
      </c>
      <c r="N19" s="119">
        <v>0.88</v>
      </c>
      <c r="O19" s="100">
        <f>'March  2026'!AC19</f>
        <v>0</v>
      </c>
      <c r="P19" s="100">
        <f>'March  2026'!AD19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3</v>
      </c>
      <c r="D20" s="4">
        <v>2026</v>
      </c>
      <c r="E20" s="96">
        <f>IF('March  2026'!C20&lt;0,"0",'March  2026'!C20)+(IF('March  2026'!E20&lt;0,"0",'March  2026'!E20)-(IF('March  2026'!G20&lt;0,"0",'March  2026'!G20)))</f>
        <v>0</v>
      </c>
      <c r="F20" s="110" t="e">
        <f>('March  2026'!C20*0.27)/('March  2026'!C20+'March  2026'!E20)</f>
        <v>#DIV/0!</v>
      </c>
      <c r="G20" s="97" t="str">
        <f>'March  2026'!U20</f>
        <v>0</v>
      </c>
      <c r="H20" s="113">
        <v>0.62</v>
      </c>
      <c r="I20" s="98">
        <f>'March  2026'!W20</f>
        <v>0</v>
      </c>
      <c r="J20" s="99">
        <v>2.42</v>
      </c>
      <c r="K20" s="106">
        <f>'March  2026'!AB20*5.04</f>
        <v>0</v>
      </c>
      <c r="L20" s="116">
        <v>0.11509999999999999</v>
      </c>
      <c r="M20" s="107" t="str">
        <f>'March  2026'!N20</f>
        <v>0</v>
      </c>
      <c r="N20" s="119">
        <v>0.88</v>
      </c>
      <c r="O20" s="100">
        <f>'March  2026'!AC20</f>
        <v>0</v>
      </c>
      <c r="P20" s="100">
        <f>'March  2026'!AD20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3</v>
      </c>
      <c r="D21" s="4">
        <v>2026</v>
      </c>
      <c r="E21" s="96">
        <f>IF('March  2026'!C21&lt;0,"0",'March  2026'!C21)+(IF('March  2026'!E21&lt;0,"0",'March  2026'!E21)-(IF('March  2026'!G21&lt;0,"0",'March  2026'!G21)))</f>
        <v>0</v>
      </c>
      <c r="F21" s="110" t="e">
        <f>('March  2026'!C21*0.27)/('March  2026'!C21+'March  2026'!E21)</f>
        <v>#DIV/0!</v>
      </c>
      <c r="G21" s="97" t="str">
        <f>'March  2026'!U21</f>
        <v>0</v>
      </c>
      <c r="H21" s="113">
        <v>0.62</v>
      </c>
      <c r="I21" s="98">
        <f>'March  2026'!W21</f>
        <v>0</v>
      </c>
      <c r="J21" s="99">
        <v>2.42</v>
      </c>
      <c r="K21" s="106">
        <f>'March  2026'!AB21*5.04</f>
        <v>0</v>
      </c>
      <c r="L21" s="116">
        <v>0.11509999999999999</v>
      </c>
      <c r="M21" s="107" t="str">
        <f>'March  2026'!N21</f>
        <v>0</v>
      </c>
      <c r="N21" s="119">
        <v>0.88</v>
      </c>
      <c r="O21" s="100">
        <f>'March  2026'!AC21</f>
        <v>0</v>
      </c>
      <c r="P21" s="100">
        <f>'March  2026'!AD21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3</v>
      </c>
      <c r="D22" s="4">
        <v>2026</v>
      </c>
      <c r="E22" s="96">
        <f>IF('March  2026'!C22&lt;0,"0",'March  2026'!C22)+(IF('March  2026'!E22&lt;0,"0",'March  2026'!E22)-(IF('March  2026'!G22&lt;0,"0",'March  2026'!G22)))</f>
        <v>0</v>
      </c>
      <c r="F22" s="110" t="e">
        <f>('March  2026'!C22*0.27)/('March  2026'!C22+'March  2026'!E22)</f>
        <v>#DIV/0!</v>
      </c>
      <c r="G22" s="97" t="str">
        <f>'March  2026'!U22</f>
        <v>0</v>
      </c>
      <c r="H22" s="113">
        <v>0.62</v>
      </c>
      <c r="I22" s="98">
        <f>'March  2026'!W22</f>
        <v>0</v>
      </c>
      <c r="J22" s="99">
        <v>2.42</v>
      </c>
      <c r="K22" s="106">
        <f>'March  2026'!AB22*5.04</f>
        <v>0</v>
      </c>
      <c r="L22" s="116">
        <v>0.11509999999999999</v>
      </c>
      <c r="M22" s="107" t="str">
        <f>'March  2026'!N22</f>
        <v>0</v>
      </c>
      <c r="N22" s="119">
        <v>0.88</v>
      </c>
      <c r="O22" s="100">
        <f>'March  2026'!AC22</f>
        <v>0</v>
      </c>
      <c r="P22" s="100">
        <f>'March  2026'!AD22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3</v>
      </c>
      <c r="D23" s="4">
        <v>2026</v>
      </c>
      <c r="E23" s="96">
        <f>IF('March  2026'!C23&lt;0,"0",'March  2026'!C23)+(IF('March  2026'!E23&lt;0,"0",'March  2026'!E23)-(IF('March  2026'!G23&lt;0,"0",'March  2026'!G23)))</f>
        <v>0</v>
      </c>
      <c r="F23" s="110" t="e">
        <f>('March  2026'!C23*0.27)/('March  2026'!C23+'March  2026'!E23)</f>
        <v>#DIV/0!</v>
      </c>
      <c r="G23" s="97" t="str">
        <f>'March  2026'!U23</f>
        <v>0</v>
      </c>
      <c r="H23" s="113">
        <v>0.62</v>
      </c>
      <c r="I23" s="98">
        <f>'March  2026'!W23</f>
        <v>0</v>
      </c>
      <c r="J23" s="99">
        <v>2.42</v>
      </c>
      <c r="K23" s="106">
        <f>'March  2026'!AB23*5.04</f>
        <v>0</v>
      </c>
      <c r="L23" s="116">
        <v>0.11509999999999999</v>
      </c>
      <c r="M23" s="107" t="str">
        <f>'March  2026'!N23</f>
        <v>0</v>
      </c>
      <c r="N23" s="119">
        <v>0.88</v>
      </c>
      <c r="O23" s="100">
        <f>'March  2026'!AC23</f>
        <v>0</v>
      </c>
      <c r="P23" s="100">
        <f>'March  2026'!AD23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3</v>
      </c>
      <c r="D24" s="4">
        <v>2026</v>
      </c>
      <c r="E24" s="96">
        <f>IF('March  2026'!C24&lt;0,"0",'March  2026'!C24)+(IF('March  2026'!E24&lt;0,"0",'March  2026'!E24)-(IF('March  2026'!G24&lt;0,"0",'March  2026'!G24)))</f>
        <v>0</v>
      </c>
      <c r="F24" s="110" t="e">
        <f>('March  2026'!C24*0.27)/('March  2026'!C24+'March  2026'!E24)</f>
        <v>#DIV/0!</v>
      </c>
      <c r="G24" s="97" t="str">
        <f>'March  2026'!U24</f>
        <v>0</v>
      </c>
      <c r="H24" s="113">
        <v>0.62</v>
      </c>
      <c r="I24" s="98">
        <f>'March  2026'!W24</f>
        <v>0</v>
      </c>
      <c r="J24" s="99">
        <v>2.42</v>
      </c>
      <c r="K24" s="106">
        <f>'March  2026'!AB24*5.04</f>
        <v>0</v>
      </c>
      <c r="L24" s="116">
        <v>0.11509999999999999</v>
      </c>
      <c r="M24" s="107" t="str">
        <f>'March  2026'!N24</f>
        <v>0</v>
      </c>
      <c r="N24" s="119">
        <v>0.88</v>
      </c>
      <c r="O24" s="100">
        <f>'March  2026'!AC24</f>
        <v>0</v>
      </c>
      <c r="P24" s="100">
        <f>'March  2026'!AD24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3</v>
      </c>
      <c r="D25" s="4">
        <v>2026</v>
      </c>
      <c r="E25" s="96">
        <f>IF('March  2026'!C25&lt;0,"0",'March  2026'!C25)+(IF('March  2026'!E25&lt;0,"0",'March  2026'!E25)-(IF('March  2026'!G25&lt;0,"0",'March  2026'!G25)))</f>
        <v>0</v>
      </c>
      <c r="F25" s="110" t="e">
        <f>('March  2026'!C25*0.27)/('March  2026'!C25+'March  2026'!E25)</f>
        <v>#DIV/0!</v>
      </c>
      <c r="G25" s="97" t="str">
        <f>'March  2026'!U25</f>
        <v>0</v>
      </c>
      <c r="H25" s="113">
        <v>0.62</v>
      </c>
      <c r="I25" s="98">
        <f>'March  2026'!W25</f>
        <v>0</v>
      </c>
      <c r="J25" s="99">
        <v>2.42</v>
      </c>
      <c r="K25" s="106">
        <f>'March  2026'!AB25*5.04</f>
        <v>0</v>
      </c>
      <c r="L25" s="116">
        <v>0.11509999999999999</v>
      </c>
      <c r="M25" s="107" t="str">
        <f>'March  2026'!N25</f>
        <v>0</v>
      </c>
      <c r="N25" s="119">
        <v>0.88</v>
      </c>
      <c r="O25" s="100">
        <f>'March  2026'!AC25</f>
        <v>0</v>
      </c>
      <c r="P25" s="100">
        <f>'March  2026'!AD25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3</v>
      </c>
      <c r="D26" s="4">
        <v>2026</v>
      </c>
      <c r="E26" s="96">
        <f>IF('March  2026'!C26&lt;0,"0",'March  2026'!C26)+(IF('March  2026'!E26&lt;0,"0",'March  2026'!E26)-(IF('March  2026'!G26&lt;0,"0",'March  2026'!G26)))</f>
        <v>0</v>
      </c>
      <c r="F26" s="110" t="e">
        <f>('March  2026'!C26*0.27)/('March  2026'!C26+'March  2026'!E26)</f>
        <v>#DIV/0!</v>
      </c>
      <c r="G26" s="97" t="str">
        <f>'March  2026'!U26</f>
        <v>0</v>
      </c>
      <c r="H26" s="113">
        <v>0.62</v>
      </c>
      <c r="I26" s="98">
        <f>'March  2026'!W26</f>
        <v>0</v>
      </c>
      <c r="J26" s="99">
        <v>2.42</v>
      </c>
      <c r="K26" s="106">
        <f>'March  2026'!AB26*5.04</f>
        <v>0</v>
      </c>
      <c r="L26" s="116">
        <v>0.11509999999999999</v>
      </c>
      <c r="M26" s="107" t="str">
        <f>'March  2026'!N26</f>
        <v>0</v>
      </c>
      <c r="N26" s="119">
        <v>0.88</v>
      </c>
      <c r="O26" s="100">
        <f>'March  2026'!AC26</f>
        <v>0</v>
      </c>
      <c r="P26" s="100">
        <f>'March  2026'!AD26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3</v>
      </c>
      <c r="D27" s="4">
        <v>2026</v>
      </c>
      <c r="E27" s="96">
        <f>IF('March  2026'!C27&lt;0,"0",'March  2026'!C27)+(IF('March  2026'!E27&lt;0,"0",'March  2026'!E27)-(IF('March  2026'!G27&lt;0,"0",'March  2026'!G27)))</f>
        <v>0</v>
      </c>
      <c r="F27" s="110" t="e">
        <f>('March  2026'!C27*0.27)/('March  2026'!C27+'March  2026'!E27)</f>
        <v>#DIV/0!</v>
      </c>
      <c r="G27" s="97" t="str">
        <f>'March  2026'!U27</f>
        <v>0</v>
      </c>
      <c r="H27" s="113">
        <v>0.62</v>
      </c>
      <c r="I27" s="98">
        <f>'March  2026'!W27</f>
        <v>0</v>
      </c>
      <c r="J27" s="99">
        <v>2.42</v>
      </c>
      <c r="K27" s="106">
        <f>'March  2026'!AB27*5.04</f>
        <v>0</v>
      </c>
      <c r="L27" s="116">
        <v>0.11509999999999999</v>
      </c>
      <c r="M27" s="107" t="str">
        <f>'March  2026'!N27</f>
        <v>0</v>
      </c>
      <c r="N27" s="119">
        <v>0.88</v>
      </c>
      <c r="O27" s="100">
        <f>'March  2026'!AC27</f>
        <v>0</v>
      </c>
      <c r="P27" s="100">
        <f>'March  2026'!AD27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3</v>
      </c>
      <c r="D28" s="4">
        <v>2026</v>
      </c>
      <c r="E28" s="96">
        <f>IF('March  2026'!C31&lt;0,"0",'March  2026'!C31)+(IF('March  2026'!E31&lt;0,"0",'March  2026'!E31)-(IF('March  2026'!G31&lt;0,"0",'March  2026'!G31)))</f>
        <v>0</v>
      </c>
      <c r="F28" s="110" t="e">
        <f>('March  2026'!C31*0.27)/('March  2026'!C31+'March  2026'!E31)</f>
        <v>#DIV/0!</v>
      </c>
      <c r="G28" s="97" t="str">
        <f>'March  2026'!U31</f>
        <v>0</v>
      </c>
      <c r="H28" s="113">
        <v>0.62</v>
      </c>
      <c r="I28" s="98">
        <f>'March  2026'!W31</f>
        <v>0</v>
      </c>
      <c r="J28" s="99">
        <v>2.42</v>
      </c>
      <c r="K28" s="106">
        <f>'March  2026'!AB31*5.04</f>
        <v>0</v>
      </c>
      <c r="L28" s="116">
        <v>0.11509999999999999</v>
      </c>
      <c r="M28" s="107" t="str">
        <f>'March  2026'!N31</f>
        <v>0</v>
      </c>
      <c r="N28" s="119">
        <v>0.88</v>
      </c>
      <c r="O28" s="100">
        <f>'March  2026'!AC31</f>
        <v>0</v>
      </c>
      <c r="P28" s="100">
        <f>'March  2026'!AD31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3</v>
      </c>
      <c r="D29" s="4">
        <v>2026</v>
      </c>
      <c r="E29" s="96">
        <f>IF('March  2026'!C32&lt;0,"0",'March  2026'!C32)+(IF('March  2026'!E32&lt;0,"0",'March  2026'!E32)-(IF('March  2026'!G32&lt;0,"0",'March  2026'!G32)))</f>
        <v>0</v>
      </c>
      <c r="F29" s="110" t="e">
        <f>('March  2026'!C32*0.27)/('March  2026'!C32+'March  2026'!E32)</f>
        <v>#DIV/0!</v>
      </c>
      <c r="G29" s="97" t="str">
        <f>'March  2026'!U32</f>
        <v>0</v>
      </c>
      <c r="H29" s="113">
        <v>0.62</v>
      </c>
      <c r="I29" s="98">
        <f>'March  2026'!W32</f>
        <v>0</v>
      </c>
      <c r="J29" s="99">
        <v>2.42</v>
      </c>
      <c r="K29" s="106">
        <f>'March  2026'!AB32*5.04</f>
        <v>0</v>
      </c>
      <c r="L29" s="116">
        <v>0.11509999999999999</v>
      </c>
      <c r="M29" s="107" t="str">
        <f>'March  2026'!N32</f>
        <v>0</v>
      </c>
      <c r="N29" s="119">
        <v>0.88</v>
      </c>
      <c r="O29" s="100">
        <f>'March  2026'!AC32</f>
        <v>0</v>
      </c>
      <c r="P29" s="100">
        <f>'March  2026'!AD32</f>
        <v>0</v>
      </c>
    </row>
    <row r="30" spans="1:16" x14ac:dyDescent="0.2">
      <c r="D30" s="101"/>
      <c r="F30" s="110"/>
      <c r="I30" s="99"/>
      <c r="J30" s="99"/>
      <c r="K30" s="106"/>
      <c r="L30" s="116"/>
      <c r="M30" s="107" t="str">
        <f>'March  2026'!N33</f>
        <v>0</v>
      </c>
      <c r="O30" s="102"/>
      <c r="P30" s="102"/>
    </row>
    <row r="31" spans="1:16" x14ac:dyDescent="0.2">
      <c r="D31" s="101"/>
      <c r="F31" s="110"/>
      <c r="I31" s="99"/>
      <c r="J31" s="99"/>
      <c r="K31" s="106"/>
      <c r="L31" s="116"/>
      <c r="O31" s="102"/>
      <c r="P31" s="102"/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F35" s="110"/>
      <c r="K35" s="106"/>
      <c r="L35" s="116"/>
    </row>
    <row r="36" spans="4:16" x14ac:dyDescent="0.2">
      <c r="F36" s="110"/>
      <c r="K36" s="106"/>
      <c r="L36" s="116"/>
    </row>
    <row r="37" spans="4:16" x14ac:dyDescent="0.2">
      <c r="F37" s="110"/>
      <c r="K37" s="106"/>
      <c r="L37" s="116"/>
    </row>
    <row r="38" spans="4:16" x14ac:dyDescent="0.2">
      <c r="F38" s="110"/>
      <c r="K38" s="106"/>
      <c r="L38" s="116"/>
    </row>
    <row r="39" spans="4:16" x14ac:dyDescent="0.2">
      <c r="K39" s="106"/>
      <c r="L39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115" zoomScaleNormal="115" workbookViewId="0">
      <selection activeCell="D14" sqref="D14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46082</v>
      </c>
      <c r="B2" s="8">
        <v>49340</v>
      </c>
      <c r="C2" s="14">
        <f>IF((B3-B2)&lt;0,"0",B3-B2)</f>
        <v>3131</v>
      </c>
      <c r="D2" s="9">
        <v>1044144</v>
      </c>
      <c r="E2" s="14">
        <f>IF((D3-D2)&lt;0,"0",D3-D2)</f>
        <v>1286</v>
      </c>
      <c r="F2" s="27">
        <v>1704</v>
      </c>
      <c r="G2" s="67">
        <f>F3-F2</f>
        <v>0</v>
      </c>
      <c r="H2" s="69">
        <f>C2+E2-G2</f>
        <v>4417</v>
      </c>
      <c r="I2" s="73">
        <f>H2-K2-M2-O2-Q2</f>
        <v>-41665.719999999994</v>
      </c>
      <c r="J2" s="32">
        <f t="shared" ref="J2:J32" si="0">I3-I2</f>
        <v>379</v>
      </c>
      <c r="K2" s="19">
        <f>A2</f>
        <v>46082</v>
      </c>
      <c r="L2" s="30">
        <v>2479</v>
      </c>
      <c r="M2" s="31">
        <v>0</v>
      </c>
      <c r="N2" s="32">
        <f>IF((L2-L3+M2)=L2,"0",(L2-L3+M2))</f>
        <v>524</v>
      </c>
      <c r="O2" s="83">
        <v>0.52</v>
      </c>
      <c r="P2" s="84">
        <v>0.56000000000000005</v>
      </c>
      <c r="Q2" s="83">
        <v>0.2</v>
      </c>
      <c r="R2" s="84">
        <v>0.3</v>
      </c>
      <c r="S2" s="38">
        <f>(2500*O2)+(2500*P2)+(500*Q2)+(500*R2)</f>
        <v>2950</v>
      </c>
      <c r="T2" s="123"/>
      <c r="U2" s="32">
        <f>IF((S2-S3+T2)=S2,"0",(S2-S3+T2))</f>
        <v>25</v>
      </c>
      <c r="V2" s="40">
        <v>61265</v>
      </c>
      <c r="W2" s="32">
        <f t="shared" ref="W2:W32" si="1">IF(V3-V2&lt;0,"0",V3-V2)</f>
        <v>0</v>
      </c>
      <c r="X2" s="43">
        <v>0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53</v>
      </c>
      <c r="AD2" s="17">
        <v>88</v>
      </c>
    </row>
    <row r="3" spans="1:30" ht="20.65" customHeight="1" x14ac:dyDescent="0.2">
      <c r="A3" s="19">
        <v>46083</v>
      </c>
      <c r="B3" s="10">
        <v>52471</v>
      </c>
      <c r="C3" s="14">
        <f t="shared" ref="C3:C32" si="2">IF((B4-B3)&lt;0,"0",B4-B3)</f>
        <v>4212</v>
      </c>
      <c r="D3" s="11">
        <v>1045430</v>
      </c>
      <c r="E3" s="14">
        <f t="shared" ref="E3:E13" si="3">IF((D4-D3)&lt;0,"0",D4-D3)</f>
        <v>585</v>
      </c>
      <c r="F3" s="27">
        <v>1704</v>
      </c>
      <c r="G3" s="67">
        <f t="shared" ref="G3:G32" si="4">F4-F3</f>
        <v>0</v>
      </c>
      <c r="H3" s="69">
        <f t="shared" ref="H3:H31" si="5">C3+E3-G3</f>
        <v>4797</v>
      </c>
      <c r="I3" s="73">
        <f t="shared" ref="I3:I31" si="6">H3-K3-M3-O3-Q3</f>
        <v>-41286.719999999994</v>
      </c>
      <c r="J3" s="32">
        <f t="shared" si="0"/>
        <v>136.0599999999904</v>
      </c>
      <c r="K3" s="20">
        <f t="shared" ref="K3:K33" si="7">A3</f>
        <v>46083</v>
      </c>
      <c r="L3" s="33">
        <v>1955</v>
      </c>
      <c r="M3" s="31">
        <v>0</v>
      </c>
      <c r="N3" s="32">
        <f t="shared" ref="N3:N9" si="8">IF((L3-L4+M3)=L3,"0",(L3-L4+M3))</f>
        <v>606</v>
      </c>
      <c r="O3" s="85">
        <v>0.52</v>
      </c>
      <c r="P3" s="86">
        <v>0.55000000000000004</v>
      </c>
      <c r="Q3" s="85">
        <v>0.2</v>
      </c>
      <c r="R3" s="86">
        <v>0.3</v>
      </c>
      <c r="S3" s="38">
        <f t="shared" ref="S3:S33" si="9">(2500*O3)+(2500*P3)+(500*Q3)+(500*R3)</f>
        <v>2925</v>
      </c>
      <c r="T3" s="123">
        <v>1932</v>
      </c>
      <c r="U3" s="32">
        <f t="shared" ref="U3:U32" si="10">IF((S3-S4+T3)=S3,"0",(S3-S4+T3))</f>
        <v>82</v>
      </c>
      <c r="V3" s="41">
        <v>61265</v>
      </c>
      <c r="W3" s="32">
        <f t="shared" si="1"/>
        <v>0</v>
      </c>
      <c r="X3" s="43">
        <v>0</v>
      </c>
      <c r="Y3" s="14">
        <f t="shared" ref="Y3:Y7" si="11">IF((X4-X3)&lt;0,"0",X4-X3)</f>
        <v>0</v>
      </c>
      <c r="Z3" s="46">
        <v>2405</v>
      </c>
      <c r="AA3" s="52"/>
      <c r="AB3" s="32">
        <f t="shared" ref="AB3:AB32" si="12">IF((Z3-Z4+AA3)=Z3,"0",(Z3-Z4+AA3))</f>
        <v>0</v>
      </c>
      <c r="AC3" s="13">
        <v>145</v>
      </c>
      <c r="AD3" s="18">
        <v>239</v>
      </c>
    </row>
    <row r="4" spans="1:30" ht="20.65" customHeight="1" x14ac:dyDescent="0.2">
      <c r="A4" s="19">
        <v>46084</v>
      </c>
      <c r="B4" s="10">
        <v>56683</v>
      </c>
      <c r="C4" s="14">
        <f t="shared" si="2"/>
        <v>3747</v>
      </c>
      <c r="D4" s="11">
        <v>1046015</v>
      </c>
      <c r="E4" s="14">
        <f t="shared" si="3"/>
        <v>1188</v>
      </c>
      <c r="F4" s="27">
        <v>1704</v>
      </c>
      <c r="G4" s="67">
        <f t="shared" si="4"/>
        <v>0</v>
      </c>
      <c r="H4" s="69">
        <f t="shared" si="5"/>
        <v>4935</v>
      </c>
      <c r="I4" s="73">
        <f t="shared" si="6"/>
        <v>-41150.660000000003</v>
      </c>
      <c r="J4" s="32">
        <f t="shared" si="0"/>
        <v>129.04000000000087</v>
      </c>
      <c r="K4" s="20">
        <f t="shared" si="7"/>
        <v>46084</v>
      </c>
      <c r="L4" s="33">
        <v>1349</v>
      </c>
      <c r="M4" s="31">
        <v>0</v>
      </c>
      <c r="N4" s="32">
        <f t="shared" si="8"/>
        <v>591</v>
      </c>
      <c r="O4" s="85">
        <v>0.79</v>
      </c>
      <c r="P4" s="86">
        <v>0.78</v>
      </c>
      <c r="Q4" s="85">
        <v>0.87</v>
      </c>
      <c r="R4" s="86">
        <v>0.83</v>
      </c>
      <c r="S4" s="38">
        <f t="shared" si="9"/>
        <v>4775</v>
      </c>
      <c r="T4" s="123"/>
      <c r="U4" s="32">
        <f t="shared" si="10"/>
        <v>100</v>
      </c>
      <c r="V4" s="41">
        <v>61265</v>
      </c>
      <c r="W4" s="32">
        <f t="shared" si="1"/>
        <v>2</v>
      </c>
      <c r="X4" s="43">
        <v>0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134</v>
      </c>
      <c r="AD4" s="18">
        <v>218</v>
      </c>
    </row>
    <row r="5" spans="1:30" ht="20.65" customHeight="1" x14ac:dyDescent="0.2">
      <c r="A5" s="19">
        <v>46085</v>
      </c>
      <c r="B5" s="10">
        <v>60430</v>
      </c>
      <c r="C5" s="14">
        <f t="shared" si="2"/>
        <v>3932</v>
      </c>
      <c r="D5" s="11">
        <v>1047203</v>
      </c>
      <c r="E5" s="14">
        <f t="shared" si="3"/>
        <v>1133</v>
      </c>
      <c r="F5" s="27">
        <v>1704</v>
      </c>
      <c r="G5" s="67">
        <f t="shared" si="4"/>
        <v>0</v>
      </c>
      <c r="H5" s="69">
        <f t="shared" si="5"/>
        <v>5065</v>
      </c>
      <c r="I5" s="73">
        <f t="shared" si="6"/>
        <v>-41021.620000000003</v>
      </c>
      <c r="J5" s="32">
        <f t="shared" si="0"/>
        <v>-8488</v>
      </c>
      <c r="K5" s="20">
        <f t="shared" si="7"/>
        <v>46085</v>
      </c>
      <c r="L5" s="33">
        <v>758</v>
      </c>
      <c r="M5" s="31">
        <v>0</v>
      </c>
      <c r="N5" s="32">
        <f t="shared" si="8"/>
        <v>486</v>
      </c>
      <c r="O5" s="85">
        <v>0.75</v>
      </c>
      <c r="P5" s="86">
        <v>0.78</v>
      </c>
      <c r="Q5" s="85">
        <v>0.87</v>
      </c>
      <c r="R5" s="86">
        <v>0.83</v>
      </c>
      <c r="S5" s="38">
        <f t="shared" si="9"/>
        <v>4675</v>
      </c>
      <c r="T5" s="123"/>
      <c r="U5" s="32">
        <f t="shared" si="10"/>
        <v>75</v>
      </c>
      <c r="V5" s="41">
        <v>61267</v>
      </c>
      <c r="W5" s="32">
        <f t="shared" si="1"/>
        <v>56</v>
      </c>
      <c r="X5" s="43">
        <v>0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115</v>
      </c>
      <c r="AD5" s="18">
        <v>184</v>
      </c>
    </row>
    <row r="6" spans="1:30" ht="20.65" customHeight="1" x14ac:dyDescent="0.2">
      <c r="A6" s="19">
        <v>46086</v>
      </c>
      <c r="B6" s="10">
        <v>64362</v>
      </c>
      <c r="C6" s="14">
        <f t="shared" si="2"/>
        <v>3341</v>
      </c>
      <c r="D6" s="11">
        <v>1048336</v>
      </c>
      <c r="E6" s="14">
        <f t="shared" si="3"/>
        <v>1237</v>
      </c>
      <c r="F6" s="27">
        <v>1704</v>
      </c>
      <c r="G6" s="67">
        <f t="shared" si="4"/>
        <v>0</v>
      </c>
      <c r="H6" s="69">
        <f t="shared" si="5"/>
        <v>4578</v>
      </c>
      <c r="I6" s="73">
        <f t="shared" si="6"/>
        <v>-49509.62</v>
      </c>
      <c r="J6" s="32">
        <f t="shared" si="0"/>
        <v>8060</v>
      </c>
      <c r="K6" s="20">
        <f t="shared" si="7"/>
        <v>46086</v>
      </c>
      <c r="L6" s="33">
        <v>272</v>
      </c>
      <c r="M6" s="31">
        <v>8000</v>
      </c>
      <c r="N6" s="32">
        <f t="shared" si="8"/>
        <v>456</v>
      </c>
      <c r="O6" s="85">
        <v>0.75</v>
      </c>
      <c r="P6" s="86">
        <v>0.75</v>
      </c>
      <c r="Q6" s="85">
        <v>0.87</v>
      </c>
      <c r="R6" s="86">
        <v>0.83</v>
      </c>
      <c r="S6" s="38">
        <f t="shared" si="9"/>
        <v>4600</v>
      </c>
      <c r="T6" s="123"/>
      <c r="U6" s="32">
        <f t="shared" si="10"/>
        <v>0</v>
      </c>
      <c r="V6" s="41">
        <v>61323</v>
      </c>
      <c r="W6" s="32">
        <f t="shared" si="1"/>
        <v>17</v>
      </c>
      <c r="X6" s="43">
        <v>0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92</v>
      </c>
      <c r="AD6" s="18">
        <v>143</v>
      </c>
    </row>
    <row r="7" spans="1:30" ht="20.65" customHeight="1" x14ac:dyDescent="0.2">
      <c r="A7" s="19">
        <v>46087</v>
      </c>
      <c r="B7" s="10">
        <v>67703</v>
      </c>
      <c r="C7" s="14">
        <f t="shared" si="2"/>
        <v>3798</v>
      </c>
      <c r="D7" s="11">
        <v>1049573</v>
      </c>
      <c r="E7" s="14">
        <f t="shared" si="3"/>
        <v>841</v>
      </c>
      <c r="F7" s="27">
        <v>1704</v>
      </c>
      <c r="G7" s="67">
        <f t="shared" si="4"/>
        <v>0</v>
      </c>
      <c r="H7" s="69">
        <f t="shared" si="5"/>
        <v>4639</v>
      </c>
      <c r="I7" s="73">
        <f t="shared" si="6"/>
        <v>-41449.620000000003</v>
      </c>
      <c r="J7" s="32">
        <f t="shared" si="0"/>
        <v>17.029999999998836</v>
      </c>
      <c r="K7" s="20">
        <f t="shared" si="7"/>
        <v>46087</v>
      </c>
      <c r="L7" s="33">
        <v>7816</v>
      </c>
      <c r="M7" s="31">
        <v>0</v>
      </c>
      <c r="N7" s="32">
        <f t="shared" si="8"/>
        <v>430</v>
      </c>
      <c r="O7" s="85">
        <v>0.75</v>
      </c>
      <c r="P7" s="86">
        <v>0.75</v>
      </c>
      <c r="Q7" s="85">
        <v>0.87</v>
      </c>
      <c r="R7" s="86">
        <v>0.83</v>
      </c>
      <c r="S7" s="38">
        <f t="shared" si="9"/>
        <v>4600</v>
      </c>
      <c r="T7" s="123"/>
      <c r="U7" s="32">
        <f t="shared" si="10"/>
        <v>150</v>
      </c>
      <c r="V7" s="41">
        <v>61340</v>
      </c>
      <c r="W7" s="32">
        <f t="shared" si="1"/>
        <v>12</v>
      </c>
      <c r="X7" s="43">
        <v>0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92</v>
      </c>
      <c r="AD7" s="18">
        <v>143</v>
      </c>
    </row>
    <row r="8" spans="1:30" ht="20.65" customHeight="1" x14ac:dyDescent="0.2">
      <c r="A8" s="19">
        <v>46088</v>
      </c>
      <c r="B8" s="10">
        <v>71501</v>
      </c>
      <c r="C8" s="14">
        <f t="shared" si="2"/>
        <v>3701</v>
      </c>
      <c r="D8" s="11">
        <v>1050414</v>
      </c>
      <c r="E8" s="14">
        <f t="shared" si="3"/>
        <v>956</v>
      </c>
      <c r="F8" s="27">
        <v>1704</v>
      </c>
      <c r="G8" s="67">
        <f t="shared" si="4"/>
        <v>0</v>
      </c>
      <c r="H8" s="69">
        <f t="shared" si="5"/>
        <v>4657</v>
      </c>
      <c r="I8" s="73">
        <f t="shared" si="6"/>
        <v>-41432.590000000004</v>
      </c>
      <c r="J8" s="32">
        <f t="shared" si="0"/>
        <v>71</v>
      </c>
      <c r="K8" s="20">
        <f t="shared" si="7"/>
        <v>46088</v>
      </c>
      <c r="L8" s="33">
        <v>7386</v>
      </c>
      <c r="M8" s="31">
        <v>0</v>
      </c>
      <c r="N8" s="32">
        <f t="shared" si="8"/>
        <v>480</v>
      </c>
      <c r="O8" s="85">
        <v>0.72</v>
      </c>
      <c r="P8" s="86">
        <v>0.72</v>
      </c>
      <c r="Q8" s="85">
        <v>0.87</v>
      </c>
      <c r="R8" s="86">
        <v>0.83</v>
      </c>
      <c r="S8" s="38">
        <f t="shared" si="9"/>
        <v>4450</v>
      </c>
      <c r="T8" s="123"/>
      <c r="U8" s="32">
        <f t="shared" si="10"/>
        <v>0</v>
      </c>
      <c r="V8" s="41">
        <v>61352</v>
      </c>
      <c r="W8" s="32">
        <f t="shared" si="1"/>
        <v>10</v>
      </c>
      <c r="X8" s="43">
        <v>0</v>
      </c>
      <c r="Y8" s="14">
        <f t="shared" ref="Y8:Y24" si="13">IF((X9-X8)&lt;0,"0",X9-X8)</f>
        <v>0</v>
      </c>
      <c r="Z8" s="46">
        <v>2405</v>
      </c>
      <c r="AA8" s="52"/>
      <c r="AB8" s="32">
        <f t="shared" si="12"/>
        <v>0</v>
      </c>
      <c r="AC8" s="13">
        <v>113</v>
      </c>
      <c r="AD8" s="18">
        <v>172</v>
      </c>
    </row>
    <row r="9" spans="1:30" ht="20.65" customHeight="1" x14ac:dyDescent="0.2">
      <c r="A9" s="19">
        <v>46089</v>
      </c>
      <c r="B9" s="10">
        <v>75202</v>
      </c>
      <c r="C9" s="14">
        <f t="shared" si="2"/>
        <v>3445</v>
      </c>
      <c r="D9" s="11">
        <v>1051370</v>
      </c>
      <c r="E9" s="14">
        <f t="shared" si="3"/>
        <v>1284</v>
      </c>
      <c r="F9" s="27">
        <v>1704</v>
      </c>
      <c r="G9" s="67">
        <f t="shared" si="4"/>
        <v>0</v>
      </c>
      <c r="H9" s="69">
        <f t="shared" si="5"/>
        <v>4729</v>
      </c>
      <c r="I9" s="73">
        <f t="shared" si="6"/>
        <v>-41361.590000000004</v>
      </c>
      <c r="J9" s="32">
        <f t="shared" si="0"/>
        <v>-4729.9499999999971</v>
      </c>
      <c r="K9" s="20">
        <f t="shared" si="7"/>
        <v>46089</v>
      </c>
      <c r="L9" s="33">
        <v>6906</v>
      </c>
      <c r="M9" s="31">
        <v>0</v>
      </c>
      <c r="N9" s="32">
        <f t="shared" si="8"/>
        <v>469</v>
      </c>
      <c r="O9" s="85">
        <v>0.72</v>
      </c>
      <c r="P9" s="86">
        <v>0.72</v>
      </c>
      <c r="Q9" s="85">
        <v>0.87</v>
      </c>
      <c r="R9" s="86">
        <v>0.83</v>
      </c>
      <c r="S9" s="38">
        <f t="shared" si="9"/>
        <v>4450</v>
      </c>
      <c r="T9" s="123"/>
      <c r="U9" s="32">
        <f t="shared" si="10"/>
        <v>175</v>
      </c>
      <c r="V9" s="41">
        <v>61362</v>
      </c>
      <c r="W9" s="32">
        <f t="shared" si="1"/>
        <v>9</v>
      </c>
      <c r="X9" s="43">
        <v>0</v>
      </c>
      <c r="Y9" s="14">
        <f t="shared" si="13"/>
        <v>0</v>
      </c>
      <c r="Z9" s="46">
        <v>2405</v>
      </c>
      <c r="AA9" s="52"/>
      <c r="AB9" s="32">
        <f t="shared" si="12"/>
        <v>0</v>
      </c>
      <c r="AC9" s="13">
        <v>97</v>
      </c>
      <c r="AD9" s="18">
        <v>148</v>
      </c>
    </row>
    <row r="10" spans="1:30" ht="20.65" customHeight="1" x14ac:dyDescent="0.2">
      <c r="A10" s="19">
        <v>46090</v>
      </c>
      <c r="B10" s="10">
        <v>78647</v>
      </c>
      <c r="C10" s="14" t="str">
        <f t="shared" si="2"/>
        <v>0</v>
      </c>
      <c r="D10" s="11">
        <v>1052654</v>
      </c>
      <c r="E10" s="14" t="str">
        <f t="shared" si="3"/>
        <v>0</v>
      </c>
      <c r="F10" s="27">
        <v>1704</v>
      </c>
      <c r="G10" s="67">
        <f t="shared" si="4"/>
        <v>0</v>
      </c>
      <c r="H10" s="69">
        <f t="shared" si="5"/>
        <v>0</v>
      </c>
      <c r="I10" s="73">
        <f t="shared" si="6"/>
        <v>-46091.54</v>
      </c>
      <c r="J10" s="32">
        <f t="shared" si="0"/>
        <v>0.54000000000087311</v>
      </c>
      <c r="K10" s="20">
        <f t="shared" si="7"/>
        <v>46090</v>
      </c>
      <c r="L10" s="33">
        <v>6437</v>
      </c>
      <c r="M10" s="31">
        <v>0</v>
      </c>
      <c r="N10" s="32" t="str">
        <f t="shared" ref="N3:N33" si="14">IF((L10-L11+M10)=L10,"0",(L10-L11+M10))</f>
        <v>0</v>
      </c>
      <c r="O10" s="85">
        <v>0.67</v>
      </c>
      <c r="P10" s="86">
        <v>0.7</v>
      </c>
      <c r="Q10" s="85">
        <v>0.87</v>
      </c>
      <c r="R10" s="86">
        <v>0.83</v>
      </c>
      <c r="S10" s="38">
        <f t="shared" si="9"/>
        <v>4275</v>
      </c>
      <c r="T10" s="123"/>
      <c r="U10" s="32" t="str">
        <f t="shared" si="10"/>
        <v>0</v>
      </c>
      <c r="V10" s="41">
        <v>61371</v>
      </c>
      <c r="W10" s="32" t="str">
        <f t="shared" si="1"/>
        <v>0</v>
      </c>
      <c r="X10" s="43">
        <v>0</v>
      </c>
      <c r="Y10" s="14">
        <f t="shared" si="13"/>
        <v>0</v>
      </c>
      <c r="Z10" s="46">
        <v>2405</v>
      </c>
      <c r="AA10" s="52"/>
      <c r="AB10" s="32" t="str">
        <f t="shared" si="12"/>
        <v>0</v>
      </c>
      <c r="AC10" s="13">
        <v>54</v>
      </c>
      <c r="AD10" s="18">
        <v>82</v>
      </c>
    </row>
    <row r="11" spans="1:30" ht="20.65" customHeight="1" x14ac:dyDescent="0.2">
      <c r="A11" s="19">
        <v>46091</v>
      </c>
      <c r="B11" s="10"/>
      <c r="C11" s="14">
        <f t="shared" si="2"/>
        <v>0</v>
      </c>
      <c r="D11" s="11"/>
      <c r="E11" s="14">
        <f t="shared" si="3"/>
        <v>0</v>
      </c>
      <c r="F11" s="27">
        <v>1704</v>
      </c>
      <c r="G11" s="67">
        <f t="shared" si="4"/>
        <v>0</v>
      </c>
      <c r="H11" s="69">
        <f t="shared" si="5"/>
        <v>0</v>
      </c>
      <c r="I11" s="73">
        <f t="shared" si="6"/>
        <v>-46091</v>
      </c>
      <c r="J11" s="32">
        <f t="shared" si="0"/>
        <v>-1</v>
      </c>
      <c r="K11" s="20">
        <f t="shared" si="7"/>
        <v>46091</v>
      </c>
      <c r="L11" s="33"/>
      <c r="M11" s="31">
        <v>0</v>
      </c>
      <c r="N11" s="32" t="str">
        <f t="shared" si="14"/>
        <v>0</v>
      </c>
      <c r="O11" s="85"/>
      <c r="P11" s="86"/>
      <c r="Q11" s="85"/>
      <c r="R11" s="86"/>
      <c r="S11" s="38">
        <f t="shared" si="9"/>
        <v>0</v>
      </c>
      <c r="T11" s="123"/>
      <c r="U11" s="32" t="str">
        <f t="shared" si="10"/>
        <v>0</v>
      </c>
      <c r="V11" s="41"/>
      <c r="W11" s="32">
        <f t="shared" si="1"/>
        <v>0</v>
      </c>
      <c r="X11" s="43"/>
      <c r="Y11" s="14">
        <f t="shared" si="13"/>
        <v>0</v>
      </c>
      <c r="Z11" s="46"/>
      <c r="AA11" s="52"/>
      <c r="AB11" s="32" t="str">
        <f t="shared" si="12"/>
        <v>0</v>
      </c>
      <c r="AC11" s="13"/>
      <c r="AD11" s="18"/>
    </row>
    <row r="12" spans="1:30" ht="21.4" customHeight="1" x14ac:dyDescent="0.2">
      <c r="A12" s="19">
        <v>46092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7">
        <f t="shared" si="4"/>
        <v>0</v>
      </c>
      <c r="H12" s="69">
        <f t="shared" si="5"/>
        <v>0</v>
      </c>
      <c r="I12" s="73">
        <f t="shared" si="6"/>
        <v>-46092</v>
      </c>
      <c r="J12" s="32">
        <f t="shared" si="0"/>
        <v>-1</v>
      </c>
      <c r="K12" s="20">
        <f t="shared" si="7"/>
        <v>46092</v>
      </c>
      <c r="L12" s="33"/>
      <c r="M12" s="31">
        <v>0</v>
      </c>
      <c r="N12" s="32" t="str">
        <f t="shared" si="14"/>
        <v>0</v>
      </c>
      <c r="O12" s="85"/>
      <c r="P12" s="86"/>
      <c r="Q12" s="85"/>
      <c r="R12" s="86"/>
      <c r="S12" s="38">
        <f t="shared" si="9"/>
        <v>0</v>
      </c>
      <c r="T12" s="123"/>
      <c r="U12" s="32" t="str">
        <f t="shared" si="10"/>
        <v>0</v>
      </c>
      <c r="V12" s="41"/>
      <c r="W12" s="32">
        <f t="shared" si="1"/>
        <v>0</v>
      </c>
      <c r="X12" s="43"/>
      <c r="Y12" s="14">
        <f t="shared" si="13"/>
        <v>0</v>
      </c>
      <c r="Z12" s="47"/>
      <c r="AA12" s="52"/>
      <c r="AB12" s="32" t="str">
        <f t="shared" si="12"/>
        <v>0</v>
      </c>
      <c r="AC12" s="13"/>
      <c r="AD12" s="18"/>
    </row>
    <row r="13" spans="1:30" ht="20.65" customHeight="1" x14ac:dyDescent="0.2">
      <c r="A13" s="19">
        <v>46093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7">
        <f t="shared" si="4"/>
        <v>0</v>
      </c>
      <c r="H13" s="69">
        <f t="shared" si="5"/>
        <v>0</v>
      </c>
      <c r="I13" s="73">
        <f t="shared" si="6"/>
        <v>-46093</v>
      </c>
      <c r="J13" s="32">
        <f t="shared" si="0"/>
        <v>-1</v>
      </c>
      <c r="K13" s="20">
        <f t="shared" si="7"/>
        <v>46093</v>
      </c>
      <c r="L13" s="33"/>
      <c r="M13" s="31">
        <v>0</v>
      </c>
      <c r="N13" s="32" t="str">
        <f t="shared" si="14"/>
        <v>0</v>
      </c>
      <c r="O13" s="85"/>
      <c r="P13" s="86"/>
      <c r="Q13" s="85"/>
      <c r="R13" s="86"/>
      <c r="S13" s="38">
        <f t="shared" si="9"/>
        <v>0</v>
      </c>
      <c r="T13" s="123"/>
      <c r="U13" s="32" t="str">
        <f t="shared" si="10"/>
        <v>0</v>
      </c>
      <c r="V13" s="41"/>
      <c r="W13" s="32">
        <f t="shared" si="1"/>
        <v>0</v>
      </c>
      <c r="X13" s="43"/>
      <c r="Y13" s="14">
        <f t="shared" si="13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65" customHeight="1" x14ac:dyDescent="0.2">
      <c r="A14" s="19">
        <v>46094</v>
      </c>
      <c r="B14" s="10"/>
      <c r="C14" s="14">
        <f t="shared" si="2"/>
        <v>0</v>
      </c>
      <c r="D14" s="11"/>
      <c r="E14" s="14">
        <f t="shared" ref="E14:E32" si="15">IF((D15-D14)&lt;0,"0",D15-D14)</f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-46094</v>
      </c>
      <c r="J14" s="32">
        <f t="shared" si="0"/>
        <v>-1</v>
      </c>
      <c r="K14" s="20">
        <f t="shared" si="7"/>
        <v>46094</v>
      </c>
      <c r="L14" s="33"/>
      <c r="M14" s="31">
        <v>0</v>
      </c>
      <c r="N14" s="32" t="str">
        <f t="shared" si="14"/>
        <v>0</v>
      </c>
      <c r="O14" s="85"/>
      <c r="P14" s="86"/>
      <c r="Q14" s="85"/>
      <c r="R14" s="86"/>
      <c r="S14" s="38">
        <f t="shared" si="9"/>
        <v>0</v>
      </c>
      <c r="T14" s="123"/>
      <c r="U14" s="32" t="str">
        <f t="shared" si="10"/>
        <v>0</v>
      </c>
      <c r="V14" s="41"/>
      <c r="W14" s="32">
        <f t="shared" si="1"/>
        <v>0</v>
      </c>
      <c r="X14" s="43"/>
      <c r="Y14" s="14">
        <f t="shared" si="13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65" customHeight="1" x14ac:dyDescent="0.2">
      <c r="A15" s="19">
        <v>46095</v>
      </c>
      <c r="B15" s="10"/>
      <c r="C15" s="14">
        <f t="shared" si="2"/>
        <v>0</v>
      </c>
      <c r="D15" s="11"/>
      <c r="E15" s="14">
        <f t="shared" si="15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-46095</v>
      </c>
      <c r="J15" s="32">
        <f t="shared" si="0"/>
        <v>-1</v>
      </c>
      <c r="K15" s="20">
        <f t="shared" si="7"/>
        <v>46095</v>
      </c>
      <c r="L15" s="33"/>
      <c r="M15" s="31">
        <v>0</v>
      </c>
      <c r="N15" s="32" t="str">
        <f t="shared" si="14"/>
        <v>0</v>
      </c>
      <c r="O15" s="85"/>
      <c r="P15" s="86"/>
      <c r="Q15" s="85"/>
      <c r="R15" s="86"/>
      <c r="S15" s="38">
        <f t="shared" si="9"/>
        <v>0</v>
      </c>
      <c r="T15" s="123"/>
      <c r="U15" s="32" t="str">
        <f t="shared" si="10"/>
        <v>0</v>
      </c>
      <c r="V15" s="41"/>
      <c r="W15" s="32">
        <f t="shared" si="1"/>
        <v>0</v>
      </c>
      <c r="X15" s="44"/>
      <c r="Y15" s="14">
        <f t="shared" si="13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65" customHeight="1" x14ac:dyDescent="0.2">
      <c r="A16" s="19">
        <v>46096</v>
      </c>
      <c r="B16" s="10"/>
      <c r="C16" s="14">
        <f t="shared" si="2"/>
        <v>0</v>
      </c>
      <c r="D16" s="11"/>
      <c r="E16" s="14">
        <f t="shared" si="15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-46096</v>
      </c>
      <c r="J16" s="32">
        <f t="shared" si="0"/>
        <v>-1</v>
      </c>
      <c r="K16" s="20">
        <f t="shared" si="7"/>
        <v>46096</v>
      </c>
      <c r="L16" s="33"/>
      <c r="M16" s="31">
        <v>0</v>
      </c>
      <c r="N16" s="32" t="str">
        <f t="shared" si="14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3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46097</v>
      </c>
      <c r="B17" s="10"/>
      <c r="C17" s="14">
        <f t="shared" si="2"/>
        <v>0</v>
      </c>
      <c r="D17" s="11"/>
      <c r="E17" s="14">
        <f t="shared" si="15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-46097</v>
      </c>
      <c r="J17" s="32">
        <f t="shared" si="0"/>
        <v>-1</v>
      </c>
      <c r="K17" s="20">
        <f t="shared" si="7"/>
        <v>46097</v>
      </c>
      <c r="L17" s="33"/>
      <c r="M17" s="31">
        <v>0</v>
      </c>
      <c r="N17" s="32" t="str">
        <f t="shared" si="14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3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46098</v>
      </c>
      <c r="B18" s="10"/>
      <c r="C18" s="14">
        <f t="shared" si="2"/>
        <v>0</v>
      </c>
      <c r="D18" s="11"/>
      <c r="E18" s="14">
        <f t="shared" si="15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-46098</v>
      </c>
      <c r="J18" s="32">
        <f t="shared" si="0"/>
        <v>-1</v>
      </c>
      <c r="K18" s="20">
        <f t="shared" si="7"/>
        <v>46098</v>
      </c>
      <c r="L18" s="33"/>
      <c r="M18" s="31">
        <v>0</v>
      </c>
      <c r="N18" s="32" t="str">
        <f t="shared" si="14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3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46099</v>
      </c>
      <c r="B19" s="10"/>
      <c r="C19" s="14">
        <f t="shared" si="2"/>
        <v>0</v>
      </c>
      <c r="D19" s="11"/>
      <c r="E19" s="14">
        <f t="shared" si="15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-46099</v>
      </c>
      <c r="J19" s="32">
        <f t="shared" si="0"/>
        <v>-1</v>
      </c>
      <c r="K19" s="20">
        <f t="shared" si="7"/>
        <v>46099</v>
      </c>
      <c r="L19" s="33"/>
      <c r="M19" s="34">
        <v>0</v>
      </c>
      <c r="N19" s="32" t="str">
        <f t="shared" si="14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46100</v>
      </c>
      <c r="B20" s="10"/>
      <c r="C20" s="14">
        <f t="shared" si="2"/>
        <v>0</v>
      </c>
      <c r="D20" s="11"/>
      <c r="E20" s="14">
        <f t="shared" si="15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-46100</v>
      </c>
      <c r="J20" s="32">
        <f t="shared" si="0"/>
        <v>-1</v>
      </c>
      <c r="K20" s="20">
        <f t="shared" si="7"/>
        <v>46100</v>
      </c>
      <c r="L20" s="33"/>
      <c r="M20" s="34">
        <v>0</v>
      </c>
      <c r="N20" s="32" t="str">
        <f t="shared" si="14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3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46101</v>
      </c>
      <c r="B21" s="10"/>
      <c r="C21" s="14">
        <f t="shared" si="2"/>
        <v>0</v>
      </c>
      <c r="D21" s="11"/>
      <c r="E21" s="14">
        <f t="shared" si="15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-46101</v>
      </c>
      <c r="J21" s="32">
        <f t="shared" si="0"/>
        <v>-1</v>
      </c>
      <c r="K21" s="20">
        <f t="shared" si="7"/>
        <v>46101</v>
      </c>
      <c r="L21" s="33"/>
      <c r="M21" s="34">
        <v>0</v>
      </c>
      <c r="N21" s="32" t="str">
        <f t="shared" si="14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3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46102</v>
      </c>
      <c r="B22" s="10"/>
      <c r="C22" s="14">
        <f t="shared" si="2"/>
        <v>0</v>
      </c>
      <c r="D22" s="11"/>
      <c r="E22" s="14">
        <f t="shared" si="15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-46102</v>
      </c>
      <c r="J22" s="32">
        <f t="shared" si="0"/>
        <v>-1</v>
      </c>
      <c r="K22" s="20">
        <f t="shared" si="7"/>
        <v>46102</v>
      </c>
      <c r="L22" s="33"/>
      <c r="M22" s="34">
        <v>0</v>
      </c>
      <c r="N22" s="32" t="str">
        <f t="shared" si="14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3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46103</v>
      </c>
      <c r="B23" s="10"/>
      <c r="C23" s="14">
        <f t="shared" si="2"/>
        <v>0</v>
      </c>
      <c r="D23" s="11"/>
      <c r="E23" s="14">
        <f t="shared" si="15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-46103</v>
      </c>
      <c r="J23" s="32">
        <f t="shared" si="0"/>
        <v>-1</v>
      </c>
      <c r="K23" s="20">
        <f t="shared" si="7"/>
        <v>46103</v>
      </c>
      <c r="L23" s="33"/>
      <c r="M23" s="34">
        <v>0</v>
      </c>
      <c r="N23" s="32" t="str">
        <f t="shared" si="14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3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46104</v>
      </c>
      <c r="B24" s="10"/>
      <c r="C24" s="14">
        <f t="shared" si="2"/>
        <v>0</v>
      </c>
      <c r="D24" s="11"/>
      <c r="E24" s="14">
        <f t="shared" si="15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-46104</v>
      </c>
      <c r="J24" s="32">
        <f t="shared" si="0"/>
        <v>-1</v>
      </c>
      <c r="K24" s="20">
        <f t="shared" si="7"/>
        <v>46104</v>
      </c>
      <c r="L24" s="33"/>
      <c r="M24" s="34">
        <v>0</v>
      </c>
      <c r="N24" s="32" t="str">
        <f t="shared" si="14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3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46105</v>
      </c>
      <c r="B25" s="10"/>
      <c r="C25" s="14">
        <f t="shared" si="2"/>
        <v>0</v>
      </c>
      <c r="D25" s="11"/>
      <c r="E25" s="14">
        <f t="shared" si="15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-46105</v>
      </c>
      <c r="J25" s="32">
        <f t="shared" si="0"/>
        <v>-1</v>
      </c>
      <c r="K25" s="20">
        <f t="shared" si="7"/>
        <v>46105</v>
      </c>
      <c r="L25" s="33"/>
      <c r="M25" s="34">
        <v>0</v>
      </c>
      <c r="N25" s="32" t="str">
        <f t="shared" si="14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46106</v>
      </c>
      <c r="B26" s="10"/>
      <c r="C26" s="14">
        <f t="shared" si="2"/>
        <v>0</v>
      </c>
      <c r="D26" s="11"/>
      <c r="E26" s="14">
        <f t="shared" si="15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-46106</v>
      </c>
      <c r="J26" s="32">
        <f t="shared" si="0"/>
        <v>-1</v>
      </c>
      <c r="K26" s="20">
        <f t="shared" si="7"/>
        <v>46106</v>
      </c>
      <c r="L26" s="33"/>
      <c r="M26" s="34">
        <v>0</v>
      </c>
      <c r="N26" s="32" t="str">
        <f t="shared" si="14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>IF((X27-X26)&lt;0,"0",X27-X26)</f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46107</v>
      </c>
      <c r="B27" s="10"/>
      <c r="C27" s="14">
        <f t="shared" si="2"/>
        <v>0</v>
      </c>
      <c r="D27" s="11"/>
      <c r="E27" s="14">
        <f t="shared" si="15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-46107</v>
      </c>
      <c r="J27" s="32">
        <f>I31-I27</f>
        <v>-4</v>
      </c>
      <c r="K27" s="20">
        <f t="shared" si="7"/>
        <v>46107</v>
      </c>
      <c r="L27" s="33"/>
      <c r="M27" s="34">
        <v>0</v>
      </c>
      <c r="N27" s="32" t="str">
        <f t="shared" si="14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46108</v>
      </c>
      <c r="B28" s="10"/>
      <c r="C28" s="14">
        <f t="shared" si="2"/>
        <v>0</v>
      </c>
      <c r="D28" s="11"/>
      <c r="E28" s="14">
        <f t="shared" si="15"/>
        <v>0</v>
      </c>
      <c r="F28" s="27">
        <v>1704</v>
      </c>
      <c r="G28" s="67">
        <f t="shared" si="4"/>
        <v>0</v>
      </c>
      <c r="H28" s="69">
        <f t="shared" ref="H28" si="16">C28+E28-G28</f>
        <v>0</v>
      </c>
      <c r="I28" s="73">
        <f t="shared" ref="I28" si="17">H28-K28-M28-O28-Q28</f>
        <v>-46108</v>
      </c>
      <c r="J28" s="32">
        <f t="shared" ref="J28" si="18">I29-I28</f>
        <v>-1</v>
      </c>
      <c r="K28" s="20">
        <f t="shared" ref="K28" si="19">A28</f>
        <v>46108</v>
      </c>
      <c r="L28" s="33"/>
      <c r="M28" s="34">
        <v>0</v>
      </c>
      <c r="N28" s="32" t="str">
        <f t="shared" si="14"/>
        <v>0</v>
      </c>
      <c r="O28" s="85"/>
      <c r="P28" s="86"/>
      <c r="Q28" s="85"/>
      <c r="R28" s="86"/>
      <c r="S28" s="38">
        <f t="shared" ref="S28" si="20">(2500*O28)+(2500*P28)+(500*Q28)+(500*R28)</f>
        <v>0</v>
      </c>
      <c r="T28" s="123"/>
      <c r="U28" s="32" t="str">
        <f t="shared" ref="U28" si="21">IF((S28-S29+T28)=S28,"0",(S28-S29+T28))</f>
        <v>0</v>
      </c>
      <c r="V28" s="41"/>
      <c r="W28" s="32">
        <f t="shared" si="1"/>
        <v>0</v>
      </c>
      <c r="X28" s="44"/>
      <c r="Y28" s="14"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46109</v>
      </c>
      <c r="B29" s="10"/>
      <c r="C29" s="14">
        <f t="shared" si="2"/>
        <v>0</v>
      </c>
      <c r="D29" s="11"/>
      <c r="E29" s="14">
        <f t="shared" si="15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-46109</v>
      </c>
      <c r="J29" s="32">
        <f t="shared" ref="J29" si="22">I30-I29</f>
        <v>-1</v>
      </c>
      <c r="K29" s="20">
        <f t="shared" si="7"/>
        <v>46109</v>
      </c>
      <c r="L29" s="33"/>
      <c r="M29" s="34">
        <v>0</v>
      </c>
      <c r="N29" s="32" t="str">
        <f t="shared" si="14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ref="U29" si="23">IF((S29-S30+T29)=S29,"0",(S29-S30+T29))</f>
        <v>0</v>
      </c>
      <c r="V29" s="41"/>
      <c r="W29" s="32">
        <f t="shared" si="1"/>
        <v>0</v>
      </c>
      <c r="X29" s="44"/>
      <c r="Y29" s="14"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46110</v>
      </c>
      <c r="B30" s="10"/>
      <c r="C30" s="14">
        <f t="shared" si="2"/>
        <v>0</v>
      </c>
      <c r="D30" s="11"/>
      <c r="E30" s="14">
        <f t="shared" si="15"/>
        <v>0</v>
      </c>
      <c r="F30" s="27">
        <v>1704</v>
      </c>
      <c r="G30" s="67">
        <f t="shared" si="4"/>
        <v>0</v>
      </c>
      <c r="H30" s="69">
        <f t="shared" ref="H30" si="24">C30+E30-G30</f>
        <v>0</v>
      </c>
      <c r="I30" s="73">
        <f t="shared" ref="I30" si="25">H30-K30-M30-O30-Q30</f>
        <v>-46110</v>
      </c>
      <c r="J30" s="32">
        <f t="shared" ref="J30" si="26">I31-I30</f>
        <v>-1</v>
      </c>
      <c r="K30" s="20">
        <f t="shared" ref="K30" si="27">A30</f>
        <v>46110</v>
      </c>
      <c r="L30" s="33"/>
      <c r="M30" s="34">
        <v>0</v>
      </c>
      <c r="N30" s="32" t="str">
        <f t="shared" si="14"/>
        <v>0</v>
      </c>
      <c r="O30" s="85"/>
      <c r="P30" s="86"/>
      <c r="Q30" s="85"/>
      <c r="R30" s="86"/>
      <c r="S30" s="38">
        <f t="shared" ref="S30" si="28">(2500*O30)+(2500*P30)+(500*Q30)+(500*R30)</f>
        <v>0</v>
      </c>
      <c r="T30" s="123"/>
      <c r="U30" s="32" t="str">
        <f t="shared" ref="U30" si="29">IF((S30-S31+T30)=S30,"0",(S30-S31+T30))</f>
        <v>0</v>
      </c>
      <c r="V30" s="41"/>
      <c r="W30" s="32">
        <f t="shared" si="1"/>
        <v>0</v>
      </c>
      <c r="X30" s="44"/>
      <c r="Y30" s="14">
        <v>0</v>
      </c>
      <c r="Z30" s="47"/>
      <c r="AA30" s="52"/>
      <c r="AB30" s="32" t="str">
        <f t="shared" si="12"/>
        <v>0</v>
      </c>
      <c r="AC30" s="13"/>
      <c r="AD30" s="18"/>
    </row>
    <row r="31" spans="1:30" ht="20.65" customHeight="1" x14ac:dyDescent="0.2">
      <c r="A31" s="19">
        <v>46111</v>
      </c>
      <c r="B31" s="10"/>
      <c r="C31" s="14">
        <f t="shared" si="2"/>
        <v>0</v>
      </c>
      <c r="D31" s="11"/>
      <c r="E31" s="14">
        <f t="shared" si="15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-46111</v>
      </c>
      <c r="J31" s="32">
        <f t="shared" si="0"/>
        <v>-1</v>
      </c>
      <c r="K31" s="20">
        <f t="shared" si="7"/>
        <v>46111</v>
      </c>
      <c r="L31" s="33"/>
      <c r="M31" s="34">
        <v>0</v>
      </c>
      <c r="N31" s="32" t="str">
        <f t="shared" si="14"/>
        <v>0</v>
      </c>
      <c r="O31" s="85"/>
      <c r="P31" s="86"/>
      <c r="Q31" s="85"/>
      <c r="R31" s="86"/>
      <c r="S31" s="38">
        <f t="shared" si="9"/>
        <v>0</v>
      </c>
      <c r="T31" s="123"/>
      <c r="U31" s="32" t="str">
        <f t="shared" si="10"/>
        <v>0</v>
      </c>
      <c r="V31" s="41"/>
      <c r="W31" s="32">
        <f t="shared" si="1"/>
        <v>0</v>
      </c>
      <c r="X31" s="44"/>
      <c r="Y31" s="14"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Bot="1" x14ac:dyDescent="0.25">
      <c r="A32" s="19">
        <v>46112</v>
      </c>
      <c r="B32" s="10"/>
      <c r="C32" s="14">
        <f t="shared" si="2"/>
        <v>0</v>
      </c>
      <c r="D32" s="11"/>
      <c r="E32" s="14">
        <f t="shared" si="15"/>
        <v>0</v>
      </c>
      <c r="F32" s="27">
        <v>1704</v>
      </c>
      <c r="G32" s="67">
        <f t="shared" si="4"/>
        <v>0</v>
      </c>
      <c r="H32" s="69">
        <f t="shared" ref="H32" si="30">C32+E32-G32</f>
        <v>0</v>
      </c>
      <c r="I32" s="73">
        <f t="shared" ref="I32" si="31">H32-K32-M32-O32-Q32</f>
        <v>-46112</v>
      </c>
      <c r="J32" s="32">
        <f t="shared" si="0"/>
        <v>46112</v>
      </c>
      <c r="K32" s="20">
        <f t="shared" si="7"/>
        <v>46112</v>
      </c>
      <c r="L32" s="33"/>
      <c r="M32" s="34">
        <v>0</v>
      </c>
      <c r="N32" s="32" t="str">
        <f t="shared" si="14"/>
        <v>0</v>
      </c>
      <c r="O32" s="85"/>
      <c r="P32" s="86"/>
      <c r="Q32" s="85"/>
      <c r="R32" s="86"/>
      <c r="S32" s="38">
        <f t="shared" ref="S32" si="32">(2500*O32)+(2500*P32)+(500*Q32)+(500*R32)</f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v>0</v>
      </c>
      <c r="Z32" s="47"/>
      <c r="AA32" s="52"/>
      <c r="AB32" s="32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46113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46113</v>
      </c>
      <c r="L33" s="49"/>
      <c r="M33" s="65">
        <v>0</v>
      </c>
      <c r="N33" s="32" t="str">
        <f t="shared" si="14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/>
      <c r="AD33" s="57"/>
    </row>
    <row r="34" spans="1:30" s="81" customFormat="1" ht="10.5" thickTop="1" x14ac:dyDescent="0.2">
      <c r="A34" s="75"/>
      <c r="B34" s="75"/>
      <c r="C34" s="76">
        <f>SUM(C2:C33)</f>
        <v>29307</v>
      </c>
      <c r="D34" s="77"/>
      <c r="E34" s="76">
        <f>SUM(E2:E33)</f>
        <v>8510</v>
      </c>
      <c r="F34" s="78"/>
      <c r="G34" s="76">
        <f>SUM(G2:G33)</f>
        <v>0</v>
      </c>
      <c r="H34" s="77">
        <f>SUM(H2:H33)</f>
        <v>37817</v>
      </c>
      <c r="I34" s="76">
        <f>SUM(I2:I32)</f>
        <v>-1399202.68</v>
      </c>
      <c r="J34" s="76">
        <f>SUM(J2:J33)</f>
        <v>41662.719999999994</v>
      </c>
      <c r="K34" s="75"/>
      <c r="L34" s="77"/>
      <c r="M34" s="77"/>
      <c r="N34" s="76">
        <f>SUM(N2:N33)</f>
        <v>4042</v>
      </c>
      <c r="O34" s="75"/>
      <c r="P34" s="75"/>
      <c r="Q34" s="75"/>
      <c r="R34" s="75"/>
      <c r="S34" s="75"/>
      <c r="T34" s="77">
        <f>SUM(T2:T33)</f>
        <v>1932</v>
      </c>
      <c r="U34" s="76">
        <f>SUM(U2:U33)</f>
        <v>607</v>
      </c>
      <c r="V34" s="75"/>
      <c r="W34" s="76">
        <f>SUM(W2:W33)</f>
        <v>106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0</v>
      </c>
      <c r="AC34" s="79">
        <f>SUM(AC2:AC33)</f>
        <v>895</v>
      </c>
      <c r="AD34" s="80">
        <f>SUM(AD2:AD33)</f>
        <v>1417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March 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2026-03-09T11:46:07Z</dcterms:modified>
  <cp:category/>
  <cp:contentStatus/>
</cp:coreProperties>
</file>