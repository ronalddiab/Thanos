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2021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0 - 2021" sheetId="5" r:id="rId3"/>
  </sheets>
  <definedNames>
    <definedName name="_xlnm.Print_Area" localSheetId="2">'10 - 2021'!$A$1:$J$35</definedName>
  </definedNames>
  <calcPr calcId="162913"/>
</workbook>
</file>

<file path=xl/calcChain.xml><?xml version="1.0" encoding="utf-8"?>
<calcChain xmlns="http://schemas.openxmlformats.org/spreadsheetml/2006/main">
  <c r="L7" i="3" l="1"/>
  <c r="K7" i="3"/>
  <c r="I7" i="3"/>
  <c r="G7" i="3"/>
  <c r="E7" i="3"/>
  <c r="J7" i="2"/>
  <c r="I7" i="2"/>
  <c r="H7" i="2"/>
  <c r="F7" i="2"/>
  <c r="E7" i="2"/>
  <c r="E13" i="5"/>
  <c r="L6" i="3" l="1"/>
  <c r="K6" i="3"/>
  <c r="I6" i="3"/>
  <c r="G6" i="3"/>
  <c r="E6" i="3"/>
  <c r="J6" i="2"/>
  <c r="I6" i="2"/>
  <c r="H6" i="2"/>
  <c r="F6" i="2"/>
  <c r="E6" i="2"/>
  <c r="E12" i="5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K39" i="5" l="1"/>
  <c r="J39" i="5"/>
  <c r="I39" i="5"/>
  <c r="I40" i="5" s="1"/>
  <c r="H39" i="5"/>
  <c r="H40" i="5" s="1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J24" i="2" l="1"/>
  <c r="I24" i="2"/>
  <c r="H24" i="2"/>
  <c r="F24" i="2"/>
  <c r="E24" i="2"/>
  <c r="L24" i="3"/>
  <c r="K24" i="3"/>
  <c r="I24" i="3"/>
  <c r="G24" i="3"/>
  <c r="E24" i="3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L18" i="3"/>
  <c r="K18" i="3"/>
  <c r="I18" i="3"/>
  <c r="G18" i="3"/>
  <c r="E18" i="3"/>
  <c r="L17" i="3"/>
  <c r="K17" i="3"/>
  <c r="I17" i="3"/>
  <c r="G17" i="3"/>
  <c r="E17" i="3"/>
  <c r="L16" i="3"/>
  <c r="K16" i="3"/>
  <c r="I16" i="3"/>
  <c r="G16" i="3"/>
  <c r="E16" i="3"/>
  <c r="L15" i="3"/>
  <c r="K15" i="3"/>
  <c r="I15" i="3"/>
  <c r="G15" i="3"/>
  <c r="E15" i="3"/>
  <c r="J19" i="2"/>
  <c r="I19" i="2"/>
  <c r="H19" i="2"/>
  <c r="F19" i="2"/>
  <c r="E19" i="2"/>
  <c r="J18" i="2"/>
  <c r="I18" i="2"/>
  <c r="H18" i="2"/>
  <c r="F18" i="2"/>
  <c r="E18" i="2"/>
  <c r="J17" i="2"/>
  <c r="I17" i="2"/>
  <c r="H17" i="2"/>
  <c r="F17" i="2"/>
  <c r="E17" i="2"/>
  <c r="J16" i="2"/>
  <c r="I16" i="2"/>
  <c r="H16" i="2"/>
  <c r="F16" i="2"/>
  <c r="E16" i="2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3" i="3" l="1"/>
  <c r="K3" i="3"/>
  <c r="I3" i="3"/>
  <c r="G3" i="3"/>
  <c r="E3" i="3"/>
  <c r="J3" i="2"/>
  <c r="I3" i="2"/>
  <c r="H3" i="2"/>
  <c r="F3" i="2"/>
  <c r="E3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12" i="3" l="1"/>
  <c r="K12" i="3"/>
  <c r="I12" i="3"/>
  <c r="G12" i="3"/>
  <c r="E12" i="3"/>
  <c r="J12" i="2"/>
  <c r="I12" i="2"/>
  <c r="H12" i="2"/>
  <c r="F12" i="2"/>
  <c r="E12" i="2"/>
  <c r="L2" i="3" l="1"/>
  <c r="K2" i="3"/>
  <c r="I2" i="3"/>
  <c r="G2" i="3" l="1"/>
  <c r="E2" i="3"/>
  <c r="E2" i="2"/>
  <c r="J2" i="2" l="1"/>
  <c r="I2" i="2"/>
  <c r="H2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<sst xmlns="http://schemas.openxmlformats.org/spreadsheetml/2006/main" count="107" uniqueCount="38">
  <si>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</si>
  <si>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</si>
  <si>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</si>
  <si>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</si>
  <si>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</si>
  <si>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</si>
  <si>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</si>
  <si>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</si>
  <si>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</si>
  <si>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</si>
  <si>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</si>
  <si>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</si>
  <si>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</si>
  <si>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</si>
  <si>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</si>
  <si>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</si>
  <si>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</si>
  <si>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</si>
  <si>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</si>
  <si>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</si>
  <si>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</si>
  <si>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</si>
  <si>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</si>
  <si>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</si>
  <si>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</si>
  <si>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</si>
  <si>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</si>
  <si>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</si>
  <si>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</si>
  <si>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</si>
  <si>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</si>
  <si>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</si>
  <si>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</si>
  <si>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</si>
  <si>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</si>
  <si>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</si>
  <si>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</si>
  <si>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OCTOBER'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</si>
</sst>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7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7" fillId="3" borderId="2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164" fontId="5" fillId="0" borderId="14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43" fontId="5" fillId="0" borderId="17" xfId="2" applyFont="1" applyFill="1" applyBorder="1" applyAlignment="1">
      <alignment horizontal="center" vertic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43" fontId="5" fillId="0" borderId="1" xfId="0" applyNumberFormat="1" applyFont="1" applyBorder="1" applyAlignment="1">
      <alignment horizontal="center"/>
    </xf>
    <xf numFmtId="43" fontId="5" fillId="0" borderId="0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0" fontId="6" fillId="0" borderId="15" xfId="0" applyFont="1" applyBorder="1" applyAlignment="1">
      <alignment horizontal="center"/>
    </xf>
    <xf numFmtId="43" fontId="5" fillId="0" borderId="1" xfId="2" applyFont="1" applyBorder="1" applyAlignment="1">
      <alignment horizontal="center" vertical="top"/>
    </xf>
    <xf numFmtId="43" fontId="4" fillId="0" borderId="15" xfId="2" applyFont="1" applyBorder="1" applyAlignment="1">
      <alignment horizontal="center"/>
    </xf>
    <xf numFmtId="43" fontId="5" fillId="0" borderId="4" xfId="0" applyNumberFormat="1" applyFont="1" applyBorder="1" applyAlignment="1">
      <alignment horizontal="center"/>
    </xf>
    <xf numFmtId="1" fontId="0" fillId="0" borderId="0" xfId="0" applyNumberFormat="1" applyFill="1"/>
    <xf numFmtId="0" fontId="3" fillId="0" borderId="15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43" fontId="4" fillId="0" borderId="15" xfId="2" applyFont="1" applyBorder="1" applyAlignment="1">
      <alignment horizontal="center" wrapText="1"/>
    </xf>
    <xf numFmtId="0" fontId="0" fillId="0" borderId="15" xfId="0" applyBorder="1" applyAlignment="1">
      <alignment horizontal="center"/>
    </xf>
    <xf numFmtId="43" fontId="6" fillId="0" borderId="15" xfId="2" applyFont="1" applyBorder="1" applyAlignment="1">
      <alignment horizontal="center"/>
    </xf>
    <xf numFmtId="164" fontId="5" fillId="0" borderId="19" xfId="0" applyNumberFormat="1" applyFont="1" applyBorder="1" applyAlignment="1">
      <alignment horizontal="center"/>
    </xf>
    <xf numFmtId="43" fontId="5" fillId="0" borderId="20" xfId="2" applyFont="1" applyBorder="1" applyAlignment="1">
      <alignment horizontal="center" vertical="center"/>
    </xf>
    <xf numFmtId="43" fontId="5" fillId="2" borderId="20" xfId="2" applyFont="1" applyFill="1" applyBorder="1" applyAlignment="1">
      <alignment horizontal="center" vertical="center"/>
    </xf>
    <xf numFmtId="9" fontId="5" fillId="0" borderId="20" xfId="0" applyNumberFormat="1" applyFont="1" applyBorder="1" applyAlignment="1">
      <alignment horizontal="center" vertical="center"/>
    </xf>
    <xf numFmtId="43" fontId="6" fillId="0" borderId="20" xfId="2" applyFont="1" applyFill="1" applyBorder="1" applyAlignment="1" applyProtection="1">
      <alignment horizontal="center" vertical="center"/>
      <protection locked="0"/>
    </xf>
    <xf numFmtId="43" fontId="5" fillId="0" borderId="20" xfId="2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/>
    </xf>
    <xf numFmtId="43" fontId="4" fillId="0" borderId="22" xfId="2" applyFont="1" applyBorder="1" applyAlignment="1">
      <alignment horizontal="center"/>
    </xf>
    <xf numFmtId="43" fontId="6" fillId="0" borderId="17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3" fontId="5" fillId="0" borderId="17" xfId="2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workbookViewId="0">
      <selection activeCell="T10" sqref="T10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32" t="s">
        <v>19</v>
      </c>
      <c r="L1" s="4" t="s">
        <v>19</v>
      </c>
      <c r="M1" s="7" t="s">
        <v>20</v>
      </c>
      <c r="N1" s="31" t="s">
        <v>21</v>
      </c>
      <c r="O1" s="4"/>
    </row>
    <row r="2" spans="1:21" x14ac:dyDescent="0.25">
      <c r="A2" t="s">
        <v>27</v>
      </c>
      <c r="B2">
        <v>1</v>
      </c>
      <c r="C2" s="16">
        <v>10</v>
      </c>
      <c r="D2">
        <v>2021</v>
      </c>
      <c r="E2" s="18">
        <f>'10 - 2021'!B8-'10 - 2021'!B7+'10 - 2021'!C8-'10 - 2021'!C7</f>
        <v>9850</v>
      </c>
      <c r="F2" s="16">
        <v>0.11799999999999999</v>
      </c>
      <c r="G2" s="18">
        <f>'10 - 2021'!D8-'10 - 2021'!D7+'10 - 2021'!E8-'10 - 2021'!E7</f>
        <v>24.949999999999818</v>
      </c>
      <c r="H2" s="16">
        <v>0.99</v>
      </c>
      <c r="I2" s="18">
        <f>'10 - 2021'!J8-'10 - 2021'!J7</f>
        <v>38036</v>
      </c>
      <c r="J2" s="16">
        <v>8.1000000000000003E-2</v>
      </c>
      <c r="K2" s="33">
        <f>'10 - 2021'!H8-'10 - 2021'!H7</f>
        <v>0</v>
      </c>
      <c r="L2" s="18">
        <f>'10 - 2021'!I8-'10 - 2021'!I7</f>
        <v>113</v>
      </c>
      <c r="M2" s="17">
        <v>4.393629424766913</v>
      </c>
      <c r="N2" s="18">
        <v>101</v>
      </c>
    </row>
    <row r="3" spans="1:21" x14ac:dyDescent="0.25">
      <c r="A3" t="s">
        <v>27</v>
      </c>
      <c r="B3">
        <f>B2+1</f>
        <v>2</v>
      </c>
      <c r="C3" s="16">
        <v>10</v>
      </c>
      <c r="D3" s="16">
        <v>2021</v>
      </c>
      <c r="E3" s="18">
        <f>'10 - 2021'!B9-'10 - 2021'!B8+'10 - 2021'!C9-'10 - 2021'!C8</f>
        <v>10090</v>
      </c>
      <c r="F3" s="16">
        <v>0.11799999999999999</v>
      </c>
      <c r="G3" s="18">
        <f>'10 - 2021'!D9-'10 - 2021'!D8+'10 - 2021'!E9-'10 - 2021'!E8</f>
        <v>26.899999999999636</v>
      </c>
      <c r="H3" s="16">
        <v>0.99</v>
      </c>
      <c r="I3" s="18">
        <f>'10 - 2021'!J9-'10 - 2021'!J8</f>
        <v>41714</v>
      </c>
      <c r="J3" s="16">
        <v>8.1000000000000003E-2</v>
      </c>
      <c r="K3" s="33">
        <f>'10 - 2021'!H9-'10 - 2021'!H8</f>
        <v>0</v>
      </c>
      <c r="L3" s="18">
        <f>'10 - 2021'!I9-'10 - 2021'!I8</f>
        <v>119</v>
      </c>
      <c r="M3" s="17">
        <v>4.393629424766913</v>
      </c>
      <c r="N3" s="28">
        <v>99</v>
      </c>
    </row>
    <row r="4" spans="1:21" x14ac:dyDescent="0.25">
      <c r="A4" t="s">
        <v>27</v>
      </c>
      <c r="B4">
        <f t="shared" ref="B4:B31" si="0">B3+1</f>
        <v>3</v>
      </c>
      <c r="C4" s="16">
        <v>10</v>
      </c>
      <c r="D4" s="16">
        <v>2021</v>
      </c>
      <c r="E4" s="18">
        <f>'10 - 2021'!B10-'10 - 2021'!B9+'10 - 2021'!C10-'10 - 2021'!C9</f>
        <v>9901</v>
      </c>
      <c r="F4" s="16">
        <v>0.11799999999999999</v>
      </c>
      <c r="G4" s="18">
        <f>'10 - 2021'!D10-'10 - 2021'!D9+'10 - 2021'!E10-'10 - 2021'!E9</f>
        <v>27.720000000000255</v>
      </c>
      <c r="H4" s="16">
        <v>0.99</v>
      </c>
      <c r="I4" s="18">
        <f>'10 - 2021'!J10-'10 - 2021'!J9</f>
        <v>40425</v>
      </c>
      <c r="J4" s="16">
        <v>8.1000000000000003E-2</v>
      </c>
      <c r="K4" s="33">
        <f>'10 - 2021'!H10-'10 - 2021'!H9</f>
        <v>0</v>
      </c>
      <c r="L4" s="18">
        <f>'10 - 2021'!I10-'10 - 2021'!I9</f>
        <v>113</v>
      </c>
      <c r="M4" s="17">
        <v>4.393629424766913</v>
      </c>
      <c r="N4" s="28">
        <v>85</v>
      </c>
    </row>
    <row r="5" spans="1:21" x14ac:dyDescent="0.25">
      <c r="A5" t="s">
        <v>27</v>
      </c>
      <c r="B5">
        <f t="shared" si="0"/>
        <v>4</v>
      </c>
      <c r="C5" s="16">
        <v>10</v>
      </c>
      <c r="D5" s="16">
        <v>2021</v>
      </c>
      <c r="E5" s="18">
        <f>'10 - 2021'!B11-'10 - 2021'!B10+'10 - 2021'!C11-'10 - 2021'!C10</f>
        <v>9935</v>
      </c>
      <c r="F5" s="16">
        <v>0.11799999999999999</v>
      </c>
      <c r="G5" s="18">
        <f>'10 - 2021'!D11-'10 - 2021'!D10+'10 - 2021'!E11-'10 - 2021'!E10</f>
        <v>27.75</v>
      </c>
      <c r="H5" s="16">
        <v>0.99</v>
      </c>
      <c r="I5" s="18">
        <f>'10 - 2021'!J11-'10 - 2021'!J10</f>
        <v>33935</v>
      </c>
      <c r="J5" s="16">
        <v>8.1000000000000003E-2</v>
      </c>
      <c r="K5" s="33">
        <f>'10 - 2021'!H11-'10 - 2021'!H10</f>
        <v>0</v>
      </c>
      <c r="L5" s="18">
        <f>'10 - 2021'!I11-'10 - 2021'!I10</f>
        <v>103</v>
      </c>
      <c r="M5" s="17">
        <v>4.393629424766913</v>
      </c>
      <c r="N5" s="28">
        <v>94</v>
      </c>
      <c r="R5" s="16"/>
    </row>
    <row r="6" spans="1:21" x14ac:dyDescent="0.25">
      <c r="A6" t="s">
        <v>27</v>
      </c>
      <c r="B6">
        <f t="shared" si="0"/>
        <v>5</v>
      </c>
      <c r="C6" s="16">
        <v>10</v>
      </c>
      <c r="D6" s="16">
        <v>2021</v>
      </c>
      <c r="E6" s="18">
        <f>'10 - 2021'!B12-'10 - 2021'!B11+'10 - 2021'!C12-'10 - 2021'!C11</f>
        <v>9742</v>
      </c>
      <c r="F6" s="16">
        <v>0.11799999999999999</v>
      </c>
      <c r="G6" s="18">
        <f>'10 - 2021'!D12-'10 - 2021'!D11+'10 - 2021'!E12-'10 - 2021'!E11</f>
        <v>26.899999999999636</v>
      </c>
      <c r="H6" s="16">
        <v>0.99</v>
      </c>
      <c r="I6" s="18">
        <f>'10 - 2021'!J12-'10 - 2021'!J11</f>
        <v>33582</v>
      </c>
      <c r="J6" s="16">
        <v>8.1000000000000003E-2</v>
      </c>
      <c r="K6" s="33">
        <f>'10 - 2021'!H12-'10 - 2021'!H11</f>
        <v>0</v>
      </c>
      <c r="L6" s="18">
        <f>'10 - 2021'!I12-'10 - 2021'!I11</f>
        <v>111</v>
      </c>
      <c r="M6" s="17">
        <v>4.393629424766913</v>
      </c>
      <c r="N6" s="28">
        <v>97</v>
      </c>
    </row>
    <row r="7" spans="1:21" x14ac:dyDescent="0.25">
      <c r="A7" t="s">
        <v>27</v>
      </c>
      <c r="B7">
        <f t="shared" si="0"/>
        <v>6</v>
      </c>
      <c r="C7" s="16">
        <v>10</v>
      </c>
      <c r="D7" s="16">
        <v>2021</v>
      </c>
      <c r="E7" s="18">
        <f>'10 - 2021'!B13-'10 - 2021'!B12+'10 - 2021'!C13-'10 - 2021'!C12</f>
        <v>9089</v>
      </c>
      <c r="F7" s="16">
        <v>0.11799999999999999</v>
      </c>
      <c r="G7" s="18">
        <f>'10 - 2021'!D13-'10 - 2021'!D12+'10 - 2021'!E13-'10 - 2021'!E12</f>
        <v>26.920000000000073</v>
      </c>
      <c r="H7" s="16">
        <v>0.99</v>
      </c>
      <c r="I7" s="18">
        <f>'10 - 2021'!J13-'10 - 2021'!J12</f>
        <v>35556</v>
      </c>
      <c r="J7" s="16">
        <v>8.1000000000000003E-2</v>
      </c>
      <c r="K7" s="33">
        <f>'10 - 2021'!H13-'10 - 2021'!H12</f>
        <v>0</v>
      </c>
      <c r="L7" s="18">
        <f>'10 - 2021'!I13-'10 - 2021'!I12</f>
        <v>113</v>
      </c>
      <c r="M7" s="17">
        <v>4.393629424766913</v>
      </c>
      <c r="N7" s="28">
        <v>99</v>
      </c>
    </row>
    <row r="8" spans="1:21" x14ac:dyDescent="0.25">
      <c r="A8" t="s">
        <v>27</v>
      </c>
      <c r="B8">
        <f t="shared" si="0"/>
        <v>7</v>
      </c>
      <c r="C8" s="16">
        <v>10</v>
      </c>
      <c r="D8" s="16">
        <v>2021</v>
      </c>
      <c r="E8" s="18">
        <v>0</v>
      </c>
      <c r="F8" s="16">
        <v>0.11799999999999999</v>
      </c>
      <c r="G8" s="18">
        <v>0</v>
      </c>
      <c r="H8" s="16">
        <v>0.99</v>
      </c>
      <c r="I8" s="18">
        <v>0</v>
      </c>
      <c r="J8" s="16">
        <v>8.1000000000000003E-2</v>
      </c>
      <c r="K8" s="33">
        <v>0</v>
      </c>
      <c r="L8" s="18">
        <v>0</v>
      </c>
      <c r="M8" s="17">
        <v>4.393629424766913</v>
      </c>
      <c r="O8" s="18"/>
    </row>
    <row r="9" spans="1:21" x14ac:dyDescent="0.25">
      <c r="A9" t="s">
        <v>27</v>
      </c>
      <c r="B9">
        <f t="shared" si="0"/>
        <v>8</v>
      </c>
      <c r="C9" s="16">
        <v>10</v>
      </c>
      <c r="D9" s="16">
        <v>2021</v>
      </c>
      <c r="E9" s="18">
        <f>'10 - 2021'!B15-'10 - 2021'!B14+'10 - 2021'!C15-'10 - 2021'!C14</f>
        <v>0</v>
      </c>
      <c r="F9" s="16">
        <v>0.11799999999999999</v>
      </c>
      <c r="G9" s="18">
        <f>'10 - 2021'!D15-'10 - 2021'!D14+'10 - 2021'!E15-'10 - 2021'!E14</f>
        <v>0</v>
      </c>
      <c r="H9" s="16">
        <v>0.99</v>
      </c>
      <c r="I9" s="18">
        <f>'10 - 2021'!J15-'10 - 2021'!J14</f>
        <v>0</v>
      </c>
      <c r="J9" s="16">
        <v>8.1000000000000003E-2</v>
      </c>
      <c r="K9" s="33">
        <f>'10 - 2021'!H15-'10 - 2021'!H14</f>
        <v>0</v>
      </c>
      <c r="L9" s="18">
        <f>'10 - 2021'!I15-'10 - 2021'!I14</f>
        <v>0</v>
      </c>
      <c r="M9" s="17">
        <v>4.393629424766913</v>
      </c>
      <c r="N9" s="28"/>
    </row>
    <row r="10" spans="1:21" x14ac:dyDescent="0.25">
      <c r="A10" t="s">
        <v>27</v>
      </c>
      <c r="B10">
        <f t="shared" si="0"/>
        <v>9</v>
      </c>
      <c r="C10" s="16">
        <v>10</v>
      </c>
      <c r="D10" s="16">
        <v>2021</v>
      </c>
      <c r="E10" s="18">
        <f>'10 - 2021'!B16-'10 - 2021'!B15+'10 - 2021'!C16-'10 - 2021'!C15</f>
        <v>0</v>
      </c>
      <c r="F10" s="16">
        <v>0.11799999999999999</v>
      </c>
      <c r="G10" s="18">
        <f>'10 - 2021'!D16-'10 - 2021'!D15+'10 - 2021'!E16-'10 - 2021'!E15</f>
        <v>0</v>
      </c>
      <c r="H10" s="16">
        <v>0.99</v>
      </c>
      <c r="I10" s="18">
        <f>'10 - 2021'!J16-'10 - 2021'!J15</f>
        <v>0</v>
      </c>
      <c r="J10" s="16">
        <v>8.1000000000000003E-2</v>
      </c>
      <c r="K10" s="33">
        <f>'10 - 2021'!H16-'10 - 2021'!H15</f>
        <v>0</v>
      </c>
      <c r="L10" s="18">
        <f>'10 - 2021'!I16-'10 - 2021'!I15</f>
        <v>0</v>
      </c>
      <c r="M10" s="17">
        <v>4.393629424766913</v>
      </c>
      <c r="N10" s="28"/>
    </row>
    <row r="11" spans="1:21" x14ac:dyDescent="0.25">
      <c r="A11" t="s">
        <v>27</v>
      </c>
      <c r="B11">
        <f t="shared" si="0"/>
        <v>10</v>
      </c>
      <c r="C11" s="16">
        <v>10</v>
      </c>
      <c r="D11" s="16">
        <v>2021</v>
      </c>
      <c r="E11" s="18">
        <f>'10 - 2021'!B17-'10 - 2021'!B16+'10 - 2021'!C17-'10 - 2021'!C16</f>
        <v>0</v>
      </c>
      <c r="F11" s="16">
        <v>0.11799999999999999</v>
      </c>
      <c r="G11" s="18">
        <f>'10 - 2021'!D17-'10 - 2021'!D16+'10 - 2021'!E17-'10 - 2021'!E16</f>
        <v>0</v>
      </c>
      <c r="H11" s="16">
        <v>0.99</v>
      </c>
      <c r="I11" s="18">
        <f>'10 - 2021'!J17-'10 - 2021'!J16</f>
        <v>0</v>
      </c>
      <c r="J11" s="16">
        <v>8.1000000000000003E-2</v>
      </c>
      <c r="K11" s="33">
        <f>'10 - 2021'!H17-'10 - 2021'!H16</f>
        <v>0</v>
      </c>
      <c r="L11" s="18">
        <f>'10 - 2021'!I17-'10 - 2021'!I16</f>
        <v>0</v>
      </c>
      <c r="M11" s="17">
        <v>4.393629424766913</v>
      </c>
      <c r="N11" s="28"/>
    </row>
    <row r="12" spans="1:21" x14ac:dyDescent="0.25">
      <c r="A12" t="s">
        <v>27</v>
      </c>
      <c r="B12">
        <f t="shared" si="0"/>
        <v>11</v>
      </c>
      <c r="C12" s="16">
        <v>10</v>
      </c>
      <c r="D12" s="16">
        <v>2021</v>
      </c>
      <c r="E12" s="18">
        <f>'10 - 2021'!B18-'10 - 2021'!B17+'10 - 2021'!C18-'10 - 2021'!C17</f>
        <v>0</v>
      </c>
      <c r="F12" s="16">
        <v>0.11799999999999999</v>
      </c>
      <c r="G12" s="18">
        <f>'10 - 2021'!D18-'10 - 2021'!D17+'10 - 2021'!E18-'10 - 2021'!E17</f>
        <v>0</v>
      </c>
      <c r="H12" s="16">
        <v>0.99</v>
      </c>
      <c r="I12" s="18">
        <f>'10 - 2021'!J18-'10 - 2021'!J17</f>
        <v>0</v>
      </c>
      <c r="J12" s="16">
        <v>8.1000000000000003E-2</v>
      </c>
      <c r="K12" s="33">
        <f>'10 - 2021'!H18-'10 - 2021'!H17</f>
        <v>0</v>
      </c>
      <c r="L12" s="18">
        <f>'10 - 2021'!I18-'10 - 2021'!I17</f>
        <v>0</v>
      </c>
      <c r="M12" s="17">
        <v>4.393629424766913</v>
      </c>
      <c r="N12" s="18"/>
    </row>
    <row r="13" spans="1:21" x14ac:dyDescent="0.25">
      <c r="A13" t="s">
        <v>27</v>
      </c>
      <c r="B13">
        <f t="shared" si="0"/>
        <v>12</v>
      </c>
      <c r="C13" s="16">
        <v>10</v>
      </c>
      <c r="D13" s="16">
        <v>2021</v>
      </c>
      <c r="E13" s="18">
        <f>'10 - 2021'!B19-'10 - 2021'!B18+'10 - 2021'!C19-'10 - 2021'!C18</f>
        <v>0</v>
      </c>
      <c r="F13" s="16">
        <v>0.11799999999999999</v>
      </c>
      <c r="G13" s="18">
        <f>'10 - 2021'!D19-'10 - 2021'!D18+'10 - 2021'!E19-'10 - 2021'!E18</f>
        <v>0</v>
      </c>
      <c r="H13" s="16">
        <v>0.99</v>
      </c>
      <c r="I13" s="18">
        <f>'10 - 2021'!J19-'10 - 2021'!J18</f>
        <v>0</v>
      </c>
      <c r="J13" s="16">
        <v>8.1000000000000003E-2</v>
      </c>
      <c r="K13" s="33">
        <f>'10 - 2021'!H19-'10 - 2021'!H18</f>
        <v>0</v>
      </c>
      <c r="L13" s="18">
        <f>'10 - 2021'!I19-'10 - 2021'!I18</f>
        <v>0</v>
      </c>
      <c r="M13" s="17">
        <v>4.393629424766913</v>
      </c>
      <c r="N13" s="18"/>
    </row>
    <row r="14" spans="1:21" x14ac:dyDescent="0.25">
      <c r="A14" t="s">
        <v>27</v>
      </c>
      <c r="B14">
        <f t="shared" si="0"/>
        <v>13</v>
      </c>
      <c r="C14" s="16">
        <v>10</v>
      </c>
      <c r="D14" s="16">
        <v>2021</v>
      </c>
      <c r="E14" s="18">
        <f>'10 - 2021'!B20-'10 - 2021'!B19+'10 - 2021'!C20-'10 - 2021'!C19</f>
        <v>0</v>
      </c>
      <c r="F14" s="16">
        <v>0.11799999999999999</v>
      </c>
      <c r="G14" s="18">
        <f>'10 - 2021'!D20-'10 - 2021'!D19+'10 - 2021'!E20-'10 - 2021'!E19</f>
        <v>0</v>
      </c>
      <c r="H14" s="16">
        <v>0.99</v>
      </c>
      <c r="I14" s="18">
        <f>'10 - 2021'!J20-'10 - 2021'!J19</f>
        <v>0</v>
      </c>
      <c r="J14" s="16">
        <v>8.1000000000000003E-2</v>
      </c>
      <c r="K14" s="33">
        <f>'10 - 2021'!H20-'10 - 2021'!H19</f>
        <v>0</v>
      </c>
      <c r="L14" s="18">
        <f>'10 - 2021'!I20-'10 - 2021'!I19</f>
        <v>0</v>
      </c>
      <c r="M14" s="17">
        <v>4.393629424766913</v>
      </c>
      <c r="N14" s="18"/>
      <c r="O14" s="18"/>
    </row>
    <row r="15" spans="1:21" x14ac:dyDescent="0.25">
      <c r="A15" t="s">
        <v>27</v>
      </c>
      <c r="B15">
        <f t="shared" si="0"/>
        <v>14</v>
      </c>
      <c r="C15" s="16">
        <v>10</v>
      </c>
      <c r="D15" s="16">
        <v>2021</v>
      </c>
      <c r="E15" s="18">
        <f>'10 - 2021'!B21-'10 - 2021'!B20+'10 - 2021'!C21-'10 - 2021'!C20</f>
        <v>0</v>
      </c>
      <c r="F15" s="16">
        <v>0.11799999999999999</v>
      </c>
      <c r="G15" s="18">
        <f>'10 - 2021'!D21-'10 - 2021'!D20+'10 - 2021'!E21-'10 - 2021'!E20</f>
        <v>0</v>
      </c>
      <c r="H15" s="16">
        <v>0.99</v>
      </c>
      <c r="I15" s="18">
        <f>'10 - 2021'!J21-'10 - 2021'!J20</f>
        <v>0</v>
      </c>
      <c r="J15" s="16">
        <v>8.1000000000000003E-2</v>
      </c>
      <c r="K15" s="33">
        <f>'10 - 2021'!H21-'10 - 2021'!H20</f>
        <v>0</v>
      </c>
      <c r="L15" s="18">
        <f>'10 - 2021'!I21-'10 - 2021'!I20</f>
        <v>0</v>
      </c>
      <c r="M15" s="17">
        <v>4.393629424766913</v>
      </c>
      <c r="N15" s="18"/>
      <c r="R15" s="16"/>
    </row>
    <row r="16" spans="1:21" x14ac:dyDescent="0.25">
      <c r="A16" t="s">
        <v>27</v>
      </c>
      <c r="B16">
        <f t="shared" si="0"/>
        <v>15</v>
      </c>
      <c r="C16" s="16">
        <v>10</v>
      </c>
      <c r="D16" s="16">
        <v>2021</v>
      </c>
      <c r="E16" s="18">
        <f>'10 - 2021'!B22-'10 - 2021'!B21+'10 - 2021'!C22-'10 - 2021'!C21</f>
        <v>0</v>
      </c>
      <c r="F16" s="16">
        <v>0.11799999999999999</v>
      </c>
      <c r="G16" s="18">
        <f>'10 - 2021'!D22-'10 - 2021'!D21+'10 - 2021'!E22-'10 - 2021'!E21</f>
        <v>0</v>
      </c>
      <c r="H16" s="16">
        <v>0.99</v>
      </c>
      <c r="I16" s="18">
        <f>'10 - 2021'!J22-'10 - 2021'!J21</f>
        <v>0</v>
      </c>
      <c r="J16" s="16">
        <v>8.1000000000000003E-2</v>
      </c>
      <c r="K16" s="33">
        <f>'10 - 2021'!H22-'10 - 2021'!H21</f>
        <v>0</v>
      </c>
      <c r="L16" s="18">
        <f>'10 - 2021'!I22-'10 - 2021'!I21</f>
        <v>0</v>
      </c>
      <c r="M16" s="17">
        <v>4.393629424766913</v>
      </c>
      <c r="N16" s="18"/>
      <c r="U16" s="16"/>
    </row>
    <row r="17" spans="1:17" x14ac:dyDescent="0.25">
      <c r="A17" t="s">
        <v>27</v>
      </c>
      <c r="B17">
        <f t="shared" si="0"/>
        <v>16</v>
      </c>
      <c r="C17" s="16">
        <v>10</v>
      </c>
      <c r="D17" s="16">
        <v>2021</v>
      </c>
      <c r="E17" s="18">
        <f>'10 - 2021'!B23-'10 - 2021'!B22+'10 - 2021'!C23-'10 - 2021'!C22</f>
        <v>0</v>
      </c>
      <c r="F17" s="16">
        <v>0.11799999999999999</v>
      </c>
      <c r="G17" s="18">
        <f>'10 - 2021'!D23-'10 - 2021'!D22+'10 - 2021'!E23-'10 - 2021'!E22</f>
        <v>0</v>
      </c>
      <c r="H17" s="16">
        <v>0.99</v>
      </c>
      <c r="I17" s="18">
        <f>'10 - 2021'!J23-'10 - 2021'!J22</f>
        <v>0</v>
      </c>
      <c r="J17" s="16">
        <v>8.1000000000000003E-2</v>
      </c>
      <c r="K17" s="33">
        <f>'10 - 2021'!H23-'10 - 2021'!H22</f>
        <v>0</v>
      </c>
      <c r="L17" s="18">
        <f>'10 - 2021'!I23-'10 - 2021'!I22</f>
        <v>0</v>
      </c>
      <c r="M17" s="17">
        <v>4.393629424766913</v>
      </c>
      <c r="N17" s="18"/>
      <c r="O17" s="16"/>
    </row>
    <row r="18" spans="1:17" x14ac:dyDescent="0.25">
      <c r="A18" t="s">
        <v>27</v>
      </c>
      <c r="B18">
        <f t="shared" si="0"/>
        <v>17</v>
      </c>
      <c r="C18" s="16">
        <v>10</v>
      </c>
      <c r="D18" s="16">
        <v>2021</v>
      </c>
      <c r="E18" s="18">
        <f>'10 - 2021'!B24-'10 - 2021'!B23+'10 - 2021'!C24-'10 - 2021'!C23</f>
        <v>0</v>
      </c>
      <c r="F18" s="16">
        <v>0.11799999999999999</v>
      </c>
      <c r="G18" s="18">
        <f>'10 - 2021'!D24-'10 - 2021'!D23+'10 - 2021'!E24-'10 - 2021'!E23</f>
        <v>0</v>
      </c>
      <c r="H18" s="16">
        <v>0.99</v>
      </c>
      <c r="I18" s="18">
        <f>'10 - 2021'!J24-'10 - 2021'!J23</f>
        <v>0</v>
      </c>
      <c r="J18" s="16">
        <v>8.1000000000000003E-2</v>
      </c>
      <c r="K18" s="33">
        <f>'10 - 2021'!H24-'10 - 2021'!H23</f>
        <v>0</v>
      </c>
      <c r="L18" s="18">
        <f>'10 - 2021'!I24-'10 - 2021'!I23</f>
        <v>0</v>
      </c>
      <c r="M18" s="17">
        <v>4.393629424766913</v>
      </c>
      <c r="N18" s="18"/>
      <c r="Q18" s="16"/>
    </row>
    <row r="19" spans="1:17" x14ac:dyDescent="0.25">
      <c r="A19" t="s">
        <v>27</v>
      </c>
      <c r="B19">
        <f>B18+1</f>
        <v>18</v>
      </c>
      <c r="C19" s="16">
        <v>10</v>
      </c>
      <c r="D19" s="16">
        <v>2021</v>
      </c>
      <c r="E19" s="18">
        <f>'10 - 2021'!B25-'10 - 2021'!B24+'10 - 2021'!C25-'10 - 2021'!C24</f>
        <v>0</v>
      </c>
      <c r="F19" s="16">
        <v>0.11799999999999999</v>
      </c>
      <c r="G19" s="18">
        <f>'10 - 2021'!D25-'10 - 2021'!D24+'10 - 2021'!E25-'10 - 2021'!E24</f>
        <v>0</v>
      </c>
      <c r="H19" s="16">
        <v>0.99</v>
      </c>
      <c r="I19" s="18">
        <f>'10 - 2021'!J25-'10 - 2021'!J24</f>
        <v>0</v>
      </c>
      <c r="J19" s="16">
        <v>8.1000000000000003E-2</v>
      </c>
      <c r="K19" s="33">
        <f>'10 - 2021'!H25-'10 - 2021'!H24</f>
        <v>0</v>
      </c>
      <c r="L19" s="18">
        <f>'10 - 2021'!I25-'10 - 2021'!I24</f>
        <v>0</v>
      </c>
      <c r="M19" s="17">
        <v>4.393629424766913</v>
      </c>
      <c r="N19" s="18"/>
    </row>
    <row r="20" spans="1:17" x14ac:dyDescent="0.25">
      <c r="A20" t="s">
        <v>27</v>
      </c>
      <c r="B20">
        <f t="shared" si="0"/>
        <v>19</v>
      </c>
      <c r="C20" s="16">
        <v>10</v>
      </c>
      <c r="D20" s="16">
        <v>2021</v>
      </c>
      <c r="E20" s="18">
        <f>'10 - 2021'!B26-'10 - 2021'!B25+'10 - 2021'!C26-'10 - 2021'!C25</f>
        <v>0</v>
      </c>
      <c r="F20" s="16">
        <v>0.11799999999999999</v>
      </c>
      <c r="G20" s="18">
        <f>'10 - 2021'!D26-'10 - 2021'!D25+'10 - 2021'!E26-'10 - 2021'!E25</f>
        <v>0</v>
      </c>
      <c r="H20" s="16">
        <v>0.99</v>
      </c>
      <c r="I20" s="18">
        <f>'10 - 2021'!J26-'10 - 2021'!J25</f>
        <v>0</v>
      </c>
      <c r="J20" s="16">
        <v>8.1000000000000003E-2</v>
      </c>
      <c r="K20" s="33">
        <f>'10 - 2021'!H26-'10 - 2021'!H25</f>
        <v>0</v>
      </c>
      <c r="L20" s="18">
        <f>'10 - 2021'!I26-'10 - 2021'!I25</f>
        <v>0</v>
      </c>
      <c r="M20" s="17">
        <v>4.393629424766913</v>
      </c>
      <c r="N20" s="18"/>
    </row>
    <row r="21" spans="1:17" x14ac:dyDescent="0.25">
      <c r="A21" t="s">
        <v>27</v>
      </c>
      <c r="B21">
        <f t="shared" si="0"/>
        <v>20</v>
      </c>
      <c r="C21" s="16">
        <v>10</v>
      </c>
      <c r="D21" s="16">
        <v>2021</v>
      </c>
      <c r="E21" s="18">
        <f>'10 - 2021'!B27-'10 - 2021'!B26+'10 - 2021'!C27-'10 - 2021'!C26</f>
        <v>0</v>
      </c>
      <c r="F21" s="16">
        <v>0.11799999999999999</v>
      </c>
      <c r="G21" s="18">
        <f>'10 - 2021'!D27-'10 - 2021'!D26+'10 - 2021'!E27-'10 - 2021'!E26</f>
        <v>0</v>
      </c>
      <c r="H21" s="16">
        <v>0.99</v>
      </c>
      <c r="I21" s="18">
        <f>'10 - 2021'!J27-'10 - 2021'!J26</f>
        <v>0</v>
      </c>
      <c r="J21" s="16">
        <v>8.1000000000000003E-2</v>
      </c>
      <c r="K21" s="33">
        <f>'10 - 2021'!H27-'10 - 2021'!H26</f>
        <v>0</v>
      </c>
      <c r="L21" s="18">
        <f>'10 - 2021'!I27-'10 - 2021'!I26</f>
        <v>0</v>
      </c>
      <c r="M21" s="17">
        <v>4.393629424766913</v>
      </c>
      <c r="N21" s="18"/>
    </row>
    <row r="22" spans="1:17" x14ac:dyDescent="0.25">
      <c r="A22" t="s">
        <v>27</v>
      </c>
      <c r="B22">
        <f t="shared" si="0"/>
        <v>21</v>
      </c>
      <c r="C22" s="16">
        <v>10</v>
      </c>
      <c r="D22" s="16">
        <v>2021</v>
      </c>
      <c r="E22" s="18">
        <f>'10 - 2021'!B28-'10 - 2021'!B27+'10 - 2021'!C28-'10 - 2021'!C27</f>
        <v>0</v>
      </c>
      <c r="F22" s="16">
        <v>0.11799999999999999</v>
      </c>
      <c r="G22" s="18">
        <f>'10 - 2021'!D28-'10 - 2021'!D27+'10 - 2021'!E28-'10 - 2021'!E27</f>
        <v>0</v>
      </c>
      <c r="H22" s="16">
        <v>0.99</v>
      </c>
      <c r="I22" s="18">
        <f>'10 - 2021'!J28-'10 - 2021'!J27</f>
        <v>0</v>
      </c>
      <c r="J22" s="16">
        <v>8.1000000000000003E-2</v>
      </c>
      <c r="K22" s="33">
        <f>'10 - 2021'!H28-'10 - 2021'!H27</f>
        <v>0</v>
      </c>
      <c r="L22" s="18">
        <f>'10 - 2021'!I28-'10 - 2021'!I27</f>
        <v>0</v>
      </c>
      <c r="M22" s="17">
        <v>4.393629424766913</v>
      </c>
      <c r="N22" s="18"/>
    </row>
    <row r="23" spans="1:17" x14ac:dyDescent="0.25">
      <c r="A23" t="s">
        <v>27</v>
      </c>
      <c r="B23">
        <f t="shared" si="0"/>
        <v>22</v>
      </c>
      <c r="C23" s="16">
        <v>10</v>
      </c>
      <c r="D23" s="16">
        <v>2021</v>
      </c>
      <c r="E23" s="18">
        <f>'10 - 2021'!B29-'10 - 2021'!B28+'10 - 2021'!C29-'10 - 2021'!C28</f>
        <v>0</v>
      </c>
      <c r="F23" s="16">
        <v>0.11799999999999999</v>
      </c>
      <c r="G23" s="18">
        <f>'10 - 2021'!D29-'10 - 2021'!D28+'10 - 2021'!E29-'10 - 2021'!E28</f>
        <v>0</v>
      </c>
      <c r="H23" s="16">
        <v>0.99</v>
      </c>
      <c r="I23" s="18">
        <f>'10 - 2021'!J29-'10 - 2021'!J28</f>
        <v>0</v>
      </c>
      <c r="J23" s="16">
        <v>8.1000000000000003E-2</v>
      </c>
      <c r="K23" s="33">
        <f>'10 - 2021'!H29-'10 - 2021'!H28</f>
        <v>0</v>
      </c>
      <c r="L23" s="18">
        <f>'10 - 2021'!I29-'10 - 2021'!I28</f>
        <v>0</v>
      </c>
      <c r="M23" s="17">
        <v>4.393629424766913</v>
      </c>
      <c r="N23" s="18"/>
    </row>
    <row r="24" spans="1:17" x14ac:dyDescent="0.25">
      <c r="A24" t="s">
        <v>27</v>
      </c>
      <c r="B24">
        <f t="shared" si="0"/>
        <v>23</v>
      </c>
      <c r="C24" s="16">
        <v>10</v>
      </c>
      <c r="D24" s="16">
        <v>2021</v>
      </c>
      <c r="E24" s="18">
        <f>'10 - 2021'!B30-'10 - 2021'!B29+'10 - 2021'!C30-'10 - 2021'!C29</f>
        <v>0</v>
      </c>
      <c r="F24" s="16">
        <v>0.11799999999999999</v>
      </c>
      <c r="G24" s="18">
        <f>'10 - 2021'!D30-'10 - 2021'!D29+'10 - 2021'!E30-'10 - 2021'!E29</f>
        <v>0</v>
      </c>
      <c r="H24" s="16">
        <v>0.99</v>
      </c>
      <c r="I24" s="18">
        <f>'10 - 2021'!J30-'10 - 2021'!J29</f>
        <v>0</v>
      </c>
      <c r="J24" s="16">
        <v>8.1000000000000003E-2</v>
      </c>
      <c r="K24" s="33">
        <f>'10 - 2021'!H30-'10 - 2021'!H29</f>
        <v>0</v>
      </c>
      <c r="L24" s="18">
        <f>'10 - 2021'!I30-'10 - 2021'!I29</f>
        <v>0</v>
      </c>
      <c r="M24" s="17">
        <v>4.393629424766913</v>
      </c>
      <c r="N24" s="18"/>
    </row>
    <row r="25" spans="1:17" x14ac:dyDescent="0.25">
      <c r="A25" t="s">
        <v>27</v>
      </c>
      <c r="B25">
        <f t="shared" si="0"/>
        <v>24</v>
      </c>
      <c r="C25" s="16">
        <v>10</v>
      </c>
      <c r="D25" s="16">
        <v>2021</v>
      </c>
      <c r="E25" s="18">
        <f>'10 - 2021'!B31-'10 - 2021'!B30+'10 - 2021'!C31-'10 - 2021'!C30</f>
        <v>0</v>
      </c>
      <c r="F25" s="16">
        <v>0.11799999999999999</v>
      </c>
      <c r="G25" s="18">
        <f>'10 - 2021'!D31-'10 - 2021'!D30+'10 - 2021'!E31-'10 - 2021'!E30</f>
        <v>0</v>
      </c>
      <c r="H25" s="16">
        <v>0.99</v>
      </c>
      <c r="I25" s="18">
        <f>'10 - 2021'!J31-'10 - 2021'!J30</f>
        <v>0</v>
      </c>
      <c r="J25" s="16">
        <v>8.1000000000000003E-2</v>
      </c>
      <c r="K25" s="33">
        <f>'10 - 2021'!H31-'10 - 2021'!H30</f>
        <v>0</v>
      </c>
      <c r="L25" s="18">
        <f>'10 - 2021'!I31-'10 - 2021'!I30</f>
        <v>0</v>
      </c>
      <c r="M25" s="17">
        <v>4.393629424766913</v>
      </c>
      <c r="N25" s="18"/>
      <c r="P25" s="14"/>
    </row>
    <row r="26" spans="1:17" x14ac:dyDescent="0.25">
      <c r="A26" t="s">
        <v>27</v>
      </c>
      <c r="B26">
        <f>B25+1</f>
        <v>25</v>
      </c>
      <c r="C26" s="16">
        <v>10</v>
      </c>
      <c r="D26" s="16">
        <v>2021</v>
      </c>
      <c r="E26" s="18">
        <f>'10 - 2021'!B32-'10 - 2021'!B31+'10 - 2021'!C32-'10 - 2021'!C31</f>
        <v>0</v>
      </c>
      <c r="F26" s="16">
        <v>0.11799999999999999</v>
      </c>
      <c r="G26" s="18">
        <f>'10 - 2021'!D32-'10 - 2021'!D31+'10 - 2021'!E32-'10 - 2021'!E31</f>
        <v>0</v>
      </c>
      <c r="H26" s="16">
        <v>0.99</v>
      </c>
      <c r="I26" s="18">
        <f>'10 - 2021'!J32-'10 - 2021'!J31</f>
        <v>0</v>
      </c>
      <c r="J26" s="16">
        <v>8.1000000000000003E-2</v>
      </c>
      <c r="K26" s="33">
        <f>'10 - 2021'!H32-'10 - 2021'!H31</f>
        <v>0</v>
      </c>
      <c r="L26" s="18">
        <f>'10 - 2021'!I32-'10 - 2021'!I31</f>
        <v>0</v>
      </c>
      <c r="M26" s="17">
        <v>4.393629424766913</v>
      </c>
      <c r="N26" s="29"/>
    </row>
    <row r="27" spans="1:17" x14ac:dyDescent="0.25">
      <c r="A27" t="s">
        <v>27</v>
      </c>
      <c r="B27">
        <f t="shared" si="0"/>
        <v>26</v>
      </c>
      <c r="C27" s="16">
        <v>10</v>
      </c>
      <c r="D27" s="16">
        <v>2021</v>
      </c>
      <c r="E27" s="18">
        <f>'10 - 2021'!B33-'10 - 2021'!B32+'10 - 2021'!C33-'10 - 2021'!C32</f>
        <v>0</v>
      </c>
      <c r="F27" s="16">
        <v>0.11799999999999999</v>
      </c>
      <c r="G27" s="18">
        <f>'10 - 2021'!D33-'10 - 2021'!D32+'10 - 2021'!E33-'10 - 2021'!E32</f>
        <v>0</v>
      </c>
      <c r="H27" s="16">
        <v>0.99</v>
      </c>
      <c r="I27" s="18">
        <f>'10 - 2021'!J33-'10 - 2021'!J32</f>
        <v>0</v>
      </c>
      <c r="J27" s="16">
        <v>8.1000000000000003E-2</v>
      </c>
      <c r="K27" s="33">
        <f>'10 - 2021'!H33-'10 - 2021'!H32</f>
        <v>0</v>
      </c>
      <c r="L27" s="18">
        <f>'10 - 2021'!I33-'10 - 2021'!I32</f>
        <v>0</v>
      </c>
      <c r="M27" s="17">
        <v>4.393629424766913</v>
      </c>
      <c r="N27" s="29"/>
    </row>
    <row r="28" spans="1:17" x14ac:dyDescent="0.25">
      <c r="A28" t="s">
        <v>27</v>
      </c>
      <c r="B28">
        <f t="shared" si="0"/>
        <v>27</v>
      </c>
      <c r="C28" s="16">
        <v>10</v>
      </c>
      <c r="D28" s="16">
        <v>2021</v>
      </c>
      <c r="E28" s="18">
        <f>'10 - 2021'!B34-'10 - 2021'!B33+'10 - 2021'!C34-'10 - 2021'!C33</f>
        <v>0</v>
      </c>
      <c r="F28" s="16">
        <v>0.11799999999999999</v>
      </c>
      <c r="G28" s="18">
        <f>'10 - 2021'!D34-'10 - 2021'!D33+'10 - 2021'!E34-'10 - 2021'!E33</f>
        <v>0</v>
      </c>
      <c r="H28" s="16">
        <v>0.99</v>
      </c>
      <c r="I28" s="18">
        <f>'10 - 2021'!J34-'10 - 2021'!J33</f>
        <v>0</v>
      </c>
      <c r="J28" s="16">
        <v>8.1000000000000003E-2</v>
      </c>
      <c r="K28" s="33">
        <f>'10 - 2021'!H34-'10 - 2021'!H33</f>
        <v>0</v>
      </c>
      <c r="L28" s="18">
        <f>'10 - 2021'!I34-'10 - 2021'!I33</f>
        <v>0</v>
      </c>
      <c r="M28" s="17">
        <v>4.393629424766913</v>
      </c>
      <c r="N28" s="29"/>
    </row>
    <row r="29" spans="1:17" x14ac:dyDescent="0.25">
      <c r="A29" t="s">
        <v>27</v>
      </c>
      <c r="B29">
        <f t="shared" si="0"/>
        <v>28</v>
      </c>
      <c r="C29" s="16">
        <v>10</v>
      </c>
      <c r="D29" s="16">
        <v>2021</v>
      </c>
      <c r="E29" s="18">
        <f>'10 - 2021'!B35-'10 - 2021'!B34+'10 - 2021'!C35-'10 - 2021'!C34</f>
        <v>0</v>
      </c>
      <c r="F29" s="16">
        <v>0.11799999999999999</v>
      </c>
      <c r="G29" s="18">
        <f>'10 - 2021'!D35-'10 - 2021'!D34+'10 - 2021'!E35-'10 - 2021'!E34</f>
        <v>0</v>
      </c>
      <c r="H29" s="16">
        <v>0.99</v>
      </c>
      <c r="I29" s="18">
        <f>'10 - 2021'!J35-'10 - 2021'!J34</f>
        <v>0</v>
      </c>
      <c r="J29" s="16">
        <v>8.1000000000000003E-2</v>
      </c>
      <c r="K29" s="33">
        <f>'10 - 2021'!H35-'10 - 2021'!H34</f>
        <v>0</v>
      </c>
      <c r="L29" s="18">
        <f>'10 - 2021'!I35-'10 - 2021'!I34</f>
        <v>0</v>
      </c>
      <c r="M29" s="17">
        <v>4.393629424766913</v>
      </c>
      <c r="N29" s="29"/>
    </row>
    <row r="30" spans="1:17" x14ac:dyDescent="0.25">
      <c r="A30" s="16" t="s">
        <v>27</v>
      </c>
      <c r="B30" s="16">
        <f t="shared" si="0"/>
        <v>29</v>
      </c>
      <c r="C30" s="16">
        <v>10</v>
      </c>
      <c r="D30" s="16">
        <v>2021</v>
      </c>
      <c r="E30" s="18">
        <f>'10 - 2021'!B36-'10 - 2021'!B35+'10 - 2021'!C36-'10 - 2021'!C35</f>
        <v>0</v>
      </c>
      <c r="F30" s="16">
        <v>0.11799999999999999</v>
      </c>
      <c r="G30" s="18">
        <f>'10 - 2021'!D36-'10 - 2021'!D35+'10 - 2021'!E36-'10 - 2021'!E35</f>
        <v>0</v>
      </c>
      <c r="H30" s="16">
        <v>0.99</v>
      </c>
      <c r="I30" s="18">
        <f>'10 - 2021'!J36-'10 - 2021'!J35</f>
        <v>0</v>
      </c>
      <c r="J30" s="16">
        <v>8.1000000000000003E-2</v>
      </c>
      <c r="K30" s="33">
        <f>'10 - 2021'!H36-'10 - 2021'!H35</f>
        <v>0</v>
      </c>
      <c r="L30" s="18">
        <f>'10 - 2021'!I36-'10 - 2021'!I35</f>
        <v>0</v>
      </c>
      <c r="M30" s="17">
        <v>4.393629424766913</v>
      </c>
      <c r="N30" s="29"/>
    </row>
    <row r="31" spans="1:17" x14ac:dyDescent="0.25">
      <c r="A31" s="16" t="s">
        <v>27</v>
      </c>
      <c r="B31" s="16">
        <f t="shared" si="0"/>
        <v>30</v>
      </c>
      <c r="C31" s="16">
        <v>10</v>
      </c>
      <c r="D31" s="16">
        <v>2021</v>
      </c>
      <c r="E31" s="18">
        <f>'10 - 2021'!B37-'10 - 2021'!B36+'10 - 2021'!C37-'10 - 2021'!C36</f>
        <v>0</v>
      </c>
      <c r="F31" s="16">
        <v>0.11799999999999999</v>
      </c>
      <c r="G31" s="18">
        <f>'10 - 2021'!D37-'10 - 2021'!D36+'10 - 2021'!E37-'10 - 2021'!E36</f>
        <v>0</v>
      </c>
      <c r="H31" s="16">
        <v>0.99</v>
      </c>
      <c r="I31" s="18">
        <f>'10 - 2021'!J37-'10 - 2021'!J36</f>
        <v>0</v>
      </c>
      <c r="J31" s="16">
        <v>8.1000000000000003E-2</v>
      </c>
      <c r="K31" s="33">
        <f>'10 - 2021'!H37-'10 - 2021'!H36</f>
        <v>0</v>
      </c>
      <c r="L31" s="18">
        <f>'10 - 2021'!I37-'10 - 2021'!I36</f>
        <v>0</v>
      </c>
      <c r="M31" s="17">
        <v>4.393629424766913</v>
      </c>
    </row>
    <row r="32" spans="1:17" x14ac:dyDescent="0.25">
      <c r="A32" s="16" t="s">
        <v>27</v>
      </c>
      <c r="B32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P13" sqref="P13:Q13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6">
        <v>10</v>
      </c>
      <c r="D2">
        <v>2021</v>
      </c>
      <c r="E2" s="18">
        <f>'10 - 2021'!B8-'10 - 2021'!B7</f>
        <v>4048</v>
      </c>
      <c r="F2" s="18">
        <f>'10 - 2021'!C8-'10 - 2021'!C7</f>
        <v>5802</v>
      </c>
      <c r="G2" s="16">
        <v>0.11799999999999999</v>
      </c>
      <c r="H2" s="18">
        <f>'10 - 2021'!E8-'10 - 2021'!E7</f>
        <v>25.050000000000182</v>
      </c>
      <c r="I2" s="18">
        <f>'10 - 2021'!F8-'10 - 2021'!F7</f>
        <v>7.5699999999999932</v>
      </c>
      <c r="J2" s="18">
        <f>'10 - 2021'!G8-'10 - 2021'!G7</f>
        <v>33.629999999997381</v>
      </c>
      <c r="K2" s="16">
        <v>0.74</v>
      </c>
      <c r="L2" s="18">
        <v>101</v>
      </c>
      <c r="M2" s="12"/>
    </row>
    <row r="3" spans="1:13" x14ac:dyDescent="0.25">
      <c r="A3" t="s">
        <v>27</v>
      </c>
      <c r="B3">
        <f>B2+1</f>
        <v>2</v>
      </c>
      <c r="C3" s="16">
        <v>10</v>
      </c>
      <c r="D3" s="16">
        <v>2021</v>
      </c>
      <c r="E3" s="18">
        <f>'10 - 2021'!B9-'10 - 2021'!B8</f>
        <v>4182</v>
      </c>
      <c r="F3" s="18">
        <f>'10 - 2021'!C9-'10 - 2021'!C8</f>
        <v>5908</v>
      </c>
      <c r="G3" s="16">
        <v>0.11799999999999999</v>
      </c>
      <c r="H3" s="18">
        <f>'10 - 2021'!E9-'10 - 2021'!E8</f>
        <v>27</v>
      </c>
      <c r="I3" s="18">
        <f>'10 - 2021'!F9-'10 - 2021'!F8</f>
        <v>7.5099999999999909</v>
      </c>
      <c r="J3" s="18">
        <f>'10 - 2021'!G9-'10 - 2021'!G8</f>
        <v>34.760000000002037</v>
      </c>
      <c r="K3" s="16">
        <v>0.74</v>
      </c>
      <c r="L3" s="28">
        <v>99</v>
      </c>
      <c r="M3" s="12"/>
    </row>
    <row r="4" spans="1:13" x14ac:dyDescent="0.25">
      <c r="A4" t="s">
        <v>27</v>
      </c>
      <c r="B4">
        <f t="shared" ref="B4:B31" si="0">B3+1</f>
        <v>3</v>
      </c>
      <c r="C4" s="16">
        <v>10</v>
      </c>
      <c r="D4" s="16">
        <v>2021</v>
      </c>
      <c r="E4" s="18">
        <f>'10 - 2021'!B10-'10 - 2021'!B9</f>
        <v>4084</v>
      </c>
      <c r="F4" s="18">
        <f>'10 - 2021'!C10-'10 - 2021'!C9</f>
        <v>5817</v>
      </c>
      <c r="G4" s="16">
        <v>0.11799999999999999</v>
      </c>
      <c r="H4" s="18">
        <f>'10 - 2021'!E10-'10 - 2021'!E9</f>
        <v>27.199999999999818</v>
      </c>
      <c r="I4" s="18">
        <f>'10 - 2021'!F10-'10 - 2021'!F9</f>
        <v>7.7200000000000273</v>
      </c>
      <c r="J4" s="18">
        <f>'10 - 2021'!G10-'10 - 2021'!G9</f>
        <v>34.580000000001746</v>
      </c>
      <c r="K4" s="16">
        <v>0.74</v>
      </c>
      <c r="L4" s="28">
        <v>85</v>
      </c>
      <c r="M4" s="12"/>
    </row>
    <row r="5" spans="1:13" x14ac:dyDescent="0.25">
      <c r="A5" t="s">
        <v>27</v>
      </c>
      <c r="B5">
        <f t="shared" si="0"/>
        <v>4</v>
      </c>
      <c r="C5" s="16">
        <v>10</v>
      </c>
      <c r="D5" s="16">
        <v>2021</v>
      </c>
      <c r="E5" s="18">
        <f>'10 - 2021'!B11-'10 - 2021'!B10</f>
        <v>4262</v>
      </c>
      <c r="F5" s="18">
        <f>'10 - 2021'!C11-'10 - 2021'!C10</f>
        <v>5673</v>
      </c>
      <c r="G5" s="16">
        <v>0.11799999999999999</v>
      </c>
      <c r="H5" s="18">
        <f>'10 - 2021'!E11-'10 - 2021'!E10</f>
        <v>27.850000000000364</v>
      </c>
      <c r="I5" s="18">
        <f>'10 - 2021'!F11-'10 - 2021'!F10</f>
        <v>6.9699999999999704</v>
      </c>
      <c r="J5" s="18">
        <f>'10 - 2021'!G11-'10 - 2021'!G10</f>
        <v>31.529999999998836</v>
      </c>
      <c r="K5" s="16">
        <v>0.74</v>
      </c>
      <c r="L5" s="28">
        <v>94</v>
      </c>
      <c r="M5" s="12"/>
    </row>
    <row r="6" spans="1:13" x14ac:dyDescent="0.25">
      <c r="A6" t="s">
        <v>27</v>
      </c>
      <c r="B6">
        <f t="shared" si="0"/>
        <v>5</v>
      </c>
      <c r="C6" s="16">
        <v>10</v>
      </c>
      <c r="D6" s="16">
        <v>2021</v>
      </c>
      <c r="E6" s="18">
        <f>'10 - 2021'!B12-'10 - 2021'!B11</f>
        <v>4063</v>
      </c>
      <c r="F6" s="18">
        <f>'10 - 2021'!C12-'10 - 2021'!C11</f>
        <v>5679</v>
      </c>
      <c r="G6" s="16">
        <v>0.11799999999999999</v>
      </c>
      <c r="H6" s="18">
        <f>'10 - 2021'!E12-'10 - 2021'!E11</f>
        <v>27</v>
      </c>
      <c r="I6" s="18">
        <f>'10 - 2021'!F12-'10 - 2021'!F11</f>
        <v>7.7400000000000091</v>
      </c>
      <c r="J6" s="18">
        <f>'10 - 2021'!G12-'10 - 2021'!G11</f>
        <v>32.180000000000291</v>
      </c>
      <c r="K6" s="16">
        <v>0.74</v>
      </c>
      <c r="L6" s="28">
        <v>97</v>
      </c>
      <c r="M6" s="13"/>
    </row>
    <row r="7" spans="1:13" x14ac:dyDescent="0.25">
      <c r="A7" t="s">
        <v>27</v>
      </c>
      <c r="B7">
        <f t="shared" si="0"/>
        <v>6</v>
      </c>
      <c r="C7" s="16">
        <v>10</v>
      </c>
      <c r="D7" s="16">
        <v>2021</v>
      </c>
      <c r="E7" s="18">
        <f>'10 - 2021'!B13-'10 - 2021'!B12</f>
        <v>3734</v>
      </c>
      <c r="F7" s="18">
        <f>'10 - 2021'!C13-'10 - 2021'!C12</f>
        <v>5355</v>
      </c>
      <c r="G7" s="16">
        <v>0.11799999999999999</v>
      </c>
      <c r="H7" s="18">
        <f>'10 - 2021'!E13-'10 - 2021'!E12</f>
        <v>27</v>
      </c>
      <c r="I7" s="18">
        <f>'10 - 2021'!F13-'10 - 2021'!F12</f>
        <v>8.8899999999999864</v>
      </c>
      <c r="J7" s="18">
        <f>'10 - 2021'!G13-'10 - 2021'!G12</f>
        <v>32.639999999999418</v>
      </c>
      <c r="K7" s="16">
        <v>0.74</v>
      </c>
      <c r="L7" s="28">
        <v>99</v>
      </c>
      <c r="M7" s="13"/>
    </row>
    <row r="8" spans="1:13" x14ac:dyDescent="0.25">
      <c r="A8" t="s">
        <v>27</v>
      </c>
      <c r="B8">
        <f t="shared" si="0"/>
        <v>7</v>
      </c>
      <c r="C8" s="16">
        <v>10</v>
      </c>
      <c r="D8" s="16">
        <v>2021</v>
      </c>
      <c r="E8" s="18">
        <v>0</v>
      </c>
      <c r="F8" s="18">
        <v>0</v>
      </c>
      <c r="G8" s="16">
        <v>0.11799999999999999</v>
      </c>
      <c r="H8" s="18">
        <v>0</v>
      </c>
      <c r="I8" s="18">
        <v>0</v>
      </c>
      <c r="J8" s="18">
        <v>0</v>
      </c>
      <c r="K8" s="16">
        <v>0.74</v>
      </c>
      <c r="L8" s="28"/>
      <c r="M8" s="13"/>
    </row>
    <row r="9" spans="1:13" x14ac:dyDescent="0.25">
      <c r="A9" t="s">
        <v>27</v>
      </c>
      <c r="B9">
        <f t="shared" si="0"/>
        <v>8</v>
      </c>
      <c r="C9" s="16">
        <v>10</v>
      </c>
      <c r="D9" s="16">
        <v>2021</v>
      </c>
      <c r="E9" s="18">
        <f>'10 - 2021'!B15-'10 - 2021'!B14</f>
        <v>0</v>
      </c>
      <c r="F9" s="18">
        <f>'10 - 2021'!C15-'10 - 2021'!C14</f>
        <v>0</v>
      </c>
      <c r="G9" s="16">
        <v>0.11799999999999999</v>
      </c>
      <c r="H9" s="18">
        <f>'10 - 2021'!E15-'10 - 2021'!E14</f>
        <v>0</v>
      </c>
      <c r="I9" s="18">
        <f>'10 - 2021'!F15-'10 - 2021'!F14</f>
        <v>0</v>
      </c>
      <c r="J9" s="18">
        <f>'10 - 2021'!G15-'10 - 2021'!G14</f>
        <v>0</v>
      </c>
      <c r="K9" s="16">
        <v>0.74</v>
      </c>
      <c r="L9" s="28"/>
      <c r="M9" s="13"/>
    </row>
    <row r="10" spans="1:13" x14ac:dyDescent="0.25">
      <c r="A10" t="s">
        <v>27</v>
      </c>
      <c r="B10">
        <f t="shared" si="0"/>
        <v>9</v>
      </c>
      <c r="C10" s="16">
        <v>10</v>
      </c>
      <c r="D10" s="16">
        <v>2021</v>
      </c>
      <c r="E10" s="18">
        <f>'10 - 2021'!B16-'10 - 2021'!B15</f>
        <v>0</v>
      </c>
      <c r="F10" s="18">
        <f>'10 - 2021'!C16-'10 - 2021'!C15</f>
        <v>0</v>
      </c>
      <c r="G10" s="16">
        <v>0.11799999999999999</v>
      </c>
      <c r="H10" s="18">
        <f>'10 - 2021'!E16-'10 - 2021'!E15</f>
        <v>0</v>
      </c>
      <c r="I10" s="18">
        <f>'10 - 2021'!F16-'10 - 2021'!F15</f>
        <v>0</v>
      </c>
      <c r="J10" s="18">
        <f>'10 - 2021'!G16-'10 - 2021'!G15</f>
        <v>0</v>
      </c>
      <c r="K10" s="16">
        <v>0.74</v>
      </c>
      <c r="L10" s="28"/>
      <c r="M10" s="13"/>
    </row>
    <row r="11" spans="1:13" x14ac:dyDescent="0.25">
      <c r="A11" t="s">
        <v>27</v>
      </c>
      <c r="B11">
        <f t="shared" si="0"/>
        <v>10</v>
      </c>
      <c r="C11" s="16">
        <v>10</v>
      </c>
      <c r="D11" s="16">
        <v>2021</v>
      </c>
      <c r="E11" s="18">
        <f>'10 - 2021'!B17-'10 - 2021'!B16</f>
        <v>0</v>
      </c>
      <c r="F11" s="18">
        <f>'10 - 2021'!C17-'10 - 2021'!C16</f>
        <v>0</v>
      </c>
      <c r="G11" s="16">
        <v>0.11799999999999999</v>
      </c>
      <c r="H11" s="18">
        <f>'10 - 2021'!E17-'10 - 2021'!E16</f>
        <v>0</v>
      </c>
      <c r="I11" s="18">
        <f>'10 - 2021'!F17-'10 - 2021'!F16</f>
        <v>0</v>
      </c>
      <c r="J11" s="18">
        <f>'10 - 2021'!G17-'10 - 2021'!G16</f>
        <v>0</v>
      </c>
      <c r="K11" s="16">
        <v>0.74</v>
      </c>
      <c r="L11" s="28"/>
      <c r="M11" s="13"/>
    </row>
    <row r="12" spans="1:13" x14ac:dyDescent="0.25">
      <c r="A12" t="s">
        <v>27</v>
      </c>
      <c r="B12">
        <f t="shared" si="0"/>
        <v>11</v>
      </c>
      <c r="C12" s="16">
        <v>10</v>
      </c>
      <c r="D12" s="16">
        <v>2021</v>
      </c>
      <c r="E12" s="18">
        <f>'10 - 2021'!B18-'10 - 2021'!B17</f>
        <v>0</v>
      </c>
      <c r="F12" s="18">
        <f>'10 - 2021'!C18-'10 - 2021'!C17</f>
        <v>0</v>
      </c>
      <c r="G12" s="16">
        <v>0.11799999999999999</v>
      </c>
      <c r="H12" s="18">
        <f>'10 - 2021'!E18-'10 - 2021'!E17</f>
        <v>0</v>
      </c>
      <c r="I12" s="18">
        <f>'10 - 2021'!F18-'10 - 2021'!F17</f>
        <v>0</v>
      </c>
      <c r="J12" s="18">
        <f>'10 - 2021'!G18-'10 - 2021'!G17</f>
        <v>0</v>
      </c>
      <c r="K12" s="16">
        <v>0.74</v>
      </c>
      <c r="L12" s="18"/>
      <c r="M12" s="13"/>
    </row>
    <row r="13" spans="1:13" x14ac:dyDescent="0.25">
      <c r="A13" t="s">
        <v>27</v>
      </c>
      <c r="B13">
        <f t="shared" si="0"/>
        <v>12</v>
      </c>
      <c r="C13" s="16">
        <v>10</v>
      </c>
      <c r="D13" s="16">
        <v>2021</v>
      </c>
      <c r="E13" s="18">
        <f>'10 - 2021'!B19-'10 - 2021'!B18</f>
        <v>0</v>
      </c>
      <c r="F13" s="18">
        <f>'10 - 2021'!C19-'10 - 2021'!C18</f>
        <v>0</v>
      </c>
      <c r="G13" s="16">
        <v>0.11799999999999999</v>
      </c>
      <c r="H13" s="18">
        <f>'10 - 2021'!E19-'10 - 2021'!E18</f>
        <v>0</v>
      </c>
      <c r="I13" s="18">
        <f>'10 - 2021'!F19-'10 - 2021'!F18</f>
        <v>0</v>
      </c>
      <c r="J13" s="18">
        <f>'10 - 2021'!G19-'10 - 2021'!G18</f>
        <v>0</v>
      </c>
      <c r="K13" s="16">
        <v>0.74</v>
      </c>
      <c r="L13" s="18"/>
      <c r="M13" s="13"/>
    </row>
    <row r="14" spans="1:13" x14ac:dyDescent="0.25">
      <c r="A14" t="s">
        <v>27</v>
      </c>
      <c r="B14">
        <f t="shared" si="0"/>
        <v>13</v>
      </c>
      <c r="C14" s="16">
        <v>10</v>
      </c>
      <c r="D14" s="16">
        <v>2021</v>
      </c>
      <c r="E14" s="18">
        <f>'10 - 2021'!B20-'10 - 2021'!B19</f>
        <v>0</v>
      </c>
      <c r="F14" s="18">
        <f>'10 - 2021'!C20-'10 - 2021'!C19</f>
        <v>0</v>
      </c>
      <c r="G14" s="16">
        <v>0.11799999999999999</v>
      </c>
      <c r="H14" s="18">
        <f>'10 - 2021'!E20-'10 - 2021'!E19</f>
        <v>0</v>
      </c>
      <c r="I14" s="18">
        <f>'10 - 2021'!F20-'10 - 2021'!F19</f>
        <v>0</v>
      </c>
      <c r="J14" s="18">
        <f>'10 - 2021'!G20-'10 - 2021'!G19</f>
        <v>0</v>
      </c>
      <c r="K14" s="16">
        <v>0.74</v>
      </c>
      <c r="L14" s="18"/>
      <c r="M14" s="13"/>
    </row>
    <row r="15" spans="1:13" x14ac:dyDescent="0.25">
      <c r="A15" t="s">
        <v>27</v>
      </c>
      <c r="B15">
        <f t="shared" si="0"/>
        <v>14</v>
      </c>
      <c r="C15" s="16">
        <v>10</v>
      </c>
      <c r="D15" s="16">
        <v>2021</v>
      </c>
      <c r="E15" s="18">
        <f>'10 - 2021'!B21-'10 - 2021'!B20</f>
        <v>0</v>
      </c>
      <c r="F15" s="18">
        <f>'10 - 2021'!C21-'10 - 2021'!C20</f>
        <v>0</v>
      </c>
      <c r="G15" s="16">
        <v>0.11799999999999999</v>
      </c>
      <c r="H15" s="18">
        <f>'10 - 2021'!E21-'10 - 2021'!E20</f>
        <v>0</v>
      </c>
      <c r="I15" s="18">
        <f>'10 - 2021'!F21-'10 - 2021'!F20</f>
        <v>0</v>
      </c>
      <c r="J15" s="18">
        <f>'10 - 2021'!G21-'10 - 2021'!G20</f>
        <v>0</v>
      </c>
      <c r="K15" s="16">
        <v>0.74</v>
      </c>
      <c r="L15" s="18"/>
      <c r="M15" s="13"/>
    </row>
    <row r="16" spans="1:13" x14ac:dyDescent="0.25">
      <c r="A16" t="s">
        <v>27</v>
      </c>
      <c r="B16">
        <f t="shared" si="0"/>
        <v>15</v>
      </c>
      <c r="C16" s="16">
        <v>10</v>
      </c>
      <c r="D16" s="16">
        <v>2021</v>
      </c>
      <c r="E16" s="18">
        <f>'10 - 2021'!B22-'10 - 2021'!B21</f>
        <v>0</v>
      </c>
      <c r="F16" s="18">
        <f>'10 - 2021'!C22-'10 - 2021'!C21</f>
        <v>0</v>
      </c>
      <c r="G16" s="16">
        <v>0.11799999999999999</v>
      </c>
      <c r="H16" s="18">
        <f>'10 - 2021'!E22-'10 - 2021'!E21</f>
        <v>0</v>
      </c>
      <c r="I16" s="18">
        <f>'10 - 2021'!F22-'10 - 2021'!F21</f>
        <v>0</v>
      </c>
      <c r="J16" s="18">
        <f>'10 - 2021'!G22-'10 - 2021'!G21</f>
        <v>0</v>
      </c>
      <c r="K16" s="16">
        <v>0.74</v>
      </c>
      <c r="L16" s="18"/>
      <c r="M16" s="13"/>
    </row>
    <row r="17" spans="1:13" x14ac:dyDescent="0.25">
      <c r="A17" t="s">
        <v>27</v>
      </c>
      <c r="B17">
        <f t="shared" si="0"/>
        <v>16</v>
      </c>
      <c r="C17" s="16">
        <v>10</v>
      </c>
      <c r="D17" s="16">
        <v>2021</v>
      </c>
      <c r="E17" s="18">
        <f>'10 - 2021'!B23-'10 - 2021'!B22</f>
        <v>0</v>
      </c>
      <c r="F17" s="18">
        <f>'10 - 2021'!C23-'10 - 2021'!C22</f>
        <v>0</v>
      </c>
      <c r="G17" s="16">
        <v>0.11799999999999999</v>
      </c>
      <c r="H17" s="18">
        <f>'10 - 2021'!E23-'10 - 2021'!E22</f>
        <v>0</v>
      </c>
      <c r="I17" s="18">
        <f>'10 - 2021'!F23-'10 - 2021'!F22</f>
        <v>0</v>
      </c>
      <c r="J17" s="18">
        <f>'10 - 2021'!G23-'10 - 2021'!G22</f>
        <v>0</v>
      </c>
      <c r="K17" s="16">
        <v>0.74</v>
      </c>
      <c r="L17" s="18"/>
      <c r="M17" s="13"/>
    </row>
    <row r="18" spans="1:13" x14ac:dyDescent="0.25">
      <c r="A18" t="s">
        <v>27</v>
      </c>
      <c r="B18">
        <f t="shared" si="0"/>
        <v>17</v>
      </c>
      <c r="C18" s="16">
        <v>10</v>
      </c>
      <c r="D18" s="16">
        <v>2021</v>
      </c>
      <c r="E18" s="18">
        <f>'10 - 2021'!B24-'10 - 2021'!B23</f>
        <v>0</v>
      </c>
      <c r="F18" s="18">
        <f>'10 - 2021'!C24-'10 - 2021'!C23</f>
        <v>0</v>
      </c>
      <c r="G18" s="16">
        <v>0.11799999999999999</v>
      </c>
      <c r="H18" s="18">
        <f>'10 - 2021'!E24-'10 - 2021'!E23</f>
        <v>0</v>
      </c>
      <c r="I18" s="18">
        <f>'10 - 2021'!F24-'10 - 2021'!F23</f>
        <v>0</v>
      </c>
      <c r="J18" s="18">
        <f>'10 - 2021'!G24-'10 - 2021'!G23</f>
        <v>0</v>
      </c>
      <c r="K18" s="16">
        <v>0.74</v>
      </c>
      <c r="L18" s="18"/>
      <c r="M18" s="13"/>
    </row>
    <row r="19" spans="1:13" x14ac:dyDescent="0.25">
      <c r="A19" t="s">
        <v>27</v>
      </c>
      <c r="B19">
        <f>B18+1</f>
        <v>18</v>
      </c>
      <c r="C19" s="16">
        <v>10</v>
      </c>
      <c r="D19" s="16">
        <v>2021</v>
      </c>
      <c r="E19" s="18">
        <f>'10 - 2021'!B25-'10 - 2021'!B24</f>
        <v>0</v>
      </c>
      <c r="F19" s="18">
        <f>'10 - 2021'!C25-'10 - 2021'!C24</f>
        <v>0</v>
      </c>
      <c r="G19" s="16">
        <v>0.11799999999999999</v>
      </c>
      <c r="H19" s="18">
        <f>'10 - 2021'!E25-'10 - 2021'!E24</f>
        <v>0</v>
      </c>
      <c r="I19" s="18">
        <f>'10 - 2021'!F25-'10 - 2021'!F24</f>
        <v>0</v>
      </c>
      <c r="J19" s="18">
        <f>'10 - 2021'!G25-'10 - 2021'!G24</f>
        <v>0</v>
      </c>
      <c r="K19" s="16">
        <v>0.74</v>
      </c>
      <c r="L19" s="18"/>
      <c r="M19" s="13"/>
    </row>
    <row r="20" spans="1:13" x14ac:dyDescent="0.25">
      <c r="A20" t="s">
        <v>27</v>
      </c>
      <c r="B20">
        <f t="shared" si="0"/>
        <v>19</v>
      </c>
      <c r="C20" s="16">
        <v>10</v>
      </c>
      <c r="D20" s="16">
        <v>2021</v>
      </c>
      <c r="E20" s="18">
        <f>'10 - 2021'!B26-'10 - 2021'!B25</f>
        <v>0</v>
      </c>
      <c r="F20" s="18">
        <f>'10 - 2021'!C26-'10 - 2021'!C25</f>
        <v>0</v>
      </c>
      <c r="G20" s="16">
        <v>0.11799999999999999</v>
      </c>
      <c r="H20" s="18">
        <f>'10 - 2021'!E26-'10 - 2021'!E25</f>
        <v>0</v>
      </c>
      <c r="I20" s="18">
        <f>'10 - 2021'!F26-'10 - 2021'!F25</f>
        <v>0</v>
      </c>
      <c r="J20" s="18">
        <f>'10 - 2021'!G26-'10 - 2021'!G25</f>
        <v>0</v>
      </c>
      <c r="K20" s="16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16">
        <v>10</v>
      </c>
      <c r="D21" s="16">
        <v>2021</v>
      </c>
      <c r="E21" s="18">
        <f>'10 - 2021'!B27-'10 - 2021'!B26</f>
        <v>0</v>
      </c>
      <c r="F21" s="18">
        <f>'10 - 2021'!C27-'10 - 2021'!C26</f>
        <v>0</v>
      </c>
      <c r="G21" s="16">
        <v>0.11799999999999999</v>
      </c>
      <c r="H21" s="18">
        <f>'10 - 2021'!E27-'10 - 2021'!E26</f>
        <v>0</v>
      </c>
      <c r="I21" s="18">
        <f>'10 - 2021'!F27-'10 - 2021'!F26</f>
        <v>0</v>
      </c>
      <c r="J21" s="18">
        <f>'10 - 2021'!G27-'10 - 2021'!G26</f>
        <v>0</v>
      </c>
      <c r="K21" s="16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16">
        <v>10</v>
      </c>
      <c r="D22" s="16">
        <v>2021</v>
      </c>
      <c r="E22" s="18">
        <f>'10 - 2021'!B28-'10 - 2021'!B27</f>
        <v>0</v>
      </c>
      <c r="F22" s="18">
        <f>'10 - 2021'!C28-'10 - 2021'!C27</f>
        <v>0</v>
      </c>
      <c r="G22" s="16">
        <v>0.11799999999999999</v>
      </c>
      <c r="H22" s="18">
        <f>'10 - 2021'!E28-'10 - 2021'!E27</f>
        <v>0</v>
      </c>
      <c r="I22" s="18">
        <f>'10 - 2021'!F28-'10 - 2021'!F27</f>
        <v>0</v>
      </c>
      <c r="J22" s="18">
        <f>'10 - 2021'!G28-'10 - 2021'!G27</f>
        <v>0</v>
      </c>
      <c r="K22" s="16">
        <v>0.74</v>
      </c>
      <c r="L22" s="18"/>
      <c r="M22" s="13"/>
    </row>
    <row r="23" spans="1:13" x14ac:dyDescent="0.25">
      <c r="A23" t="s">
        <v>27</v>
      </c>
      <c r="B23">
        <f t="shared" si="0"/>
        <v>22</v>
      </c>
      <c r="C23" s="16">
        <v>10</v>
      </c>
      <c r="D23" s="16">
        <v>2021</v>
      </c>
      <c r="E23" s="18">
        <f>'10 - 2021'!B29-'10 - 2021'!B28</f>
        <v>0</v>
      </c>
      <c r="F23" s="18">
        <f>'10 - 2021'!C29-'10 - 2021'!C28</f>
        <v>0</v>
      </c>
      <c r="G23" s="16">
        <v>0.11799999999999999</v>
      </c>
      <c r="H23" s="18">
        <f>'10 - 2021'!E29-'10 - 2021'!E28</f>
        <v>0</v>
      </c>
      <c r="I23" s="18">
        <f>'10 - 2021'!F29-'10 - 2021'!F28</f>
        <v>0</v>
      </c>
      <c r="J23" s="18">
        <f>'10 - 2021'!G29-'10 - 2021'!G28</f>
        <v>0</v>
      </c>
      <c r="K23" s="16">
        <v>0.74</v>
      </c>
      <c r="L23" s="18"/>
      <c r="M23" s="13"/>
    </row>
    <row r="24" spans="1:13" x14ac:dyDescent="0.25">
      <c r="A24" t="s">
        <v>27</v>
      </c>
      <c r="B24">
        <f t="shared" si="0"/>
        <v>23</v>
      </c>
      <c r="C24" s="16">
        <v>10</v>
      </c>
      <c r="D24" s="16">
        <v>2021</v>
      </c>
      <c r="E24" s="18">
        <f>'10 - 2021'!B30-'10 - 2021'!B29</f>
        <v>0</v>
      </c>
      <c r="F24" s="18">
        <f>'10 - 2021'!C30-'10 - 2021'!C29</f>
        <v>0</v>
      </c>
      <c r="G24" s="16">
        <v>0.11799999999999999</v>
      </c>
      <c r="H24" s="18">
        <f>'10 - 2021'!E30-'10 - 2021'!E29</f>
        <v>0</v>
      </c>
      <c r="I24" s="18">
        <f>'10 - 2021'!F30-'10 - 2021'!F29</f>
        <v>0</v>
      </c>
      <c r="J24" s="18">
        <f>'10 - 2021'!G30-'10 - 2021'!G29</f>
        <v>0</v>
      </c>
      <c r="K24" s="16">
        <v>0.74</v>
      </c>
      <c r="L24" s="18"/>
      <c r="M24" s="13"/>
    </row>
    <row r="25" spans="1:13" x14ac:dyDescent="0.25">
      <c r="A25" t="s">
        <v>27</v>
      </c>
      <c r="B25">
        <f t="shared" si="0"/>
        <v>24</v>
      </c>
      <c r="C25" s="16">
        <v>10</v>
      </c>
      <c r="D25" s="16">
        <v>2021</v>
      </c>
      <c r="E25" s="43">
        <f>'10 - 2021'!B31-'10 - 2021'!B30</f>
        <v>0</v>
      </c>
      <c r="F25" s="18">
        <f>'10 - 2021'!C31-'10 - 2021'!C30</f>
        <v>0</v>
      </c>
      <c r="G25" s="16">
        <v>0.11799999999999999</v>
      </c>
      <c r="H25" s="18">
        <f>'10 - 2021'!E31-'10 - 2021'!E30</f>
        <v>0</v>
      </c>
      <c r="I25" s="18">
        <f>'10 - 2021'!F31-'10 - 2021'!F30</f>
        <v>0</v>
      </c>
      <c r="J25" s="18">
        <f>'10 - 2021'!G31-'10 - 2021'!G30</f>
        <v>0</v>
      </c>
      <c r="K25" s="16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6">
        <v>10</v>
      </c>
      <c r="D26" s="16">
        <v>2021</v>
      </c>
      <c r="E26" s="43">
        <f>'10 - 2021'!B32-'10 - 2021'!B31</f>
        <v>0</v>
      </c>
      <c r="F26" s="18">
        <f>'10 - 2021'!C32-'10 - 2021'!C31</f>
        <v>0</v>
      </c>
      <c r="G26" s="16">
        <v>0.11799999999999999</v>
      </c>
      <c r="H26" s="18">
        <f>'10 - 2021'!E32-'10 - 2021'!E31</f>
        <v>0</v>
      </c>
      <c r="I26" s="18">
        <f>'10 - 2021'!F32-'10 - 2021'!F31</f>
        <v>0</v>
      </c>
      <c r="J26" s="18">
        <f>'10 - 2021'!G32-'10 - 2021'!G31</f>
        <v>0</v>
      </c>
      <c r="K26" s="16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6">
        <v>10</v>
      </c>
      <c r="D27" s="16">
        <v>2021</v>
      </c>
      <c r="E27" s="43">
        <f>'10 - 2021'!B33-'10 - 2021'!B32</f>
        <v>0</v>
      </c>
      <c r="F27" s="18">
        <f>'10 - 2021'!C33-'10 - 2021'!C32</f>
        <v>0</v>
      </c>
      <c r="G27" s="16">
        <v>0.11799999999999999</v>
      </c>
      <c r="H27" s="18">
        <f>'10 - 2021'!E33-'10 - 2021'!E32</f>
        <v>0</v>
      </c>
      <c r="I27" s="18">
        <f>'10 - 2021'!F33-'10 - 2021'!F32</f>
        <v>0</v>
      </c>
      <c r="J27" s="18">
        <f>'10 - 2021'!G33-'10 - 2021'!G32</f>
        <v>0</v>
      </c>
      <c r="K27" s="16">
        <v>0.74</v>
      </c>
      <c r="L27" s="18"/>
      <c r="M27" s="13"/>
    </row>
    <row r="28" spans="1:13" x14ac:dyDescent="0.25">
      <c r="A28" t="s">
        <v>27</v>
      </c>
      <c r="B28">
        <f t="shared" si="0"/>
        <v>27</v>
      </c>
      <c r="C28" s="16">
        <v>10</v>
      </c>
      <c r="D28" s="16">
        <v>2021</v>
      </c>
      <c r="E28" s="43">
        <f>'10 - 2021'!B34-'10 - 2021'!B33</f>
        <v>0</v>
      </c>
      <c r="F28" s="18">
        <f>'10 - 2021'!C34-'10 - 2021'!C33</f>
        <v>0</v>
      </c>
      <c r="G28" s="16">
        <v>0.11799999999999999</v>
      </c>
      <c r="H28" s="18">
        <f>'10 - 2021'!E34-'10 - 2021'!E33</f>
        <v>0</v>
      </c>
      <c r="I28" s="18">
        <f>'10 - 2021'!F34-'10 - 2021'!F33</f>
        <v>0</v>
      </c>
      <c r="J28" s="18">
        <f>'10 - 2021'!G34-'10 - 2021'!G33</f>
        <v>0</v>
      </c>
      <c r="K28" s="16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6">
        <v>10</v>
      </c>
      <c r="D29" s="16">
        <v>2021</v>
      </c>
      <c r="E29" s="43">
        <f>'10 - 2021'!B35-'10 - 2021'!B34</f>
        <v>0</v>
      </c>
      <c r="F29" s="18">
        <f>'10 - 2021'!C35-'10 - 2021'!C34</f>
        <v>0</v>
      </c>
      <c r="G29" s="16">
        <v>0.11799999999999999</v>
      </c>
      <c r="H29" s="18">
        <f>'10 - 2021'!E35-'10 - 2021'!E34</f>
        <v>0</v>
      </c>
      <c r="I29" s="18">
        <f>'10 - 2021'!F35-'10 - 2021'!F34</f>
        <v>0</v>
      </c>
      <c r="J29" s="18">
        <f>'10 - 2021'!G35-'10 - 2021'!G34</f>
        <v>0</v>
      </c>
      <c r="K29" s="16">
        <v>0.74</v>
      </c>
      <c r="L29" s="6"/>
      <c r="M29" s="13"/>
    </row>
    <row r="30" spans="1:13" x14ac:dyDescent="0.25">
      <c r="A30" s="16" t="s">
        <v>27</v>
      </c>
      <c r="B30" s="16">
        <f t="shared" si="0"/>
        <v>29</v>
      </c>
      <c r="C30" s="16">
        <v>10</v>
      </c>
      <c r="D30" s="16">
        <v>2021</v>
      </c>
      <c r="E30" s="43">
        <f>'10 - 2021'!B36-'10 - 2021'!B35</f>
        <v>0</v>
      </c>
      <c r="F30" s="18">
        <f>'10 - 2021'!C36-'10 - 2021'!C35</f>
        <v>0</v>
      </c>
      <c r="G30" s="16">
        <v>0.11799999999999999</v>
      </c>
      <c r="H30" s="18">
        <f>'10 - 2021'!E36-'10 - 2021'!E35</f>
        <v>0</v>
      </c>
      <c r="I30" s="18">
        <f>'10 - 2021'!F36-'10 - 2021'!F35</f>
        <v>0</v>
      </c>
      <c r="J30" s="18">
        <f>'10 - 2021'!G36-'10 - 2021'!G35</f>
        <v>0</v>
      </c>
      <c r="K30" s="16">
        <v>0.74</v>
      </c>
      <c r="L30" s="18"/>
    </row>
    <row r="31" spans="1:13" x14ac:dyDescent="0.25">
      <c r="A31" s="16" t="s">
        <v>27</v>
      </c>
      <c r="B31" s="16">
        <f t="shared" si="0"/>
        <v>30</v>
      </c>
      <c r="C31" s="16">
        <v>10</v>
      </c>
      <c r="D31" s="16">
        <v>2021</v>
      </c>
      <c r="E31" s="43">
        <f>'10 - 2021'!B37-'10 - 2021'!B36</f>
        <v>0</v>
      </c>
      <c r="F31" s="18">
        <f>'10 - 2021'!C37-'10 - 2021'!C36</f>
        <v>0</v>
      </c>
      <c r="G31" s="16">
        <v>0.11799999999999999</v>
      </c>
      <c r="H31" s="18">
        <f>'10 - 2021'!E37-'10 - 2021'!E36</f>
        <v>0</v>
      </c>
      <c r="I31" s="18">
        <f>'10 - 2021'!F37-'10 - 2021'!F36</f>
        <v>0</v>
      </c>
      <c r="J31" s="18">
        <f>'10 - 2021'!G37-'10 - 2021'!G36</f>
        <v>0</v>
      </c>
      <c r="K31" s="16">
        <v>0.74</v>
      </c>
      <c r="L31" s="18"/>
    </row>
    <row r="32" spans="1:13" x14ac:dyDescent="0.25">
      <c r="A32" s="16" t="s">
        <v>27</v>
      </c>
      <c r="B32">
        <v>31</v>
      </c>
      <c r="C32" s="16">
        <v>10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zoomScaleNormal="100" workbookViewId="0">
      <selection activeCell="J14" sqref="J14"/>
    </sheetView>
  </sheetViews>
  <sheetFormatPr defaultRowHeight="15" x14ac:dyDescent="0.25"/>
  <cols>
    <col min="1" max="1" width="13.5703125" style="16" customWidth="1"/>
    <col min="2" max="2" width="12.5703125" style="16" customWidth="1"/>
    <col min="3" max="3" width="13.140625" style="16" customWidth="1"/>
    <col min="4" max="4" width="9.85546875" style="16" customWidth="1"/>
    <col min="5" max="5" width="11.42578125" style="16" customWidth="1"/>
    <col min="6" max="6" width="11.7109375" style="16" customWidth="1"/>
    <col min="7" max="7" width="11.28515625" style="16" customWidth="1"/>
    <col min="8" max="9" width="13.5703125" style="16" customWidth="1"/>
    <col min="10" max="10" width="14.28515625" style="16" customWidth="1"/>
    <col min="11" max="11" width="16.42578125" style="16" customWidth="1"/>
    <col min="12" max="12" width="39" style="16" customWidth="1"/>
    <col min="13" max="13" width="14.140625" style="16" customWidth="1"/>
    <col min="14" max="16384" width="9.140625" style="16"/>
  </cols>
  <sheetData>
    <row r="1" spans="1:17" x14ac:dyDescent="0.25">
      <c r="H1" s="17"/>
      <c r="I1" s="17"/>
    </row>
    <row r="3" spans="1:17" ht="18.75" x14ac:dyDescent="0.3">
      <c r="A3" s="89" t="s">
        <v>30</v>
      </c>
      <c r="B3" s="89"/>
      <c r="C3" s="89"/>
      <c r="D3" s="89"/>
      <c r="E3" s="89"/>
      <c r="F3" s="89"/>
      <c r="G3" s="89"/>
      <c r="H3" s="89"/>
      <c r="I3" s="89"/>
      <c r="J3" s="89"/>
    </row>
    <row r="4" spans="1:17" ht="16.5" thickBot="1" x14ac:dyDescent="0.3">
      <c r="A4" s="90" t="s">
        <v>37</v>
      </c>
      <c r="B4" s="90"/>
      <c r="C4" s="90"/>
      <c r="D4" s="90"/>
      <c r="E4" s="90"/>
      <c r="F4" s="90"/>
      <c r="G4" s="90"/>
      <c r="H4" s="90"/>
      <c r="I4" s="90"/>
      <c r="J4" s="90"/>
    </row>
    <row r="5" spans="1:17" ht="16.5" thickBot="1" x14ac:dyDescent="0.3">
      <c r="A5" s="2"/>
      <c r="B5" s="91" t="s">
        <v>36</v>
      </c>
      <c r="C5" s="92"/>
      <c r="D5" s="91" t="s">
        <v>0</v>
      </c>
      <c r="E5" s="93"/>
      <c r="F5" s="93"/>
      <c r="G5" s="94"/>
      <c r="H5" s="95" t="s">
        <v>1</v>
      </c>
      <c r="I5" s="96"/>
      <c r="J5" s="19" t="s">
        <v>2</v>
      </c>
      <c r="K5" s="3"/>
    </row>
    <row r="6" spans="1:17" ht="12" customHeight="1" x14ac:dyDescent="0.25">
      <c r="A6" s="21" t="s">
        <v>3</v>
      </c>
      <c r="B6" s="22" t="s">
        <v>33</v>
      </c>
      <c r="C6" s="23" t="s">
        <v>34</v>
      </c>
      <c r="D6" s="23" t="s">
        <v>4</v>
      </c>
      <c r="E6" s="23" t="s">
        <v>5</v>
      </c>
      <c r="F6" s="23" t="s">
        <v>6</v>
      </c>
      <c r="G6" s="24" t="s">
        <v>7</v>
      </c>
      <c r="H6" s="23" t="s">
        <v>28</v>
      </c>
      <c r="I6" s="23" t="s">
        <v>29</v>
      </c>
      <c r="J6" s="23" t="s">
        <v>8</v>
      </c>
      <c r="K6" s="46" t="s">
        <v>31</v>
      </c>
      <c r="L6" s="47" t="s">
        <v>32</v>
      </c>
    </row>
    <row r="7" spans="1:17" s="14" customFormat="1" ht="12.95" customHeight="1" x14ac:dyDescent="0.25">
      <c r="A7" s="44">
        <v>44469</v>
      </c>
      <c r="B7" s="54">
        <v>1165260</v>
      </c>
      <c r="C7" s="64">
        <v>514463</v>
      </c>
      <c r="D7" s="53">
        <v>0.48</v>
      </c>
      <c r="E7" s="42">
        <v>5812.95</v>
      </c>
      <c r="F7" s="37">
        <v>432.49</v>
      </c>
      <c r="G7" s="37">
        <v>33374.9</v>
      </c>
      <c r="H7" s="54">
        <v>14528</v>
      </c>
      <c r="I7" s="54">
        <v>132398</v>
      </c>
      <c r="J7" s="54">
        <v>50981856</v>
      </c>
      <c r="K7" s="86"/>
      <c r="L7" s="71"/>
      <c r="M7" s="26"/>
    </row>
    <row r="8" spans="1:17" s="51" customFormat="1" ht="12.95" customHeight="1" x14ac:dyDescent="0.25">
      <c r="A8" s="25">
        <f>A7+1</f>
        <v>44470</v>
      </c>
      <c r="B8" s="87">
        <v>1169308</v>
      </c>
      <c r="C8" s="87">
        <v>520265</v>
      </c>
      <c r="D8" s="48">
        <v>0.38</v>
      </c>
      <c r="E8" s="84">
        <v>5838</v>
      </c>
      <c r="F8" s="49">
        <v>440.06</v>
      </c>
      <c r="G8" s="87">
        <v>33408.53</v>
      </c>
      <c r="H8" s="87">
        <v>14528</v>
      </c>
      <c r="I8" s="87">
        <v>132511</v>
      </c>
      <c r="J8" s="87">
        <v>51019892</v>
      </c>
      <c r="K8" s="88"/>
      <c r="L8" s="72"/>
      <c r="M8" s="50"/>
    </row>
    <row r="9" spans="1:17" s="51" customFormat="1" ht="12.95" customHeight="1" x14ac:dyDescent="0.25">
      <c r="A9" s="25">
        <f t="shared" ref="A9:A37" si="0">A8+1</f>
        <v>44471</v>
      </c>
      <c r="B9" s="54">
        <v>1173490</v>
      </c>
      <c r="C9" s="37">
        <v>526173</v>
      </c>
      <c r="D9" s="53">
        <v>0.28000000000000003</v>
      </c>
      <c r="E9" s="84">
        <v>5865</v>
      </c>
      <c r="F9" s="37">
        <v>447.57</v>
      </c>
      <c r="G9" s="37">
        <v>33443.29</v>
      </c>
      <c r="H9" s="54">
        <v>14528</v>
      </c>
      <c r="I9" s="54">
        <v>132630</v>
      </c>
      <c r="J9" s="54">
        <v>51061606</v>
      </c>
      <c r="K9" s="86">
        <v>3600</v>
      </c>
      <c r="L9" s="66"/>
      <c r="M9" s="50"/>
    </row>
    <row r="10" spans="1:17" s="51" customFormat="1" ht="12.95" customHeight="1" x14ac:dyDescent="0.25">
      <c r="A10" s="25">
        <f t="shared" si="0"/>
        <v>44472</v>
      </c>
      <c r="B10" s="54">
        <v>1177574</v>
      </c>
      <c r="C10" s="54">
        <v>531990</v>
      </c>
      <c r="D10" s="53">
        <v>0.8</v>
      </c>
      <c r="E10" s="85">
        <v>5892.2</v>
      </c>
      <c r="F10" s="37">
        <v>455.29</v>
      </c>
      <c r="G10" s="37">
        <v>33477.870000000003</v>
      </c>
      <c r="H10" s="54">
        <v>14528</v>
      </c>
      <c r="I10" s="54">
        <v>132743</v>
      </c>
      <c r="J10" s="41">
        <v>51102031</v>
      </c>
      <c r="K10" s="86"/>
      <c r="L10" s="45"/>
      <c r="M10" s="50"/>
    </row>
    <row r="11" spans="1:17" s="51" customFormat="1" ht="12.95" customHeight="1" x14ac:dyDescent="0.25">
      <c r="A11" s="25">
        <f t="shared" si="0"/>
        <v>44473</v>
      </c>
      <c r="B11" s="54">
        <v>1181836</v>
      </c>
      <c r="C11" s="54">
        <v>537663</v>
      </c>
      <c r="D11" s="53">
        <v>0.7</v>
      </c>
      <c r="E11" s="37">
        <v>5920.05</v>
      </c>
      <c r="F11" s="37">
        <v>462.26</v>
      </c>
      <c r="G11" s="37">
        <v>33509.4</v>
      </c>
      <c r="H11" s="54">
        <v>14528</v>
      </c>
      <c r="I11" s="54">
        <v>132846</v>
      </c>
      <c r="J11" s="54">
        <v>51135966</v>
      </c>
      <c r="K11" s="55"/>
      <c r="L11" s="45"/>
      <c r="M11" s="50"/>
    </row>
    <row r="12" spans="1:17" s="51" customFormat="1" ht="12.95" customHeight="1" x14ac:dyDescent="0.25">
      <c r="A12" s="25">
        <f t="shared" si="0"/>
        <v>44474</v>
      </c>
      <c r="B12" s="52">
        <v>1185899</v>
      </c>
      <c r="C12" s="52">
        <v>543342</v>
      </c>
      <c r="D12" s="53">
        <v>0.6</v>
      </c>
      <c r="E12" s="52">
        <f>E11+27</f>
        <v>5947.05</v>
      </c>
      <c r="F12" s="52">
        <v>470</v>
      </c>
      <c r="G12" s="52">
        <v>33541.58</v>
      </c>
      <c r="H12" s="52">
        <v>14528</v>
      </c>
      <c r="I12" s="52">
        <v>132957</v>
      </c>
      <c r="J12" s="52">
        <v>51169548</v>
      </c>
      <c r="K12" s="55"/>
      <c r="L12" s="45"/>
      <c r="M12" s="50"/>
      <c r="N12" s="50"/>
    </row>
    <row r="13" spans="1:17" s="51" customFormat="1" ht="12.95" customHeight="1" x14ac:dyDescent="0.25">
      <c r="A13" s="25">
        <f t="shared" si="0"/>
        <v>44475</v>
      </c>
      <c r="B13" s="67">
        <v>1189633</v>
      </c>
      <c r="C13" s="37">
        <v>548697</v>
      </c>
      <c r="D13" s="53">
        <v>0.52</v>
      </c>
      <c r="E13" s="37">
        <f>E12+27</f>
        <v>5974.05</v>
      </c>
      <c r="F13" s="37">
        <v>478.89</v>
      </c>
      <c r="G13" s="37">
        <v>33574.22</v>
      </c>
      <c r="H13" s="54">
        <v>14528</v>
      </c>
      <c r="I13" s="37">
        <v>133070</v>
      </c>
      <c r="J13" s="37">
        <v>51205104</v>
      </c>
      <c r="K13" s="55"/>
      <c r="L13" s="45"/>
      <c r="M13" s="50"/>
      <c r="N13" s="56"/>
      <c r="O13" s="56"/>
      <c r="P13" s="56"/>
      <c r="Q13" s="56"/>
    </row>
    <row r="14" spans="1:17" s="51" customFormat="1" ht="12.95" customHeight="1" x14ac:dyDescent="0.25">
      <c r="A14" s="25">
        <f t="shared" si="0"/>
        <v>44476</v>
      </c>
      <c r="B14" s="54"/>
      <c r="C14" s="54"/>
      <c r="D14" s="53"/>
      <c r="E14" s="37"/>
      <c r="F14" s="37"/>
      <c r="G14" s="37"/>
      <c r="H14" s="54"/>
      <c r="I14" s="54"/>
      <c r="J14" s="54"/>
      <c r="K14" s="55"/>
      <c r="L14" s="45"/>
      <c r="M14" s="50"/>
      <c r="N14" s="56"/>
      <c r="O14" s="56"/>
      <c r="P14" s="56"/>
      <c r="Q14" s="56"/>
    </row>
    <row r="15" spans="1:17" s="51" customFormat="1" ht="12.95" customHeight="1" x14ac:dyDescent="0.25">
      <c r="A15" s="25">
        <f t="shared" si="0"/>
        <v>44477</v>
      </c>
      <c r="B15" s="54"/>
      <c r="C15" s="54"/>
      <c r="D15" s="53"/>
      <c r="E15" s="37"/>
      <c r="F15" s="57"/>
      <c r="G15" s="37"/>
      <c r="H15" s="54"/>
      <c r="I15" s="54"/>
      <c r="J15" s="54"/>
      <c r="K15" s="55"/>
      <c r="L15" s="45"/>
      <c r="M15" s="50"/>
      <c r="N15" s="56"/>
      <c r="O15" s="56"/>
      <c r="P15" s="56"/>
      <c r="Q15" s="56"/>
    </row>
    <row r="16" spans="1:17" s="51" customFormat="1" ht="12.95" customHeight="1" x14ac:dyDescent="0.25">
      <c r="A16" s="25">
        <f t="shared" si="0"/>
        <v>44478</v>
      </c>
      <c r="B16" s="58"/>
      <c r="C16" s="54"/>
      <c r="D16" s="53"/>
      <c r="E16" s="37"/>
      <c r="F16" s="57"/>
      <c r="G16" s="37"/>
      <c r="H16" s="54"/>
      <c r="I16" s="54"/>
      <c r="J16" s="54"/>
      <c r="K16" s="55"/>
      <c r="L16" s="45"/>
      <c r="M16" s="50"/>
      <c r="N16" s="56"/>
      <c r="O16" s="56"/>
      <c r="P16" s="56"/>
      <c r="Q16" s="56"/>
    </row>
    <row r="17" spans="1:19" s="51" customFormat="1" ht="12.95" customHeight="1" x14ac:dyDescent="0.25">
      <c r="A17" s="25">
        <f t="shared" si="0"/>
        <v>44479</v>
      </c>
      <c r="B17" s="37"/>
      <c r="C17" s="37"/>
      <c r="D17" s="59"/>
      <c r="E17" s="37"/>
      <c r="F17" s="57"/>
      <c r="G17" s="37"/>
      <c r="H17" s="54"/>
      <c r="I17" s="37"/>
      <c r="J17" s="37"/>
      <c r="K17" s="55"/>
      <c r="L17" s="45"/>
      <c r="M17" s="50"/>
      <c r="N17" s="56"/>
      <c r="O17" s="56"/>
      <c r="P17" s="56"/>
      <c r="Q17" s="56"/>
    </row>
    <row r="18" spans="1:19" s="51" customFormat="1" ht="12.95" customHeight="1" x14ac:dyDescent="0.25">
      <c r="A18" s="25">
        <f t="shared" si="0"/>
        <v>44480</v>
      </c>
      <c r="B18" s="54"/>
      <c r="C18" s="54"/>
      <c r="D18" s="53"/>
      <c r="E18" s="37"/>
      <c r="F18" s="37"/>
      <c r="G18" s="37"/>
      <c r="H18" s="54"/>
      <c r="I18" s="54"/>
      <c r="J18" s="54"/>
      <c r="K18" s="55"/>
      <c r="L18" s="45"/>
      <c r="M18" s="50"/>
      <c r="N18" s="56"/>
      <c r="O18" s="60"/>
      <c r="P18" s="56"/>
      <c r="Q18" s="56"/>
    </row>
    <row r="19" spans="1:19" s="51" customFormat="1" ht="12.95" customHeight="1" x14ac:dyDescent="0.25">
      <c r="A19" s="25">
        <f t="shared" si="0"/>
        <v>44481</v>
      </c>
      <c r="B19" s="40"/>
      <c r="C19" s="40"/>
      <c r="D19" s="53"/>
      <c r="E19" s="37"/>
      <c r="F19" s="37"/>
      <c r="G19" s="38"/>
      <c r="H19" s="54"/>
      <c r="I19" s="40"/>
      <c r="J19" s="40"/>
      <c r="K19" s="55"/>
      <c r="L19" s="45"/>
      <c r="M19" s="50"/>
      <c r="N19" s="56"/>
      <c r="O19" s="60"/>
      <c r="P19" s="56"/>
      <c r="Q19" s="56"/>
    </row>
    <row r="20" spans="1:19" s="51" customFormat="1" ht="12.95" customHeight="1" x14ac:dyDescent="0.25">
      <c r="A20" s="25">
        <f t="shared" si="0"/>
        <v>44482</v>
      </c>
      <c r="B20" s="40"/>
      <c r="C20" s="40"/>
      <c r="D20" s="53"/>
      <c r="E20" s="52"/>
      <c r="F20" s="52"/>
      <c r="G20" s="38"/>
      <c r="H20" s="54"/>
      <c r="I20" s="40"/>
      <c r="J20" s="40"/>
      <c r="K20" s="55"/>
      <c r="L20" s="68"/>
      <c r="M20" s="50"/>
      <c r="N20" s="61"/>
      <c r="O20" s="56"/>
      <c r="P20" s="56"/>
      <c r="Q20" s="56"/>
    </row>
    <row r="21" spans="1:19" s="51" customFormat="1" ht="12.95" customHeight="1" x14ac:dyDescent="0.25">
      <c r="A21" s="25">
        <f t="shared" si="0"/>
        <v>44483</v>
      </c>
      <c r="B21" s="40"/>
      <c r="C21" s="40"/>
      <c r="D21" s="53"/>
      <c r="E21" s="38"/>
      <c r="F21" s="37"/>
      <c r="G21" s="38"/>
      <c r="H21" s="54"/>
      <c r="I21" s="40"/>
      <c r="J21" s="40"/>
      <c r="K21" s="55"/>
      <c r="L21" s="68"/>
      <c r="M21" s="50"/>
      <c r="N21" s="61"/>
      <c r="O21" s="61"/>
      <c r="P21" s="62"/>
      <c r="Q21" s="62"/>
      <c r="S21" s="50"/>
    </row>
    <row r="22" spans="1:19" s="51" customFormat="1" ht="12.95" customHeight="1" x14ac:dyDescent="0.25">
      <c r="A22" s="25">
        <f t="shared" si="0"/>
        <v>44484</v>
      </c>
      <c r="B22" s="52"/>
      <c r="C22" s="58"/>
      <c r="D22" s="53"/>
      <c r="E22" s="37"/>
      <c r="F22" s="37"/>
      <c r="G22" s="38"/>
      <c r="H22" s="54"/>
      <c r="I22" s="38"/>
      <c r="J22" s="40"/>
      <c r="K22" s="55"/>
      <c r="L22" s="68"/>
      <c r="M22" s="50"/>
      <c r="N22" s="61"/>
      <c r="O22" s="61"/>
      <c r="P22" s="56"/>
      <c r="Q22" s="56"/>
    </row>
    <row r="23" spans="1:19" s="51" customFormat="1" ht="12.95" customHeight="1" x14ac:dyDescent="0.25">
      <c r="A23" s="25">
        <f t="shared" si="0"/>
        <v>44485</v>
      </c>
      <c r="B23" s="40"/>
      <c r="C23" s="40"/>
      <c r="D23" s="53"/>
      <c r="E23" s="38"/>
      <c r="F23" s="37"/>
      <c r="G23" s="38"/>
      <c r="H23" s="54"/>
      <c r="I23" s="40"/>
      <c r="J23" s="40"/>
      <c r="K23" s="55"/>
      <c r="L23" s="68"/>
      <c r="M23" s="50"/>
      <c r="N23" s="61"/>
      <c r="O23" s="56"/>
      <c r="P23" s="56"/>
      <c r="Q23" s="56"/>
    </row>
    <row r="24" spans="1:19" s="51" customFormat="1" ht="12.95" customHeight="1" x14ac:dyDescent="0.25">
      <c r="A24" s="25">
        <f t="shared" si="0"/>
        <v>44486</v>
      </c>
      <c r="B24" s="40"/>
      <c r="C24" s="40"/>
      <c r="D24" s="53"/>
      <c r="E24" s="38"/>
      <c r="F24" s="37"/>
      <c r="G24" s="38"/>
      <c r="H24" s="54"/>
      <c r="I24" s="40"/>
      <c r="J24" s="40"/>
      <c r="K24" s="55"/>
      <c r="L24" s="73"/>
      <c r="M24" s="50"/>
      <c r="N24" s="61"/>
      <c r="O24" s="61"/>
      <c r="P24" s="56"/>
      <c r="Q24" s="56"/>
    </row>
    <row r="25" spans="1:19" s="51" customFormat="1" ht="12.95" customHeight="1" x14ac:dyDescent="0.25">
      <c r="A25" s="25">
        <f t="shared" si="0"/>
        <v>44487</v>
      </c>
      <c r="B25" s="38"/>
      <c r="C25" s="38"/>
      <c r="D25" s="53"/>
      <c r="E25" s="38"/>
      <c r="F25" s="37"/>
      <c r="G25" s="38"/>
      <c r="H25" s="54"/>
      <c r="I25" s="40"/>
      <c r="J25" s="40"/>
      <c r="K25" s="63"/>
      <c r="L25" s="73"/>
      <c r="M25" s="50"/>
      <c r="N25" s="61"/>
      <c r="O25" s="61"/>
      <c r="P25" s="56"/>
      <c r="Q25" s="56"/>
    </row>
    <row r="26" spans="1:19" s="51" customFormat="1" ht="12.95" customHeight="1" x14ac:dyDescent="0.25">
      <c r="A26" s="25">
        <f t="shared" si="0"/>
        <v>44488</v>
      </c>
      <c r="B26" s="38"/>
      <c r="C26" s="38"/>
      <c r="D26" s="59"/>
      <c r="E26" s="38"/>
      <c r="F26" s="37"/>
      <c r="G26" s="38"/>
      <c r="H26" s="54"/>
      <c r="I26" s="40"/>
      <c r="J26" s="40"/>
      <c r="K26" s="55"/>
      <c r="L26" s="73"/>
      <c r="M26" s="50"/>
      <c r="N26" s="61"/>
      <c r="O26" s="61"/>
      <c r="P26" s="56"/>
      <c r="Q26" s="56"/>
    </row>
    <row r="27" spans="1:19" s="51" customFormat="1" ht="12.95" customHeight="1" x14ac:dyDescent="0.25">
      <c r="A27" s="25">
        <f t="shared" si="0"/>
        <v>44489</v>
      </c>
      <c r="B27" s="40"/>
      <c r="C27" s="40"/>
      <c r="D27" s="53"/>
      <c r="E27" s="38"/>
      <c r="F27" s="37"/>
      <c r="G27" s="38"/>
      <c r="H27" s="54"/>
      <c r="I27" s="40"/>
      <c r="J27" s="40"/>
      <c r="K27" s="69"/>
      <c r="L27" s="68"/>
      <c r="M27" s="50"/>
    </row>
    <row r="28" spans="1:19" s="51" customFormat="1" ht="12.95" customHeight="1" x14ac:dyDescent="0.25">
      <c r="A28" s="25">
        <f t="shared" si="0"/>
        <v>44490</v>
      </c>
      <c r="B28" s="39"/>
      <c r="C28" s="40"/>
      <c r="D28" s="53"/>
      <c r="E28" s="38"/>
      <c r="F28" s="37"/>
      <c r="G28" s="38"/>
      <c r="H28" s="54"/>
      <c r="I28" s="40"/>
      <c r="J28" s="40"/>
      <c r="K28" s="55"/>
      <c r="L28" s="68"/>
      <c r="M28" s="50"/>
    </row>
    <row r="29" spans="1:19" s="51" customFormat="1" ht="12.95" customHeight="1" x14ac:dyDescent="0.25">
      <c r="A29" s="25">
        <f t="shared" si="0"/>
        <v>44491</v>
      </c>
      <c r="B29" s="40"/>
      <c r="C29" s="40"/>
      <c r="D29" s="53"/>
      <c r="E29" s="38"/>
      <c r="F29" s="37"/>
      <c r="G29" s="38"/>
      <c r="H29" s="54"/>
      <c r="I29" s="40"/>
      <c r="J29" s="40"/>
      <c r="K29" s="55"/>
      <c r="L29" s="68"/>
      <c r="M29" s="50"/>
      <c r="N29" s="50"/>
    </row>
    <row r="30" spans="1:19" s="51" customFormat="1" ht="12.95" customHeight="1" x14ac:dyDescent="0.25">
      <c r="A30" s="25">
        <f t="shared" si="0"/>
        <v>44492</v>
      </c>
      <c r="B30" s="40"/>
      <c r="C30" s="40"/>
      <c r="D30" s="53"/>
      <c r="E30" s="38"/>
      <c r="F30" s="37"/>
      <c r="G30" s="38"/>
      <c r="H30" s="54"/>
      <c r="I30" s="40"/>
      <c r="J30" s="40"/>
      <c r="K30" s="55"/>
      <c r="L30" s="68"/>
      <c r="M30" s="50"/>
    </row>
    <row r="31" spans="1:19" s="51" customFormat="1" ht="12.95" customHeight="1" x14ac:dyDescent="0.25">
      <c r="A31" s="25">
        <f t="shared" si="0"/>
        <v>44493</v>
      </c>
      <c r="B31" s="40"/>
      <c r="C31" s="40"/>
      <c r="D31" s="53"/>
      <c r="E31" s="38"/>
      <c r="F31" s="37"/>
      <c r="G31" s="38"/>
      <c r="H31" s="54"/>
      <c r="I31" s="40"/>
      <c r="J31" s="40"/>
      <c r="K31" s="55"/>
      <c r="L31" s="68"/>
      <c r="M31" s="50"/>
      <c r="N31" s="50"/>
      <c r="O31" s="50"/>
    </row>
    <row r="32" spans="1:19" s="51" customFormat="1" ht="12.95" customHeight="1" x14ac:dyDescent="0.25">
      <c r="A32" s="25">
        <f t="shared" si="0"/>
        <v>44494</v>
      </c>
      <c r="B32" s="40"/>
      <c r="C32" s="40"/>
      <c r="D32" s="53"/>
      <c r="E32" s="38"/>
      <c r="F32" s="37"/>
      <c r="G32" s="38"/>
      <c r="H32" s="54"/>
      <c r="I32" s="40"/>
      <c r="J32" s="40"/>
      <c r="K32" s="55"/>
      <c r="L32" s="68"/>
      <c r="M32" s="50"/>
      <c r="N32" s="50"/>
      <c r="O32" s="50"/>
    </row>
    <row r="33" spans="1:16" s="51" customFormat="1" ht="12.95" customHeight="1" x14ac:dyDescent="0.25">
      <c r="A33" s="25">
        <f t="shared" si="0"/>
        <v>44495</v>
      </c>
      <c r="B33" s="40"/>
      <c r="C33" s="40"/>
      <c r="D33" s="53"/>
      <c r="E33" s="38"/>
      <c r="F33" s="37"/>
      <c r="G33" s="38"/>
      <c r="H33" s="54"/>
      <c r="I33" s="40"/>
      <c r="J33" s="40"/>
      <c r="K33" s="55"/>
      <c r="L33" s="68"/>
      <c r="N33" s="50"/>
      <c r="O33" s="50"/>
    </row>
    <row r="34" spans="1:16" s="51" customFormat="1" ht="12.95" customHeight="1" x14ac:dyDescent="0.25">
      <c r="A34" s="25">
        <f t="shared" si="0"/>
        <v>44496</v>
      </c>
      <c r="B34" s="40"/>
      <c r="C34" s="40"/>
      <c r="D34" s="59"/>
      <c r="E34" s="38"/>
      <c r="F34" s="37"/>
      <c r="G34" s="38"/>
      <c r="H34" s="54"/>
      <c r="I34" s="38"/>
      <c r="J34" s="38"/>
      <c r="K34" s="55"/>
      <c r="L34" s="74"/>
      <c r="N34" s="50"/>
      <c r="P34" s="50"/>
    </row>
    <row r="35" spans="1:16" s="51" customFormat="1" ht="12.95" customHeight="1" x14ac:dyDescent="0.25">
      <c r="A35" s="25">
        <f>A34+1</f>
        <v>44497</v>
      </c>
      <c r="B35" s="54"/>
      <c r="C35" s="64"/>
      <c r="D35" s="53"/>
      <c r="E35" s="38"/>
      <c r="F35" s="37"/>
      <c r="G35" s="37"/>
      <c r="H35" s="54"/>
      <c r="I35" s="54"/>
      <c r="J35" s="54"/>
      <c r="K35" s="55"/>
      <c r="L35" s="68"/>
      <c r="M35" s="50"/>
      <c r="N35" s="50"/>
      <c r="O35" s="50"/>
    </row>
    <row r="36" spans="1:16" s="65" customFormat="1" x14ac:dyDescent="0.25">
      <c r="A36" s="44">
        <f t="shared" si="0"/>
        <v>44498</v>
      </c>
      <c r="B36" s="54"/>
      <c r="C36" s="64"/>
      <c r="D36" s="53"/>
      <c r="E36" s="42"/>
      <c r="F36" s="37"/>
      <c r="G36" s="37"/>
      <c r="H36" s="54"/>
      <c r="I36" s="54"/>
      <c r="J36" s="54"/>
      <c r="K36" s="55"/>
      <c r="L36" s="75"/>
    </row>
    <row r="37" spans="1:16" s="65" customFormat="1" x14ac:dyDescent="0.25">
      <c r="A37" s="44">
        <f t="shared" si="0"/>
        <v>44499</v>
      </c>
      <c r="B37" s="54"/>
      <c r="C37" s="64"/>
      <c r="D37" s="53"/>
      <c r="E37" s="42"/>
      <c r="F37" s="37"/>
      <c r="G37" s="37"/>
      <c r="H37" s="54"/>
      <c r="I37" s="54"/>
      <c r="J37" s="54"/>
      <c r="K37" s="55"/>
      <c r="L37" s="68"/>
    </row>
    <row r="38" spans="1:16" ht="15.75" thickBot="1" x14ac:dyDescent="0.3">
      <c r="A38" s="76">
        <f>A37+1</f>
        <v>44500</v>
      </c>
      <c r="B38" s="77"/>
      <c r="C38" s="78"/>
      <c r="D38" s="79"/>
      <c r="E38" s="80"/>
      <c r="F38" s="81"/>
      <c r="G38" s="81"/>
      <c r="H38" s="77"/>
      <c r="I38" s="77"/>
      <c r="J38" s="77"/>
      <c r="K38" s="82"/>
      <c r="L38" s="83"/>
    </row>
    <row r="39" spans="1:16" x14ac:dyDescent="0.25">
      <c r="A39" s="27" t="s">
        <v>35</v>
      </c>
      <c r="B39" s="20">
        <f>B38-B7</f>
        <v>-1165260</v>
      </c>
      <c r="C39" s="20">
        <f>C38-C7</f>
        <v>-514463</v>
      </c>
      <c r="D39" s="20"/>
      <c r="E39" s="20">
        <f t="shared" ref="E39:J39" si="1">E38-E7</f>
        <v>-5812.95</v>
      </c>
      <c r="F39" s="20">
        <f t="shared" si="1"/>
        <v>-432.49</v>
      </c>
      <c r="G39" s="20">
        <f t="shared" si="1"/>
        <v>-33374.9</v>
      </c>
      <c r="H39" s="20">
        <f t="shared" si="1"/>
        <v>-14528</v>
      </c>
      <c r="I39" s="20">
        <f t="shared" si="1"/>
        <v>-132398</v>
      </c>
      <c r="J39" s="20">
        <f t="shared" si="1"/>
        <v>-50981856</v>
      </c>
      <c r="K39" s="20">
        <f>SUM(K7:K38)</f>
        <v>3600</v>
      </c>
    </row>
    <row r="40" spans="1:16" x14ac:dyDescent="0.25">
      <c r="C40" s="20"/>
      <c r="E40" s="18"/>
      <c r="F40" s="18"/>
      <c r="G40" s="18"/>
      <c r="H40" s="15">
        <f>H39*219.969</f>
        <v>-3195709.6319999998</v>
      </c>
      <c r="I40" s="20">
        <f>I39*219.969</f>
        <v>-29123455.662</v>
      </c>
      <c r="J40" s="18"/>
    </row>
    <row r="41" spans="1:16" x14ac:dyDescent="0.25">
      <c r="A41" s="34"/>
      <c r="B41" s="70"/>
      <c r="C41" s="70"/>
      <c r="D41" s="34"/>
      <c r="E41" s="70"/>
      <c r="F41" s="70"/>
      <c r="G41" s="70"/>
      <c r="H41" s="70"/>
      <c r="I41" s="70"/>
      <c r="J41" s="70"/>
      <c r="K41" s="34"/>
      <c r="L41" s="34"/>
    </row>
    <row r="42" spans="1:16" x14ac:dyDescent="0.25">
      <c r="I42" s="15"/>
    </row>
    <row r="43" spans="1:16" x14ac:dyDescent="0.25">
      <c r="C43" s="18"/>
    </row>
    <row r="44" spans="1:16" x14ac:dyDescent="0.25">
      <c r="J44" s="35"/>
    </row>
    <row r="45" spans="1:16" x14ac:dyDescent="0.25">
      <c r="C45" s="36"/>
      <c r="I45" s="35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10 - 2021</vt:lpstr>
      <vt:lpstr>'10 - 2021'!Print_Area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2021-10-06T04:39:20Z</dcterms:modified>
</cp:coreProperties>
</file>