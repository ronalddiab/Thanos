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3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19" l="1"/>
  <c r="I29" i="117" s="1"/>
  <c r="H31" i="119"/>
  <c r="H30" i="119"/>
  <c r="H29" i="119"/>
  <c r="F18" i="119"/>
  <c r="F16" i="119"/>
  <c r="F15" i="119"/>
  <c r="F14" i="119"/>
  <c r="F13" i="119"/>
  <c r="F11" i="119"/>
  <c r="F10" i="119"/>
  <c r="F9" i="119"/>
  <c r="F7" i="119"/>
  <c r="F6" i="119"/>
  <c r="F5" i="119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L2" i="117"/>
  <c r="K2" i="117"/>
  <c r="H5" i="119"/>
  <c r="I2" i="117"/>
  <c r="F22" i="119"/>
  <c r="F24" i="119"/>
  <c r="D18" i="119"/>
  <c r="D26" i="119"/>
  <c r="F32" i="119"/>
  <c r="D32" i="119"/>
  <c r="I28" i="117"/>
  <c r="F31" i="119"/>
  <c r="D31" i="119"/>
  <c r="I27" i="117"/>
  <c r="F30" i="119"/>
  <c r="D30" i="119"/>
  <c r="I26" i="117"/>
  <c r="F29" i="119"/>
  <c r="D29" i="119"/>
  <c r="H28" i="119"/>
  <c r="I25" i="117"/>
  <c r="F28" i="119"/>
  <c r="D28" i="119"/>
  <c r="H27" i="119"/>
  <c r="I24" i="117"/>
  <c r="F27" i="119"/>
  <c r="D27" i="119"/>
  <c r="H26" i="119"/>
  <c r="I23" i="117"/>
  <c r="F26" i="119"/>
  <c r="H25" i="119"/>
  <c r="I22" i="117"/>
  <c r="F25" i="119"/>
  <c r="D25" i="119"/>
  <c r="H24" i="119"/>
  <c r="I21" i="117" s="1"/>
  <c r="D24" i="119"/>
  <c r="H23" i="119"/>
  <c r="I20" i="117"/>
  <c r="F23" i="119"/>
  <c r="D23" i="119"/>
  <c r="H22" i="119"/>
  <c r="I19" i="117" s="1"/>
  <c r="D22" i="119"/>
  <c r="H21" i="119"/>
  <c r="I18" i="117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/>
  <c r="H17" i="119"/>
  <c r="I14" i="117" s="1"/>
  <c r="F17" i="119"/>
  <c r="D17" i="119"/>
  <c r="H16" i="119"/>
  <c r="I13" i="117" s="1"/>
  <c r="D16" i="119"/>
  <c r="H15" i="119"/>
  <c r="I12" i="117"/>
  <c r="D15" i="119"/>
  <c r="H14" i="119"/>
  <c r="I11" i="117"/>
  <c r="D14" i="119"/>
  <c r="H13" i="119"/>
  <c r="I10" i="117"/>
  <c r="D13" i="119"/>
  <c r="H12" i="119"/>
  <c r="I9" i="117"/>
  <c r="F12" i="119"/>
  <c r="D12" i="119"/>
  <c r="H11" i="119"/>
  <c r="I8" i="117"/>
  <c r="D11" i="119"/>
  <c r="H10" i="119"/>
  <c r="I7" i="117"/>
  <c r="D10" i="119"/>
  <c r="H9" i="119"/>
  <c r="I6" i="117"/>
  <c r="D9" i="119"/>
  <c r="H8" i="119"/>
  <c r="I5" i="117"/>
  <c r="F8" i="119"/>
  <c r="D8" i="119"/>
  <c r="H7" i="119"/>
  <c r="I4" i="117"/>
  <c r="D7" i="119"/>
  <c r="H6" i="119"/>
  <c r="I3" i="117"/>
  <c r="D6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</calcChain>
</file>

<file path=xl/sharedStrings.xml><?xml version="1.0" encoding="utf-8"?>
<sst xmlns="http://schemas.openxmlformats.org/spreadsheetml/2006/main" count="53" uniqueCount="25">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</sst>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53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0" fontId="1" fillId="0" borderId="1" xfId="1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0" xfId="11" applyNumberFormat="1" applyFont="1" applyBorder="1" applyAlignment="1">
      <alignment horizontal="center" vertical="center"/>
    </xf>
    <xf numFmtId="0" fontId="6" fillId="7" borderId="12" xfId="11" applyFont="1" applyFill="1" applyBorder="1" applyAlignment="1">
      <alignment horizontal="center" vertical="center" wrapText="1"/>
    </xf>
    <xf numFmtId="0" fontId="0" fillId="9" borderId="13" xfId="0" applyFill="1" applyBorder="1"/>
    <xf numFmtId="1" fontId="8" fillId="0" borderId="14" xfId="11" applyNumberFormat="1" applyFont="1" applyBorder="1" applyAlignment="1">
      <alignment horizontal="center"/>
    </xf>
    <xf numFmtId="1" fontId="13" fillId="0" borderId="14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7" fillId="0" borderId="14" xfId="1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7" fillId="0" borderId="10" xfId="11" applyFont="1" applyBorder="1"/>
    <xf numFmtId="1" fontId="13" fillId="0" borderId="9" xfId="11" applyNumberFormat="1" applyFont="1" applyBorder="1" applyAlignment="1">
      <alignment horizontal="center" vertical="center"/>
    </xf>
    <xf numFmtId="0" fontId="9" fillId="2" borderId="1" xfId="11" applyFont="1" applyFill="1" applyBorder="1" applyAlignment="1">
      <alignment horizontal="center"/>
    </xf>
    <xf numFmtId="0" fontId="9" fillId="2" borderId="1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workbookViewId="0">
      <selection activeCell="G2" sqref="G2:G29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23</v>
      </c>
      <c r="H1" s="4" t="s">
        <v>21</v>
      </c>
      <c r="I1" s="3" t="s">
        <v>6</v>
      </c>
      <c r="J1" s="5" t="s">
        <v>7</v>
      </c>
      <c r="K1" s="3" t="s">
        <v>8</v>
      </c>
      <c r="L1" s="3" t="s">
        <v>24</v>
      </c>
    </row>
    <row r="2" spans="1:12" ht="15" x14ac:dyDescent="0.25">
      <c r="A2" s="6" t="s">
        <v>22</v>
      </c>
      <c r="B2" s="7">
        <v>1</v>
      </c>
      <c r="C2" s="8">
        <v>2</v>
      </c>
      <c r="D2" s="7">
        <v>2023</v>
      </c>
      <c r="E2" s="9">
        <v>21450.000000000957</v>
      </c>
      <c r="F2" s="30">
        <v>0.85389999999999999</v>
      </c>
      <c r="G2" s="9">
        <v>1623</v>
      </c>
      <c r="H2" s="30">
        <v>4.78</v>
      </c>
      <c r="I2" s="9">
        <f>'Shenzhen Daily'!H5</f>
        <v>373</v>
      </c>
      <c r="J2" s="30">
        <v>5.09</v>
      </c>
      <c r="K2" s="9">
        <f>'Shenzhen Daily'!I5</f>
        <v>152</v>
      </c>
      <c r="L2" s="9">
        <f>'Shenzhen Daily'!J5</f>
        <v>282</v>
      </c>
    </row>
    <row r="3" spans="1:12" ht="15" x14ac:dyDescent="0.25">
      <c r="A3" s="6" t="s">
        <v>22</v>
      </c>
      <c r="B3" s="7">
        <f>B2+1</f>
        <v>2</v>
      </c>
      <c r="C3" s="8">
        <v>2</v>
      </c>
      <c r="D3" s="7">
        <v>2023</v>
      </c>
      <c r="E3" s="9">
        <v>20556.000000000338</v>
      </c>
      <c r="F3" s="30">
        <v>0.85389999999999999</v>
      </c>
      <c r="G3" s="9">
        <v>1526</v>
      </c>
      <c r="H3" s="30">
        <v>4.78</v>
      </c>
      <c r="I3" s="9">
        <f>'Shenzhen Daily'!H6</f>
        <v>378</v>
      </c>
      <c r="J3" s="30">
        <v>5.09</v>
      </c>
      <c r="K3" s="9">
        <f>'Shenzhen Daily'!I6</f>
        <v>193</v>
      </c>
      <c r="L3" s="9">
        <f>'Shenzhen Daily'!J6</f>
        <v>300</v>
      </c>
    </row>
    <row r="4" spans="1:12" ht="15" x14ac:dyDescent="0.25">
      <c r="A4" s="6" t="s">
        <v>22</v>
      </c>
      <c r="B4" s="7">
        <f t="shared" ref="B4:B29" si="0">B3+1</f>
        <v>3</v>
      </c>
      <c r="C4" s="8">
        <v>2</v>
      </c>
      <c r="D4" s="7">
        <v>2023</v>
      </c>
      <c r="E4" s="9">
        <v>21313.000000000258</v>
      </c>
      <c r="F4" s="30">
        <v>0.85389999999999999</v>
      </c>
      <c r="G4" s="9">
        <v>1602</v>
      </c>
      <c r="H4" s="30">
        <v>4.78</v>
      </c>
      <c r="I4" s="9">
        <f>'Shenzhen Daily'!H7</f>
        <v>389</v>
      </c>
      <c r="J4" s="30">
        <v>5.09</v>
      </c>
      <c r="K4" s="9">
        <f>'Shenzhen Daily'!I7</f>
        <v>172</v>
      </c>
      <c r="L4" s="9">
        <f>'Shenzhen Daily'!J7</f>
        <v>437</v>
      </c>
    </row>
    <row r="5" spans="1:12" ht="15" x14ac:dyDescent="0.25">
      <c r="A5" s="6" t="s">
        <v>22</v>
      </c>
      <c r="B5" s="7">
        <f t="shared" si="0"/>
        <v>4</v>
      </c>
      <c r="C5" s="8">
        <v>2</v>
      </c>
      <c r="D5" s="7">
        <v>2023</v>
      </c>
      <c r="E5" s="9">
        <v>18724.999999999993</v>
      </c>
      <c r="F5" s="30">
        <v>0.85389999999999999</v>
      </c>
      <c r="G5" s="9">
        <v>1481</v>
      </c>
      <c r="H5" s="30">
        <v>4.78</v>
      </c>
      <c r="I5" s="9">
        <f>'Shenzhen Daily'!H8</f>
        <v>352</v>
      </c>
      <c r="J5" s="30">
        <v>5.09</v>
      </c>
      <c r="K5" s="9">
        <f>'Shenzhen Daily'!I8</f>
        <v>178</v>
      </c>
      <c r="L5" s="9">
        <f>'Shenzhen Daily'!J8</f>
        <v>351</v>
      </c>
    </row>
    <row r="6" spans="1:12" ht="15" x14ac:dyDescent="0.25">
      <c r="A6" s="6" t="s">
        <v>22</v>
      </c>
      <c r="B6" s="7">
        <f t="shared" si="0"/>
        <v>5</v>
      </c>
      <c r="C6" s="8">
        <v>2</v>
      </c>
      <c r="D6" s="7">
        <v>2023</v>
      </c>
      <c r="E6" s="9">
        <v>20537.99999999916</v>
      </c>
      <c r="F6" s="30">
        <v>0.85389999999999999</v>
      </c>
      <c r="G6" s="9">
        <v>1385</v>
      </c>
      <c r="H6" s="30">
        <v>4.78</v>
      </c>
      <c r="I6" s="9">
        <f>'Shenzhen Daily'!H9</f>
        <v>376</v>
      </c>
      <c r="J6" s="30">
        <v>5.09</v>
      </c>
      <c r="K6" s="9">
        <f>'Shenzhen Daily'!I9</f>
        <v>149</v>
      </c>
      <c r="L6" s="9">
        <f>'Shenzhen Daily'!J9</f>
        <v>331</v>
      </c>
    </row>
    <row r="7" spans="1:12" ht="15" x14ac:dyDescent="0.25">
      <c r="A7" s="6" t="s">
        <v>22</v>
      </c>
      <c r="B7" s="7">
        <f t="shared" si="0"/>
        <v>6</v>
      </c>
      <c r="C7" s="8">
        <v>2</v>
      </c>
      <c r="D7" s="7">
        <v>2023</v>
      </c>
      <c r="E7" s="9">
        <v>21831.000000000466</v>
      </c>
      <c r="F7" s="30">
        <v>0.85389999999999999</v>
      </c>
      <c r="G7" s="9">
        <v>1729</v>
      </c>
      <c r="H7" s="30">
        <v>4.78</v>
      </c>
      <c r="I7" s="9">
        <f>'Shenzhen Daily'!H10</f>
        <v>356</v>
      </c>
      <c r="J7" s="30">
        <v>5.09</v>
      </c>
      <c r="K7" s="9">
        <f>'Shenzhen Daily'!I10</f>
        <v>206</v>
      </c>
      <c r="L7" s="9">
        <f>'Shenzhen Daily'!J10</f>
        <v>322</v>
      </c>
    </row>
    <row r="8" spans="1:12" ht="15" x14ac:dyDescent="0.25">
      <c r="A8" s="6" t="s">
        <v>22</v>
      </c>
      <c r="B8" s="7">
        <f t="shared" si="0"/>
        <v>7</v>
      </c>
      <c r="C8" s="8">
        <v>2</v>
      </c>
      <c r="D8" s="7">
        <v>2023</v>
      </c>
      <c r="E8" s="9">
        <v>24458.999999999309</v>
      </c>
      <c r="F8" s="30">
        <v>0.85389999999999999</v>
      </c>
      <c r="G8" s="9">
        <v>1667</v>
      </c>
      <c r="H8" s="30">
        <v>4.78</v>
      </c>
      <c r="I8" s="9">
        <f>'Shenzhen Daily'!H11</f>
        <v>382</v>
      </c>
      <c r="J8" s="30">
        <v>5.09</v>
      </c>
      <c r="K8" s="9">
        <f>'Shenzhen Daily'!I11</f>
        <v>266</v>
      </c>
      <c r="L8" s="9">
        <f>'Shenzhen Daily'!J11</f>
        <v>404</v>
      </c>
    </row>
    <row r="9" spans="1:12" ht="15" x14ac:dyDescent="0.25">
      <c r="A9" s="6" t="s">
        <v>22</v>
      </c>
      <c r="B9" s="7">
        <f t="shared" si="0"/>
        <v>8</v>
      </c>
      <c r="C9" s="8">
        <v>2</v>
      </c>
      <c r="D9" s="7">
        <v>2023</v>
      </c>
      <c r="E9" s="9">
        <v>23181.000000000302</v>
      </c>
      <c r="F9" s="30">
        <v>0.85389999999999999</v>
      </c>
      <c r="G9" s="9">
        <v>1701</v>
      </c>
      <c r="H9" s="30">
        <v>4.78</v>
      </c>
      <c r="I9" s="9">
        <f>'Shenzhen Daily'!H12</f>
        <v>430</v>
      </c>
      <c r="J9" s="30">
        <v>5.09</v>
      </c>
      <c r="K9" s="9">
        <f>'Shenzhen Daily'!I12</f>
        <v>263</v>
      </c>
      <c r="L9" s="9">
        <f>'Shenzhen Daily'!J12</f>
        <v>543</v>
      </c>
    </row>
    <row r="10" spans="1:12" ht="15" x14ac:dyDescent="0.25">
      <c r="A10" s="6" t="s">
        <v>22</v>
      </c>
      <c r="B10" s="7">
        <f t="shared" si="0"/>
        <v>9</v>
      </c>
      <c r="C10" s="8">
        <v>2</v>
      </c>
      <c r="D10" s="7">
        <v>2023</v>
      </c>
      <c r="E10" s="9">
        <v>24301.000000000502</v>
      </c>
      <c r="F10" s="30">
        <v>0.85389999999999999</v>
      </c>
      <c r="G10" s="9">
        <v>1762</v>
      </c>
      <c r="H10" s="30">
        <v>4.78</v>
      </c>
      <c r="I10" s="9">
        <f>'Shenzhen Daily'!H13</f>
        <v>461</v>
      </c>
      <c r="J10" s="30">
        <v>5.09</v>
      </c>
      <c r="K10" s="9">
        <f>'Shenzhen Daily'!I13</f>
        <v>252</v>
      </c>
      <c r="L10" s="9">
        <f>'Shenzhen Daily'!J13</f>
        <v>494</v>
      </c>
    </row>
    <row r="11" spans="1:12" ht="15" x14ac:dyDescent="0.25">
      <c r="A11" s="6" t="s">
        <v>22</v>
      </c>
      <c r="B11" s="7">
        <f t="shared" si="0"/>
        <v>10</v>
      </c>
      <c r="C11" s="8">
        <v>2</v>
      </c>
      <c r="D11" s="7">
        <v>2023</v>
      </c>
      <c r="E11" s="9">
        <v>25667.999999999603</v>
      </c>
      <c r="F11" s="30">
        <v>0.85389999999999999</v>
      </c>
      <c r="G11" s="9">
        <v>1732</v>
      </c>
      <c r="H11" s="30">
        <v>4.78</v>
      </c>
      <c r="I11" s="9">
        <f>'Shenzhen Daily'!H14</f>
        <v>459</v>
      </c>
      <c r="J11" s="30">
        <v>5.09</v>
      </c>
      <c r="K11" s="9">
        <f>'Shenzhen Daily'!I14</f>
        <v>251</v>
      </c>
      <c r="L11" s="9">
        <f>'Shenzhen Daily'!J14</f>
        <v>425</v>
      </c>
    </row>
    <row r="12" spans="1:12" ht="15" x14ac:dyDescent="0.25">
      <c r="A12" s="6" t="s">
        <v>22</v>
      </c>
      <c r="B12" s="7">
        <f t="shared" si="0"/>
        <v>11</v>
      </c>
      <c r="C12" s="8">
        <v>2</v>
      </c>
      <c r="D12" s="7">
        <v>2023</v>
      </c>
      <c r="E12" s="9">
        <v>26160.000000000393</v>
      </c>
      <c r="F12" s="30">
        <v>0.85389999999999999</v>
      </c>
      <c r="G12" s="9">
        <v>1863</v>
      </c>
      <c r="H12" s="30">
        <v>4.78</v>
      </c>
      <c r="I12" s="9">
        <f>'Shenzhen Daily'!H15</f>
        <v>433</v>
      </c>
      <c r="J12" s="30">
        <v>5.09</v>
      </c>
      <c r="K12" s="9">
        <f>'Shenzhen Daily'!I15</f>
        <v>260</v>
      </c>
      <c r="L12" s="9">
        <f>'Shenzhen Daily'!J15</f>
        <v>497</v>
      </c>
    </row>
    <row r="13" spans="1:12" ht="15" x14ac:dyDescent="0.25">
      <c r="A13" s="6" t="s">
        <v>22</v>
      </c>
      <c r="B13" s="7">
        <f t="shared" si="0"/>
        <v>12</v>
      </c>
      <c r="C13" s="8">
        <v>2</v>
      </c>
      <c r="D13" s="7">
        <v>2023</v>
      </c>
      <c r="E13" s="9">
        <v>24887.999999998698</v>
      </c>
      <c r="F13" s="30">
        <v>0.85389999999999999</v>
      </c>
      <c r="G13" s="9">
        <v>1797</v>
      </c>
      <c r="H13" s="30">
        <v>4.78</v>
      </c>
      <c r="I13" s="9">
        <f>'Shenzhen Daily'!H16</f>
        <v>453</v>
      </c>
      <c r="J13" s="30">
        <v>5.09</v>
      </c>
      <c r="K13" s="9">
        <f>'Shenzhen Daily'!I16</f>
        <v>206</v>
      </c>
      <c r="L13" s="9">
        <f>'Shenzhen Daily'!J16</f>
        <v>464</v>
      </c>
    </row>
    <row r="14" spans="1:12" ht="15" x14ac:dyDescent="0.25">
      <c r="A14" s="6" t="s">
        <v>22</v>
      </c>
      <c r="B14" s="7">
        <f t="shared" si="0"/>
        <v>13</v>
      </c>
      <c r="C14" s="8">
        <v>2</v>
      </c>
      <c r="D14" s="7">
        <v>2023</v>
      </c>
      <c r="E14" s="9">
        <v>25031.9999999998</v>
      </c>
      <c r="F14" s="30">
        <v>0.85389999999999999</v>
      </c>
      <c r="G14" s="9">
        <v>1667</v>
      </c>
      <c r="H14" s="30">
        <v>4.78</v>
      </c>
      <c r="I14" s="9">
        <f>'Shenzhen Daily'!H17</f>
        <v>357</v>
      </c>
      <c r="J14" s="30">
        <v>5.09</v>
      </c>
      <c r="K14" s="9">
        <f>'Shenzhen Daily'!I17</f>
        <v>235</v>
      </c>
      <c r="L14" s="9">
        <f>'Shenzhen Daily'!J17</f>
        <v>402</v>
      </c>
    </row>
    <row r="15" spans="1:12" ht="15" x14ac:dyDescent="0.25">
      <c r="A15" s="6" t="s">
        <v>22</v>
      </c>
      <c r="B15" s="7">
        <f t="shared" si="0"/>
        <v>14</v>
      </c>
      <c r="C15" s="8">
        <v>2</v>
      </c>
      <c r="D15" s="7">
        <v>2023</v>
      </c>
      <c r="E15" s="9">
        <v>22199.000000000924</v>
      </c>
      <c r="F15" s="30">
        <v>0.85389999999999999</v>
      </c>
      <c r="G15" s="9">
        <v>1718</v>
      </c>
      <c r="H15" s="30">
        <v>4.78</v>
      </c>
      <c r="I15" s="9">
        <f>'Shenzhen Daily'!H18</f>
        <v>357</v>
      </c>
      <c r="J15" s="30">
        <v>5.09</v>
      </c>
      <c r="K15" s="9">
        <f>'Shenzhen Daily'!I18</f>
        <v>248</v>
      </c>
      <c r="L15" s="9">
        <f>'Shenzhen Daily'!J18</f>
        <v>504</v>
      </c>
    </row>
    <row r="16" spans="1:12" ht="15" x14ac:dyDescent="0.25">
      <c r="A16" s="6" t="s">
        <v>22</v>
      </c>
      <c r="B16" s="7">
        <f t="shared" si="0"/>
        <v>15</v>
      </c>
      <c r="C16" s="8">
        <v>2</v>
      </c>
      <c r="D16" s="7">
        <v>2023</v>
      </c>
      <c r="E16" s="9">
        <v>21247.999999999483</v>
      </c>
      <c r="F16" s="30">
        <v>0.85389999999999999</v>
      </c>
      <c r="G16" s="9">
        <v>1762</v>
      </c>
      <c r="H16" s="30">
        <v>4.78</v>
      </c>
      <c r="I16" s="9">
        <f>'Shenzhen Daily'!H19</f>
        <v>372</v>
      </c>
      <c r="J16" s="30">
        <v>5.09</v>
      </c>
      <c r="K16" s="9">
        <f>'Shenzhen Daily'!I19</f>
        <v>260</v>
      </c>
      <c r="L16" s="9">
        <f>'Shenzhen Daily'!J19</f>
        <v>470</v>
      </c>
    </row>
    <row r="17" spans="1:12" ht="15" x14ac:dyDescent="0.25">
      <c r="A17" s="6" t="s">
        <v>22</v>
      </c>
      <c r="B17" s="7">
        <f t="shared" si="0"/>
        <v>16</v>
      </c>
      <c r="C17" s="8">
        <v>2</v>
      </c>
      <c r="D17" s="7">
        <v>2023</v>
      </c>
      <c r="E17" s="9">
        <v>21880.000000000378</v>
      </c>
      <c r="F17" s="30">
        <v>0.85389999999999999</v>
      </c>
      <c r="G17" s="9">
        <v>1812</v>
      </c>
      <c r="H17" s="30">
        <v>4.78</v>
      </c>
      <c r="I17" s="9">
        <f>'Shenzhen Daily'!H20</f>
        <v>374</v>
      </c>
      <c r="J17" s="30">
        <v>5.09</v>
      </c>
      <c r="K17" s="9">
        <f>'Shenzhen Daily'!I20</f>
        <v>252</v>
      </c>
      <c r="L17" s="9">
        <f>'Shenzhen Daily'!J20</f>
        <v>481</v>
      </c>
    </row>
    <row r="18" spans="1:12" ht="15" x14ac:dyDescent="0.25">
      <c r="A18" s="6" t="s">
        <v>22</v>
      </c>
      <c r="B18" s="7">
        <f t="shared" si="0"/>
        <v>17</v>
      </c>
      <c r="C18" s="8">
        <v>2</v>
      </c>
      <c r="D18" s="7">
        <v>2023</v>
      </c>
      <c r="E18" s="9">
        <v>26063.000000001066</v>
      </c>
      <c r="F18" s="30">
        <v>0.85389999999999999</v>
      </c>
      <c r="G18" s="9">
        <v>1827</v>
      </c>
      <c r="H18" s="30">
        <v>4.78</v>
      </c>
      <c r="I18" s="9">
        <f>'Shenzhen Daily'!H21</f>
        <v>385</v>
      </c>
      <c r="J18" s="30">
        <v>5.09</v>
      </c>
      <c r="K18" s="9">
        <f>'Shenzhen Daily'!I21</f>
        <v>246</v>
      </c>
      <c r="L18" s="9">
        <f>'Shenzhen Daily'!J21</f>
        <v>466</v>
      </c>
    </row>
    <row r="19" spans="1:12" ht="15" x14ac:dyDescent="0.25">
      <c r="A19" s="6" t="s">
        <v>22</v>
      </c>
      <c r="B19" s="7">
        <f t="shared" si="0"/>
        <v>18</v>
      </c>
      <c r="C19" s="8">
        <v>2</v>
      </c>
      <c r="D19" s="7">
        <v>2023</v>
      </c>
      <c r="E19" s="9">
        <v>21540.000000000302</v>
      </c>
      <c r="F19" s="30">
        <v>0.85389999999999999</v>
      </c>
      <c r="G19" s="9">
        <v>1828</v>
      </c>
      <c r="H19" s="30">
        <v>4.78</v>
      </c>
      <c r="I19" s="9">
        <f>'Shenzhen Daily'!H22</f>
        <v>370</v>
      </c>
      <c r="J19" s="30">
        <v>5.09</v>
      </c>
      <c r="K19" s="9">
        <f>'Shenzhen Daily'!I22</f>
        <v>264</v>
      </c>
      <c r="L19" s="9">
        <f>'Shenzhen Daily'!J22</f>
        <v>432</v>
      </c>
    </row>
    <row r="20" spans="1:12" ht="15" x14ac:dyDescent="0.25">
      <c r="A20" s="6" t="s">
        <v>22</v>
      </c>
      <c r="B20" s="7">
        <f t="shared" si="0"/>
        <v>19</v>
      </c>
      <c r="C20" s="8">
        <v>2</v>
      </c>
      <c r="D20" s="7">
        <v>2023</v>
      </c>
      <c r="E20" s="9">
        <v>24108.999999998632</v>
      </c>
      <c r="F20" s="30">
        <v>0.85389999999999999</v>
      </c>
      <c r="G20" s="9">
        <v>1664</v>
      </c>
      <c r="H20" s="30">
        <v>4.78</v>
      </c>
      <c r="I20" s="9">
        <f>'Shenzhen Daily'!H23</f>
        <v>374</v>
      </c>
      <c r="J20" s="30">
        <v>5.09</v>
      </c>
      <c r="K20" s="9">
        <f>'Shenzhen Daily'!I23</f>
        <v>195</v>
      </c>
      <c r="L20" s="9">
        <f>'Shenzhen Daily'!J23</f>
        <v>444</v>
      </c>
    </row>
    <row r="21" spans="1:12" ht="15" x14ac:dyDescent="0.25">
      <c r="A21" s="6" t="s">
        <v>22</v>
      </c>
      <c r="B21" s="7">
        <f t="shared" si="0"/>
        <v>20</v>
      </c>
      <c r="C21" s="8">
        <v>2</v>
      </c>
      <c r="D21" s="7">
        <v>2023</v>
      </c>
      <c r="E21" s="9">
        <v>24672.999999999767</v>
      </c>
      <c r="F21" s="30">
        <v>0.85389999999999999</v>
      </c>
      <c r="G21" s="9">
        <v>1662</v>
      </c>
      <c r="H21" s="30">
        <v>4.78</v>
      </c>
      <c r="I21" s="9">
        <f>'Shenzhen Daily'!H24</f>
        <v>387</v>
      </c>
      <c r="J21" s="30">
        <v>5.09</v>
      </c>
      <c r="K21" s="9">
        <f>'Shenzhen Daily'!I24</f>
        <v>217</v>
      </c>
      <c r="L21" s="9">
        <f>'Shenzhen Daily'!J24</f>
        <v>402</v>
      </c>
    </row>
    <row r="22" spans="1:12" ht="15" x14ac:dyDescent="0.25">
      <c r="A22" s="6" t="s">
        <v>22</v>
      </c>
      <c r="B22" s="7">
        <f t="shared" si="0"/>
        <v>21</v>
      </c>
      <c r="C22" s="8">
        <v>2</v>
      </c>
      <c r="D22" s="7">
        <v>2023</v>
      </c>
      <c r="E22" s="9">
        <v>22430.00000000016</v>
      </c>
      <c r="F22" s="30">
        <v>0.85389999999999999</v>
      </c>
      <c r="G22" s="9">
        <v>1656</v>
      </c>
      <c r="H22" s="30">
        <v>4.78</v>
      </c>
      <c r="I22" s="9">
        <f>'Shenzhen Daily'!H25</f>
        <v>328</v>
      </c>
      <c r="J22" s="30">
        <v>5.09</v>
      </c>
      <c r="K22" s="9">
        <f>'Shenzhen Daily'!I25</f>
        <v>251</v>
      </c>
      <c r="L22" s="9">
        <f>'Shenzhen Daily'!J25</f>
        <v>547</v>
      </c>
    </row>
    <row r="23" spans="1:12" ht="15" x14ac:dyDescent="0.25">
      <c r="A23" s="6" t="s">
        <v>22</v>
      </c>
      <c r="B23" s="7">
        <f t="shared" si="0"/>
        <v>22</v>
      </c>
      <c r="C23" s="8">
        <v>2</v>
      </c>
      <c r="D23" s="7">
        <v>2023</v>
      </c>
      <c r="E23" s="9">
        <v>23247.000000001783</v>
      </c>
      <c r="F23" s="30">
        <v>0.85389999999999999</v>
      </c>
      <c r="G23" s="9">
        <v>1718</v>
      </c>
      <c r="H23" s="30">
        <v>4.78</v>
      </c>
      <c r="I23" s="9">
        <f>'Shenzhen Daily'!H26</f>
        <v>344</v>
      </c>
      <c r="J23" s="30">
        <v>5.09</v>
      </c>
      <c r="K23" s="9">
        <f>'Shenzhen Daily'!I26</f>
        <v>265</v>
      </c>
      <c r="L23" s="9">
        <f>'Shenzhen Daily'!J26</f>
        <v>530</v>
      </c>
    </row>
    <row r="24" spans="1:12" ht="15" x14ac:dyDescent="0.25">
      <c r="A24" s="6" t="s">
        <v>22</v>
      </c>
      <c r="B24" s="7">
        <f t="shared" si="0"/>
        <v>23</v>
      </c>
      <c r="C24" s="8">
        <v>2</v>
      </c>
      <c r="D24" s="7">
        <v>2023</v>
      </c>
      <c r="E24" s="9">
        <v>23827.999999998792</v>
      </c>
      <c r="F24" s="30">
        <v>0.85389999999999999</v>
      </c>
      <c r="G24" s="9">
        <v>1843</v>
      </c>
      <c r="H24" s="30">
        <v>4.78</v>
      </c>
      <c r="I24" s="9">
        <f>'Shenzhen Daily'!H27</f>
        <v>397</v>
      </c>
      <c r="J24" s="30">
        <v>5.09</v>
      </c>
      <c r="K24" s="9">
        <f>'Shenzhen Daily'!I27</f>
        <v>263</v>
      </c>
      <c r="L24" s="9">
        <f>'Shenzhen Daily'!J27</f>
        <v>426</v>
      </c>
    </row>
    <row r="25" spans="1:12" ht="15" x14ac:dyDescent="0.25">
      <c r="A25" s="6" t="s">
        <v>22</v>
      </c>
      <c r="B25" s="7">
        <f t="shared" si="0"/>
        <v>24</v>
      </c>
      <c r="C25" s="8">
        <v>2</v>
      </c>
      <c r="D25" s="7">
        <v>2023</v>
      </c>
      <c r="E25" s="9">
        <v>24747.000000000426</v>
      </c>
      <c r="F25" s="30">
        <v>0.85389999999999999</v>
      </c>
      <c r="G25" s="9">
        <v>1832</v>
      </c>
      <c r="H25" s="30">
        <v>4.78</v>
      </c>
      <c r="I25" s="9">
        <f>'Shenzhen Daily'!H28</f>
        <v>395</v>
      </c>
      <c r="J25" s="30">
        <v>5.09</v>
      </c>
      <c r="K25" s="9">
        <f>'Shenzhen Daily'!I28</f>
        <v>237</v>
      </c>
      <c r="L25" s="9">
        <f>'Shenzhen Daily'!J28</f>
        <v>469</v>
      </c>
    </row>
    <row r="26" spans="1:12" ht="15" x14ac:dyDescent="0.25">
      <c r="A26" s="6" t="s">
        <v>22</v>
      </c>
      <c r="B26" s="7">
        <f>B25+1</f>
        <v>25</v>
      </c>
      <c r="C26" s="8">
        <v>2</v>
      </c>
      <c r="D26" s="7">
        <v>2023</v>
      </c>
      <c r="E26" s="9">
        <v>22016.000000000146</v>
      </c>
      <c r="F26" s="30">
        <v>0.85389999999999999</v>
      </c>
      <c r="G26" s="9">
        <v>1799</v>
      </c>
      <c r="H26" s="30">
        <v>4.78</v>
      </c>
      <c r="I26" s="9">
        <f>'Shenzhen Daily'!H29</f>
        <v>402</v>
      </c>
      <c r="J26" s="30">
        <v>5.09</v>
      </c>
      <c r="K26" s="9">
        <f>'Shenzhen Daily'!I29</f>
        <v>235</v>
      </c>
      <c r="L26" s="9">
        <f>'Shenzhen Daily'!J29</f>
        <v>342</v>
      </c>
    </row>
    <row r="27" spans="1:12" ht="15" x14ac:dyDescent="0.25">
      <c r="A27" s="6" t="s">
        <v>22</v>
      </c>
      <c r="B27" s="7">
        <f t="shared" si="0"/>
        <v>26</v>
      </c>
      <c r="C27" s="8">
        <v>2</v>
      </c>
      <c r="D27" s="7">
        <v>2023</v>
      </c>
      <c r="E27" s="9">
        <v>21287.999999999032</v>
      </c>
      <c r="F27" s="30">
        <v>0.85389999999999999</v>
      </c>
      <c r="G27" s="9">
        <v>1875</v>
      </c>
      <c r="H27" s="30">
        <v>4.78</v>
      </c>
      <c r="I27" s="9">
        <f>'Shenzhen Daily'!H30</f>
        <v>398</v>
      </c>
      <c r="J27" s="30">
        <v>5.09</v>
      </c>
      <c r="K27" s="9">
        <f>'Shenzhen Daily'!I30</f>
        <v>228</v>
      </c>
      <c r="L27" s="9">
        <f>'Shenzhen Daily'!J30</f>
        <v>360</v>
      </c>
    </row>
    <row r="28" spans="1:12" ht="15" x14ac:dyDescent="0.25">
      <c r="A28" s="6" t="s">
        <v>22</v>
      </c>
      <c r="B28" s="7">
        <f t="shared" si="0"/>
        <v>27</v>
      </c>
      <c r="C28" s="8">
        <v>2</v>
      </c>
      <c r="D28" s="7">
        <v>2023</v>
      </c>
      <c r="E28" s="9">
        <v>22010.999999999967</v>
      </c>
      <c r="F28" s="30">
        <v>0.85389999999999999</v>
      </c>
      <c r="G28" s="9">
        <v>1880</v>
      </c>
      <c r="H28" s="30">
        <v>4.78</v>
      </c>
      <c r="I28" s="9">
        <f>'Shenzhen Daily'!H31</f>
        <v>401</v>
      </c>
      <c r="J28" s="30">
        <v>5.09</v>
      </c>
      <c r="K28" s="9">
        <f>'Shenzhen Daily'!I31</f>
        <v>234</v>
      </c>
      <c r="L28" s="9">
        <f>'Shenzhen Daily'!J31</f>
        <v>499</v>
      </c>
    </row>
    <row r="29" spans="1:12" ht="15" x14ac:dyDescent="0.25">
      <c r="A29" s="6" t="s">
        <v>22</v>
      </c>
      <c r="B29" s="7">
        <f t="shared" si="0"/>
        <v>28</v>
      </c>
      <c r="C29" s="8">
        <v>2</v>
      </c>
      <c r="D29" s="7">
        <v>2023</v>
      </c>
      <c r="E29" s="9">
        <v>22455.000000001211</v>
      </c>
      <c r="F29" s="30">
        <v>0.85389999999999999</v>
      </c>
      <c r="G29" s="9">
        <v>1787</v>
      </c>
      <c r="H29" s="30">
        <v>4.78</v>
      </c>
      <c r="I29" s="9">
        <f>'Shenzhen Daily'!H32</f>
        <v>452</v>
      </c>
      <c r="J29" s="30">
        <v>5.09</v>
      </c>
      <c r="K29" s="9">
        <f>'Shenzhen Daily'!I32</f>
        <v>251</v>
      </c>
      <c r="L29" s="9">
        <f>'Shenzhen Daily'!J32</f>
        <v>539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2"/>
  <sheetViews>
    <sheetView zoomScale="85" zoomScaleNormal="85" workbookViewId="0">
      <pane xSplit="1" topLeftCell="B1" activePane="topRight" state="frozen"/>
      <selection pane="topRight" activeCell="N27" sqref="N2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45"/>
      <c r="C1" s="10"/>
      <c r="D1" s="11"/>
      <c r="E1" s="10"/>
      <c r="F1" s="10"/>
      <c r="G1" s="47"/>
      <c r="H1" s="47"/>
      <c r="I1" s="12"/>
      <c r="J1" s="12"/>
    </row>
    <row r="2" spans="1:10" ht="35.25" customHeight="1" thickBot="1" x14ac:dyDescent="0.2">
      <c r="A2" s="14" t="s">
        <v>9</v>
      </c>
      <c r="B2" s="45"/>
      <c r="C2" s="48" t="s">
        <v>19</v>
      </c>
      <c r="D2" s="49"/>
      <c r="E2" s="50" t="s">
        <v>20</v>
      </c>
      <c r="F2" s="50"/>
      <c r="G2" s="51" t="s">
        <v>10</v>
      </c>
      <c r="H2" s="52"/>
      <c r="I2" s="15"/>
      <c r="J2" s="15"/>
    </row>
    <row r="3" spans="1:10" ht="44.25" customHeight="1" x14ac:dyDescent="0.15">
      <c r="A3" s="16" t="s">
        <v>11</v>
      </c>
      <c r="B3" s="45"/>
      <c r="C3" s="36" t="s">
        <v>12</v>
      </c>
      <c r="D3" s="17" t="s">
        <v>13</v>
      </c>
      <c r="E3" s="40" t="s">
        <v>14</v>
      </c>
      <c r="F3" s="18" t="s">
        <v>13</v>
      </c>
      <c r="G3" s="40" t="s">
        <v>15</v>
      </c>
      <c r="H3" s="19" t="s">
        <v>16</v>
      </c>
      <c r="I3" s="20" t="s">
        <v>17</v>
      </c>
      <c r="J3" s="20" t="s">
        <v>18</v>
      </c>
    </row>
    <row r="4" spans="1:10" s="22" customFormat="1" ht="35.25" customHeight="1" x14ac:dyDescent="0.2">
      <c r="A4" s="21">
        <v>44957</v>
      </c>
      <c r="B4" s="46"/>
      <c r="C4" s="37">
        <v>27680.639999999996</v>
      </c>
      <c r="D4" s="38"/>
      <c r="E4" s="37">
        <v>3504624</v>
      </c>
      <c r="F4" s="41"/>
      <c r="G4" s="37">
        <v>692171</v>
      </c>
      <c r="H4" s="43"/>
      <c r="I4" s="23">
        <v>170</v>
      </c>
      <c r="J4" s="23">
        <v>364</v>
      </c>
    </row>
    <row r="5" spans="1:10" ht="33" customHeight="1" x14ac:dyDescent="0.2">
      <c r="A5" s="24">
        <v>44958</v>
      </c>
      <c r="B5" s="46"/>
      <c r="C5" s="37">
        <v>27596.989999999998</v>
      </c>
      <c r="D5" s="39" t="str">
        <f t="shared" ref="D5:D22" si="0">IF((C5-C4&lt;0), "0",C5-C4)</f>
        <v>0</v>
      </c>
      <c r="E5" s="37">
        <v>3506247</v>
      </c>
      <c r="F5" s="39">
        <f>IF((E5-E4&lt;0), "0",E5-E4)</f>
        <v>1623</v>
      </c>
      <c r="G5" s="37">
        <v>692544</v>
      </c>
      <c r="H5" s="35">
        <f>IF((G5-G4&lt;0), "0",G5-G4)</f>
        <v>373</v>
      </c>
      <c r="I5" s="26">
        <v>152</v>
      </c>
      <c r="J5" s="26">
        <v>282</v>
      </c>
    </row>
    <row r="6" spans="1:10" ht="45" customHeight="1" x14ac:dyDescent="0.2">
      <c r="A6" s="24">
        <v>44959</v>
      </c>
      <c r="B6" s="46"/>
      <c r="C6" s="37">
        <v>27609.38</v>
      </c>
      <c r="D6" s="39">
        <f t="shared" si="0"/>
        <v>12.390000000003056</v>
      </c>
      <c r="E6" s="37">
        <v>3507773</v>
      </c>
      <c r="F6" s="39">
        <f>IF((E6-E5&lt;0), "0",E6-E5)</f>
        <v>1526</v>
      </c>
      <c r="G6" s="37">
        <v>692922</v>
      </c>
      <c r="H6" s="44">
        <f t="shared" ref="H6:H28" si="1">IF((G6-G5&lt;0), "0",G6-G5)</f>
        <v>378</v>
      </c>
      <c r="I6" s="34">
        <v>193</v>
      </c>
      <c r="J6" s="34">
        <v>300</v>
      </c>
    </row>
    <row r="7" spans="1:10" ht="45" customHeight="1" x14ac:dyDescent="0.2">
      <c r="A7" s="24">
        <v>44960</v>
      </c>
      <c r="B7" s="46"/>
      <c r="C7" s="37">
        <v>27621.749999999996</v>
      </c>
      <c r="D7" s="39">
        <f t="shared" si="0"/>
        <v>12.369999999995343</v>
      </c>
      <c r="E7" s="37">
        <v>3509375</v>
      </c>
      <c r="F7" s="39">
        <f>IF((E7-E6&lt;0), "0",E7-E6)</f>
        <v>1602</v>
      </c>
      <c r="G7" s="37">
        <v>693311</v>
      </c>
      <c r="H7" s="35">
        <f t="shared" si="1"/>
        <v>389</v>
      </c>
      <c r="I7" s="12">
        <v>172</v>
      </c>
      <c r="J7" s="12">
        <v>437</v>
      </c>
    </row>
    <row r="8" spans="1:10" ht="45" customHeight="1" x14ac:dyDescent="0.2">
      <c r="A8" s="24">
        <v>44961</v>
      </c>
      <c r="B8" s="45"/>
      <c r="C8" s="31">
        <v>27634.37</v>
      </c>
      <c r="D8" s="33">
        <f t="shared" si="0"/>
        <v>12.620000000002619</v>
      </c>
      <c r="E8" s="31">
        <v>3510856</v>
      </c>
      <c r="F8" s="42">
        <f t="shared" ref="F8:F32" si="2">IF((E8-E7&lt;0), "0",E8-E7)</f>
        <v>1481</v>
      </c>
      <c r="G8" s="37">
        <v>693663</v>
      </c>
      <c r="H8" s="35">
        <f t="shared" si="1"/>
        <v>352</v>
      </c>
      <c r="I8" s="12">
        <v>178</v>
      </c>
      <c r="J8" s="12">
        <v>351</v>
      </c>
    </row>
    <row r="9" spans="1:10" ht="45" customHeight="1" x14ac:dyDescent="0.2">
      <c r="A9" s="24">
        <v>44962</v>
      </c>
      <c r="B9" s="45"/>
      <c r="C9" s="31">
        <v>27647.75</v>
      </c>
      <c r="D9" s="25">
        <f t="shared" si="0"/>
        <v>13.380000000001019</v>
      </c>
      <c r="E9" s="31">
        <v>3512241</v>
      </c>
      <c r="F9" s="25">
        <f>IF((E9-E8&lt;0), "0",E9-E8)</f>
        <v>1385</v>
      </c>
      <c r="G9" s="31">
        <v>694039</v>
      </c>
      <c r="H9" s="25">
        <f t="shared" si="1"/>
        <v>376</v>
      </c>
      <c r="I9" s="12">
        <v>149</v>
      </c>
      <c r="J9" s="12">
        <v>331</v>
      </c>
    </row>
    <row r="10" spans="1:10" ht="45" customHeight="1" x14ac:dyDescent="0.2">
      <c r="A10" s="24">
        <v>44963</v>
      </c>
      <c r="B10" s="45"/>
      <c r="C10" s="31">
        <v>27660.950000000004</v>
      </c>
      <c r="D10" s="25">
        <f t="shared" si="0"/>
        <v>13.200000000004366</v>
      </c>
      <c r="E10" s="31">
        <v>3513970</v>
      </c>
      <c r="F10" s="25">
        <f>IF((E10-E9&lt;0), "0",E10-E9)</f>
        <v>1729</v>
      </c>
      <c r="G10" s="31">
        <v>694395</v>
      </c>
      <c r="H10" s="25">
        <f t="shared" si="1"/>
        <v>356</v>
      </c>
      <c r="I10" s="12">
        <v>206</v>
      </c>
      <c r="J10" s="12">
        <v>322</v>
      </c>
    </row>
    <row r="11" spans="1:10" ht="45" customHeight="1" x14ac:dyDescent="0.2">
      <c r="A11" s="24">
        <v>44964</v>
      </c>
      <c r="B11" s="45"/>
      <c r="C11" s="31">
        <v>27673.93</v>
      </c>
      <c r="D11" s="25">
        <f t="shared" si="0"/>
        <v>12.979999999995925</v>
      </c>
      <c r="E11" s="31">
        <v>3515637</v>
      </c>
      <c r="F11" s="25">
        <f>IF((E11-E10&lt;0), "0",E11-E10)</f>
        <v>1667</v>
      </c>
      <c r="G11" s="31">
        <v>694777</v>
      </c>
      <c r="H11" s="25">
        <f t="shared" si="1"/>
        <v>382</v>
      </c>
      <c r="I11" s="12">
        <v>266</v>
      </c>
      <c r="J11" s="12">
        <v>404</v>
      </c>
    </row>
    <row r="12" spans="1:10" ht="45" customHeight="1" x14ac:dyDescent="0.2">
      <c r="A12" s="24">
        <v>44965</v>
      </c>
      <c r="B12" s="45"/>
      <c r="C12" s="31">
        <v>27687.52</v>
      </c>
      <c r="D12" s="25">
        <f t="shared" si="0"/>
        <v>13.590000000000146</v>
      </c>
      <c r="E12" s="31">
        <v>3517338</v>
      </c>
      <c r="F12" s="25">
        <f t="shared" si="2"/>
        <v>1701</v>
      </c>
      <c r="G12" s="31">
        <v>695207</v>
      </c>
      <c r="H12" s="25">
        <f t="shared" si="1"/>
        <v>430</v>
      </c>
      <c r="I12" s="12">
        <v>263</v>
      </c>
      <c r="J12" s="12">
        <v>543</v>
      </c>
    </row>
    <row r="13" spans="1:10" ht="45" customHeight="1" x14ac:dyDescent="0.2">
      <c r="A13" s="24">
        <v>44966</v>
      </c>
      <c r="B13" s="45"/>
      <c r="C13" s="31">
        <v>27701.500000000004</v>
      </c>
      <c r="D13" s="25">
        <f t="shared" si="0"/>
        <v>13.980000000003201</v>
      </c>
      <c r="E13" s="31">
        <v>3519100</v>
      </c>
      <c r="F13" s="25">
        <f>IF((E13-E12&lt;0), "0",E13-E12)</f>
        <v>1762</v>
      </c>
      <c r="G13" s="31">
        <v>695668</v>
      </c>
      <c r="H13" s="25">
        <f t="shared" si="1"/>
        <v>461</v>
      </c>
      <c r="I13" s="12">
        <v>252</v>
      </c>
      <c r="J13" s="12">
        <v>494</v>
      </c>
    </row>
    <row r="14" spans="1:10" ht="45" customHeight="1" x14ac:dyDescent="0.2">
      <c r="A14" s="24">
        <v>44967</v>
      </c>
      <c r="B14" s="45"/>
      <c r="C14" s="31">
        <v>27715.819999999996</v>
      </c>
      <c r="D14" s="25">
        <f t="shared" si="0"/>
        <v>14.319999999992433</v>
      </c>
      <c r="E14" s="31">
        <v>3520832</v>
      </c>
      <c r="F14" s="25">
        <f>IF((E14-E13&lt;0), "0",E14-E13)</f>
        <v>1732</v>
      </c>
      <c r="G14" s="31">
        <v>696127</v>
      </c>
      <c r="H14" s="25">
        <f t="shared" si="1"/>
        <v>459</v>
      </c>
      <c r="I14" s="12">
        <v>251</v>
      </c>
      <c r="J14" s="12">
        <v>425</v>
      </c>
    </row>
    <row r="15" spans="1:10" ht="45" customHeight="1" x14ac:dyDescent="0.2">
      <c r="A15" s="24">
        <v>44968</v>
      </c>
      <c r="B15" s="45"/>
      <c r="C15" s="31">
        <v>27730.39</v>
      </c>
      <c r="D15" s="25">
        <f t="shared" si="0"/>
        <v>14.570000000003347</v>
      </c>
      <c r="E15" s="31">
        <v>3522695</v>
      </c>
      <c r="F15" s="25">
        <f>IF((E15-E14&lt;0), "0",E15-E14)</f>
        <v>1863</v>
      </c>
      <c r="G15" s="31">
        <v>696560</v>
      </c>
      <c r="H15" s="25">
        <f t="shared" si="1"/>
        <v>433</v>
      </c>
      <c r="I15" s="12">
        <v>260</v>
      </c>
      <c r="J15" s="12">
        <v>497</v>
      </c>
    </row>
    <row r="16" spans="1:10" ht="45" customHeight="1" x14ac:dyDescent="0.2">
      <c r="A16" s="24">
        <v>44969</v>
      </c>
      <c r="B16" s="45"/>
      <c r="C16" s="31">
        <v>27745.420000000002</v>
      </c>
      <c r="D16" s="25">
        <f t="shared" si="0"/>
        <v>15.030000000002474</v>
      </c>
      <c r="E16" s="31">
        <v>3524492</v>
      </c>
      <c r="F16" s="25">
        <f>IF((E16-E15&lt;0), "0",E16-E15)</f>
        <v>1797</v>
      </c>
      <c r="G16" s="31">
        <v>697013</v>
      </c>
      <c r="H16" s="25">
        <f t="shared" si="1"/>
        <v>453</v>
      </c>
      <c r="I16" s="12">
        <v>206</v>
      </c>
      <c r="J16" s="12">
        <v>464</v>
      </c>
    </row>
    <row r="17" spans="1:15" ht="45" customHeight="1" x14ac:dyDescent="0.2">
      <c r="A17" s="24">
        <v>44970</v>
      </c>
      <c r="B17" s="45"/>
      <c r="C17" s="31">
        <v>27759.07</v>
      </c>
      <c r="D17" s="25">
        <f t="shared" si="0"/>
        <v>13.649999999997817</v>
      </c>
      <c r="E17" s="31">
        <v>3526059</v>
      </c>
      <c r="F17" s="25">
        <f t="shared" si="2"/>
        <v>1567</v>
      </c>
      <c r="G17" s="31">
        <v>697370</v>
      </c>
      <c r="H17" s="25">
        <f t="shared" si="1"/>
        <v>357</v>
      </c>
      <c r="I17" s="12">
        <v>235</v>
      </c>
      <c r="J17" s="12">
        <v>402</v>
      </c>
    </row>
    <row r="18" spans="1:15" ht="45" customHeight="1" x14ac:dyDescent="0.2">
      <c r="A18" s="24">
        <v>44971</v>
      </c>
      <c r="B18" s="45"/>
      <c r="C18" s="31">
        <v>27773.62</v>
      </c>
      <c r="D18" s="25">
        <f t="shared" si="0"/>
        <v>14.549999999999272</v>
      </c>
      <c r="E18" s="31">
        <v>3527777</v>
      </c>
      <c r="F18" s="25">
        <f>IF((E18-E17&lt;0), "0",E18-E17)</f>
        <v>1718</v>
      </c>
      <c r="G18" s="31">
        <v>697727</v>
      </c>
      <c r="H18" s="25">
        <f t="shared" si="1"/>
        <v>357</v>
      </c>
      <c r="I18" s="12">
        <v>248</v>
      </c>
      <c r="J18" s="12">
        <v>504</v>
      </c>
    </row>
    <row r="19" spans="1:15" ht="45" customHeight="1" x14ac:dyDescent="0.2">
      <c r="A19" s="24">
        <v>44972</v>
      </c>
      <c r="B19" s="45"/>
      <c r="C19" s="31">
        <v>27788.250000000004</v>
      </c>
      <c r="D19" s="25">
        <f t="shared" si="0"/>
        <v>14.630000000004657</v>
      </c>
      <c r="E19" s="31">
        <v>3529539</v>
      </c>
      <c r="F19" s="25">
        <f t="shared" si="2"/>
        <v>1762</v>
      </c>
      <c r="G19" s="31">
        <v>698099</v>
      </c>
      <c r="H19" s="25">
        <f t="shared" si="1"/>
        <v>372</v>
      </c>
      <c r="I19" s="12">
        <v>260</v>
      </c>
      <c r="J19" s="12">
        <v>470</v>
      </c>
    </row>
    <row r="20" spans="1:15" ht="45" customHeight="1" x14ac:dyDescent="0.2">
      <c r="A20" s="24">
        <v>44973</v>
      </c>
      <c r="B20" s="45"/>
      <c r="C20" s="31">
        <v>27802.79</v>
      </c>
      <c r="D20" s="25">
        <f t="shared" si="0"/>
        <v>14.539999999997235</v>
      </c>
      <c r="E20" s="31">
        <v>3531351</v>
      </c>
      <c r="F20" s="25">
        <f t="shared" si="2"/>
        <v>1812</v>
      </c>
      <c r="G20" s="31">
        <v>698473</v>
      </c>
      <c r="H20" s="25">
        <f t="shared" si="1"/>
        <v>374</v>
      </c>
      <c r="I20" s="12">
        <v>252</v>
      </c>
      <c r="J20" s="12">
        <v>481</v>
      </c>
    </row>
    <row r="21" spans="1:15" ht="45" customHeight="1" x14ac:dyDescent="0.2">
      <c r="A21" s="24">
        <v>44974</v>
      </c>
      <c r="B21" s="45"/>
      <c r="C21" s="31">
        <v>27817.87</v>
      </c>
      <c r="D21" s="25">
        <f t="shared" si="0"/>
        <v>15.079999999998108</v>
      </c>
      <c r="E21" s="31">
        <v>3533178</v>
      </c>
      <c r="F21" s="25">
        <f t="shared" si="2"/>
        <v>1827</v>
      </c>
      <c r="G21" s="31">
        <v>698858</v>
      </c>
      <c r="H21" s="25">
        <f t="shared" si="1"/>
        <v>385</v>
      </c>
      <c r="I21" s="12">
        <v>246</v>
      </c>
      <c r="J21" s="12">
        <v>466</v>
      </c>
    </row>
    <row r="22" spans="1:15" ht="45" customHeight="1" x14ac:dyDescent="0.2">
      <c r="A22" s="24">
        <v>44975</v>
      </c>
      <c r="B22" s="45"/>
      <c r="C22" s="31">
        <v>27832.27</v>
      </c>
      <c r="D22" s="25">
        <f t="shared" si="0"/>
        <v>14.400000000001455</v>
      </c>
      <c r="E22" s="31">
        <v>3535006</v>
      </c>
      <c r="F22" s="25">
        <f t="shared" si="2"/>
        <v>1828</v>
      </c>
      <c r="G22" s="31">
        <v>699228</v>
      </c>
      <c r="H22" s="25">
        <f t="shared" si="1"/>
        <v>370</v>
      </c>
      <c r="I22" s="12">
        <v>264</v>
      </c>
      <c r="J22" s="12">
        <v>432</v>
      </c>
    </row>
    <row r="23" spans="1:15" ht="45" customHeight="1" x14ac:dyDescent="0.2">
      <c r="A23" s="24">
        <v>44976</v>
      </c>
      <c r="B23" s="45"/>
      <c r="C23" s="31">
        <v>27846.370000000003</v>
      </c>
      <c r="D23" s="25">
        <f>IF((C23-C22&lt;0), "0",C23-C22)</f>
        <v>14.100000000002183</v>
      </c>
      <c r="E23" s="31">
        <v>3536670</v>
      </c>
      <c r="F23" s="25">
        <f t="shared" si="2"/>
        <v>1664</v>
      </c>
      <c r="G23" s="31">
        <v>699602</v>
      </c>
      <c r="H23" s="25">
        <f t="shared" si="1"/>
        <v>374</v>
      </c>
      <c r="I23" s="12">
        <v>195</v>
      </c>
      <c r="J23" s="12">
        <v>444</v>
      </c>
    </row>
    <row r="24" spans="1:15" ht="45" customHeight="1" x14ac:dyDescent="0.2">
      <c r="A24" s="24">
        <v>44977</v>
      </c>
      <c r="B24" s="45"/>
      <c r="C24" s="31">
        <v>27859.17</v>
      </c>
      <c r="D24" s="25">
        <f t="shared" ref="D24:D32" si="3">IF((C24-C23&lt;0), "0",C24-C23)</f>
        <v>12.799999999995634</v>
      </c>
      <c r="E24" s="31">
        <v>3538332</v>
      </c>
      <c r="F24" s="25">
        <f t="shared" si="2"/>
        <v>1662</v>
      </c>
      <c r="G24" s="31">
        <v>699989</v>
      </c>
      <c r="H24" s="25">
        <f t="shared" si="1"/>
        <v>387</v>
      </c>
      <c r="I24" s="12">
        <v>217</v>
      </c>
      <c r="J24" s="12">
        <v>402</v>
      </c>
    </row>
    <row r="25" spans="1:15" ht="45" customHeight="1" x14ac:dyDescent="0.2">
      <c r="A25" s="24">
        <v>44978</v>
      </c>
      <c r="B25" s="45"/>
      <c r="C25" s="31">
        <v>27872.149999999998</v>
      </c>
      <c r="D25" s="25">
        <f t="shared" si="3"/>
        <v>12.979999999999563</v>
      </c>
      <c r="E25" s="31">
        <v>3539988</v>
      </c>
      <c r="F25" s="25">
        <f t="shared" si="2"/>
        <v>1656</v>
      </c>
      <c r="G25" s="31">
        <v>700317</v>
      </c>
      <c r="H25" s="25">
        <f t="shared" si="1"/>
        <v>328</v>
      </c>
      <c r="I25" s="12">
        <v>251</v>
      </c>
      <c r="J25" s="12">
        <v>547</v>
      </c>
    </row>
    <row r="26" spans="1:15" ht="45" customHeight="1" x14ac:dyDescent="0.2">
      <c r="A26" s="24">
        <v>44979</v>
      </c>
      <c r="B26" s="45"/>
      <c r="C26" s="31">
        <v>27885.829999999998</v>
      </c>
      <c r="D26" s="25">
        <f t="shared" si="3"/>
        <v>13.680000000000291</v>
      </c>
      <c r="E26" s="31">
        <v>3541706</v>
      </c>
      <c r="F26" s="25">
        <f t="shared" si="2"/>
        <v>1718</v>
      </c>
      <c r="G26" s="31">
        <v>700661</v>
      </c>
      <c r="H26" s="25">
        <f t="shared" si="1"/>
        <v>344</v>
      </c>
      <c r="I26" s="12">
        <v>265</v>
      </c>
      <c r="J26" s="12">
        <v>530</v>
      </c>
    </row>
    <row r="27" spans="1:15" ht="45" customHeight="1" x14ac:dyDescent="0.2">
      <c r="A27" s="24">
        <v>44980</v>
      </c>
      <c r="B27" s="45"/>
      <c r="C27" s="31">
        <v>27899.86</v>
      </c>
      <c r="D27" s="25">
        <f t="shared" si="3"/>
        <v>14.030000000002474</v>
      </c>
      <c r="E27" s="31">
        <v>3543549</v>
      </c>
      <c r="F27" s="25">
        <f t="shared" si="2"/>
        <v>1843</v>
      </c>
      <c r="G27" s="31">
        <v>701058</v>
      </c>
      <c r="H27" s="25">
        <f t="shared" si="1"/>
        <v>397</v>
      </c>
      <c r="I27" s="12">
        <v>263</v>
      </c>
      <c r="J27" s="12">
        <v>426</v>
      </c>
    </row>
    <row r="28" spans="1:15" ht="45" customHeight="1" x14ac:dyDescent="0.2">
      <c r="A28" s="24">
        <v>44981</v>
      </c>
      <c r="B28" s="45"/>
      <c r="C28" s="31">
        <v>27914.61</v>
      </c>
      <c r="D28" s="25">
        <f t="shared" si="3"/>
        <v>14.75</v>
      </c>
      <c r="E28" s="31">
        <v>3545381</v>
      </c>
      <c r="F28" s="25">
        <f t="shared" si="2"/>
        <v>1832</v>
      </c>
      <c r="G28" s="31">
        <v>701453</v>
      </c>
      <c r="H28" s="25">
        <f t="shared" si="1"/>
        <v>395</v>
      </c>
      <c r="I28" s="12">
        <v>237</v>
      </c>
      <c r="J28" s="12">
        <v>469</v>
      </c>
    </row>
    <row r="29" spans="1:15" ht="45" customHeight="1" x14ac:dyDescent="0.2">
      <c r="A29" s="24">
        <v>44982</v>
      </c>
      <c r="B29" s="45"/>
      <c r="C29" s="31">
        <v>27928.82</v>
      </c>
      <c r="D29" s="25">
        <f t="shared" si="3"/>
        <v>14.209999999999127</v>
      </c>
      <c r="E29" s="31">
        <v>3547180</v>
      </c>
      <c r="F29" s="25">
        <f t="shared" si="2"/>
        <v>1799</v>
      </c>
      <c r="G29" s="31">
        <v>701855</v>
      </c>
      <c r="H29" s="25">
        <f>IF((G29-G28&lt;0), "0",G29-G28)</f>
        <v>402</v>
      </c>
      <c r="I29" s="12">
        <v>235</v>
      </c>
      <c r="J29" s="12">
        <v>342</v>
      </c>
    </row>
    <row r="30" spans="1:15" ht="45" customHeight="1" x14ac:dyDescent="0.2">
      <c r="A30" s="24">
        <v>44983</v>
      </c>
      <c r="B30" s="45"/>
      <c r="C30" s="31">
        <v>27943.110000000004</v>
      </c>
      <c r="D30" s="25">
        <f t="shared" si="3"/>
        <v>14.290000000004511</v>
      </c>
      <c r="E30" s="31">
        <v>3549055</v>
      </c>
      <c r="F30" s="25">
        <f t="shared" si="2"/>
        <v>1875</v>
      </c>
      <c r="G30" s="31">
        <v>702253</v>
      </c>
      <c r="H30" s="25">
        <f>IF((G30-G29&lt;0), "0",G30-G29)</f>
        <v>398</v>
      </c>
      <c r="I30" s="12">
        <v>228</v>
      </c>
      <c r="J30" s="12">
        <v>360</v>
      </c>
      <c r="O30" s="32"/>
    </row>
    <row r="31" spans="1:15" ht="45" customHeight="1" x14ac:dyDescent="0.2">
      <c r="A31" s="24">
        <v>44984</v>
      </c>
      <c r="B31" s="45"/>
      <c r="C31" s="31">
        <v>27953.979999999996</v>
      </c>
      <c r="D31" s="25">
        <f t="shared" si="3"/>
        <v>10.869999999991705</v>
      </c>
      <c r="E31" s="31">
        <v>3550935</v>
      </c>
      <c r="F31" s="25">
        <f t="shared" si="2"/>
        <v>1880</v>
      </c>
      <c r="G31" s="31">
        <v>702654</v>
      </c>
      <c r="H31" s="25">
        <f>IF((G31-G30&lt;0), "0",G31-G30)</f>
        <v>401</v>
      </c>
      <c r="I31" s="12">
        <v>234</v>
      </c>
      <c r="J31" s="12">
        <v>499</v>
      </c>
    </row>
    <row r="32" spans="1:15" ht="45" customHeight="1" x14ac:dyDescent="0.2">
      <c r="A32" s="24">
        <v>44985</v>
      </c>
      <c r="B32" s="45"/>
      <c r="C32" s="31">
        <v>28135.139999999996</v>
      </c>
      <c r="D32" s="25">
        <f t="shared" si="3"/>
        <v>181.15999999999985</v>
      </c>
      <c r="E32" s="31">
        <v>3552722</v>
      </c>
      <c r="F32" s="25">
        <f t="shared" si="2"/>
        <v>1787</v>
      </c>
      <c r="G32" s="31">
        <v>703106</v>
      </c>
      <c r="H32" s="25">
        <f>IF((G32-G31&lt;0), "0",G32-G31)</f>
        <v>452</v>
      </c>
      <c r="I32" s="12">
        <v>251</v>
      </c>
      <c r="J32" s="12">
        <v>539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2023-03-24T04:17:33Z</dcterms:modified>
</cp:coreProperties>
</file>