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<sst xmlns="http://schemas.openxmlformats.org/spreadsheetml/2006/main" count="106" uniqueCount="33">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</sst>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2020</v>
      </c>
      <c r="E2" s="20">
        <f>Submetering!E2</f>
        <v>6939</v>
      </c>
      <c r="F2" s="16">
        <v>0.12</v>
      </c>
      <c r="G2" s="20">
        <f>Submetering!F2+Submetering!G2</f>
        <v>228.60427892747663</v>
      </c>
      <c r="H2" s="16">
        <v>0.71</v>
      </c>
      <c r="I2" s="20">
        <f>Submetering!J2+Submetering!I2+Submetering!H2</f>
        <v>52.056244345669995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2020</v>
      </c>
      <c r="E3" s="20">
        <f>Submetering!E3</f>
        <v>7323.75</v>
      </c>
      <c r="F3" s="16">
        <v>0.12</v>
      </c>
      <c r="G3" s="20">
        <f>Submetering!F3+Submetering!G3</f>
        <v>158.62015834841122</v>
      </c>
      <c r="H3" s="16">
        <v>0.71</v>
      </c>
      <c r="I3" s="20">
        <f>Submetering!J3+Submetering!I3+Submetering!H3</f>
        <v>65.488721541699988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2020</v>
      </c>
      <c r="E4" s="20">
        <f>Submetering!E4</f>
        <v>6392.25</v>
      </c>
      <c r="F4" s="16">
        <v>0.12</v>
      </c>
      <c r="G4" s="20">
        <f>Submetering!F4+Submetering!G4</f>
        <v>125.26740445831776</v>
      </c>
      <c r="H4" s="16">
        <v>0.71</v>
      </c>
      <c r="I4" s="20">
        <f>Submetering!J4+Submetering!I4+Submetering!H4</f>
        <v>34.897574952994006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2020</v>
      </c>
      <c r="E5" s="20">
        <f>Submetering!E5</f>
        <v>5877</v>
      </c>
      <c r="F5" s="16">
        <v>0.12</v>
      </c>
      <c r="G5" s="20">
        <f>Submetering!F5+Submetering!G5</f>
        <v>241.84946352009348</v>
      </c>
      <c r="H5" s="16">
        <v>0.71</v>
      </c>
      <c r="I5" s="20">
        <f>Submetering!J5+Submetering!I5+Submetering!H5</f>
        <v>46.280679856105998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2020</v>
      </c>
      <c r="E6" s="20">
        <f>Submetering!E6</f>
        <v>5746.5</v>
      </c>
      <c r="F6" s="16">
        <v>0.12</v>
      </c>
      <c r="G6" s="20">
        <f>Submetering!F6+Submetering!G6</f>
        <v>170.77612235029906</v>
      </c>
      <c r="H6" s="16">
        <v>0.71</v>
      </c>
      <c r="I6" s="20">
        <f>Submetering!J6+Submetering!I6+Submetering!H6</f>
        <v>33.416182073400002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2020</v>
      </c>
      <c r="E7" s="20">
        <f>Submetering!E7</f>
        <v>5764.5</v>
      </c>
      <c r="F7" s="16">
        <v>0.12</v>
      </c>
      <c r="G7" s="20">
        <f>Submetering!F7+Submetering!G7</f>
        <v>216.16658430633646</v>
      </c>
      <c r="H7" s="16">
        <v>0.71</v>
      </c>
      <c r="I7" s="20">
        <f>Submetering!J7+Submetering!I7+Submetering!H7</f>
        <v>38.630845686965003</v>
      </c>
      <c r="J7" s="16">
        <v>2.3196172978505634</v>
      </c>
      <c r="K7" s="20">
        <f>Submetering!K7</f>
        <v>21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289.94105606843647</v>
      </c>
      <c r="H8" s="16">
        <v>0.71</v>
      </c>
      <c r="I8" s="20">
        <f>Submetering!J8+Submetering!I8+Submetering!H8</f>
        <v>31.858768148734999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2020</v>
      </c>
      <c r="E9" s="20">
        <f>Submetering!E9</f>
        <v>5708.25</v>
      </c>
      <c r="F9" s="16">
        <v>0.12</v>
      </c>
      <c r="G9" s="20">
        <f>Submetering!F9+Submetering!G9</f>
        <v>250.56697858084112</v>
      </c>
      <c r="H9" s="16">
        <v>0.71</v>
      </c>
      <c r="I9" s="20">
        <f>Submetering!J9+Submetering!I9+Submetering!H9</f>
        <v>28.750447472299999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2020</v>
      </c>
      <c r="E10" s="20">
        <f>Submetering!E10</f>
        <v>5751</v>
      </c>
      <c r="F10" s="16">
        <v>0.12</v>
      </c>
      <c r="G10" s="20">
        <f>Submetering!F10+Submetering!G10</f>
        <v>261.94954532383179</v>
      </c>
      <c r="H10" s="16">
        <v>0.71</v>
      </c>
      <c r="I10" s="20">
        <f>Submetering!J10+Submetering!I10+Submetering!H10</f>
        <v>35.9475909067</v>
      </c>
      <c r="J10" s="16">
        <v>2.3196172978505634</v>
      </c>
      <c r="K10" s="20">
        <f>Submetering!K10</f>
        <v>20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2020</v>
      </c>
      <c r="E11" s="20">
        <f>Submetering!E11</f>
        <v>5616</v>
      </c>
      <c r="F11" s="16">
        <v>0.12</v>
      </c>
      <c r="G11" s="20">
        <f>Submetering!F11+Submetering!G11</f>
        <v>251.05624297102807</v>
      </c>
      <c r="H11" s="16">
        <v>0.71</v>
      </c>
      <c r="I11" s="20">
        <f>Submetering!J11+Submetering!I11+Submetering!H11</f>
        <v>31.334736756723998</v>
      </c>
      <c r="J11" s="16">
        <v>2.3196172978505634</v>
      </c>
      <c r="K11" s="20">
        <f>Submetering!K11</f>
        <v>23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2020</v>
      </c>
      <c r="E12" s="20">
        <f>Submetering!E12</f>
        <v>5564.25</v>
      </c>
      <c r="F12" s="16">
        <v>0.12</v>
      </c>
      <c r="G12" s="20">
        <f>Submetering!F12+Submetering!G12</f>
        <v>226.18348076606546</v>
      </c>
      <c r="H12" s="16">
        <v>0.71</v>
      </c>
      <c r="I12" s="20">
        <f>Submetering!J12+Submetering!I12+Submetering!H12</f>
        <v>37.384202819875995</v>
      </c>
      <c r="J12" s="16">
        <v>2.3196172978505634</v>
      </c>
      <c r="K12" s="20">
        <f>Submetering!K12</f>
        <v>19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2020</v>
      </c>
      <c r="E13" s="20">
        <f>Submetering!E13</f>
        <v>5697</v>
      </c>
      <c r="F13" s="16">
        <v>0.12</v>
      </c>
      <c r="G13" s="20">
        <f>Submetering!F13+Submetering!G13</f>
        <v>174.63005975461684</v>
      </c>
      <c r="H13" s="16">
        <v>0.71</v>
      </c>
      <c r="I13" s="20">
        <f>Submetering!J13+Submetering!I13+Submetering!H13</f>
        <v>27.912971326200001</v>
      </c>
      <c r="J13" s="16">
        <v>2.3196172978505634</v>
      </c>
      <c r="K13" s="20">
        <f>Submetering!K13</f>
        <v>13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2020</v>
      </c>
      <c r="E14" s="20">
        <f>Submetering!E14</f>
        <v>5667.75</v>
      </c>
      <c r="F14" s="16">
        <v>0.12</v>
      </c>
      <c r="G14" s="20">
        <f>Submetering!F14+Submetering!G14</f>
        <v>172.1902778436729</v>
      </c>
      <c r="H14" s="16">
        <v>0.71</v>
      </c>
      <c r="I14" s="20">
        <f>Submetering!J14+Submetering!I14+Submetering!H14</f>
        <v>30.658999999999999</v>
      </c>
      <c r="J14" s="16">
        <v>2.3196172978505634</v>
      </c>
      <c r="K14" s="20">
        <f>Submetering!K14</f>
        <v>11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2020</v>
      </c>
      <c r="E15" s="20">
        <f>Submetering!E15</f>
        <v>5519.25</v>
      </c>
      <c r="F15" s="16">
        <v>0.12</v>
      </c>
      <c r="G15" s="20">
        <f>Submetering!F15+Submetering!G15</f>
        <v>154.22886175560748</v>
      </c>
      <c r="H15" s="16">
        <v>0.71</v>
      </c>
      <c r="I15" s="20">
        <f>Submetering!J14+Submetering!I15+Submetering!H15</f>
        <v>30.392952808989001</v>
      </c>
      <c r="J15" s="16">
        <v>2.3196172978505634</v>
      </c>
      <c r="K15" s="20">
        <f>Submetering!K15</f>
        <v>17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2020</v>
      </c>
      <c r="E16" s="20">
        <f>Submetering!E16</f>
        <v>5442.75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17</v>
      </c>
      <c r="J16" s="16">
        <v>2.3196172978505634</v>
      </c>
      <c r="K16" s="20">
        <f>Submetering!K16</f>
        <v>11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5" sqref="K15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11</v>
      </c>
      <c r="D2" s="6">
        <v>2020</v>
      </c>
      <c r="E2" s="20">
        <v>6939</v>
      </c>
      <c r="F2" s="20">
        <v>211.82501545420561</v>
      </c>
      <c r="G2" s="20">
        <v>16.77926347327103</v>
      </c>
      <c r="H2" s="20">
        <v>1.0665379858699999</v>
      </c>
      <c r="I2" s="20">
        <v>28</v>
      </c>
      <c r="J2" s="20">
        <v>22.9897063598</v>
      </c>
      <c r="K2" s="20">
        <v>25</v>
      </c>
    </row>
    <row r="3" spans="1:12" x14ac:dyDescent="0.25">
      <c r="A3" s="9" t="s">
        <v>32</v>
      </c>
      <c r="B3" s="6">
        <f>B2+1</f>
        <v>2</v>
      </c>
      <c r="C3" s="6">
        <f>C2</f>
        <v>11</v>
      </c>
      <c r="D3" s="6">
        <v>2020</v>
      </c>
      <c r="E3" s="20">
        <v>7323.75</v>
      </c>
      <c r="F3" s="20">
        <v>142.33066969906542</v>
      </c>
      <c r="G3" s="20">
        <v>16.289488649345795</v>
      </c>
      <c r="H3" s="20">
        <v>3.9329999999999998</v>
      </c>
      <c r="I3" s="6">
        <v>33</v>
      </c>
      <c r="J3" s="20">
        <v>28.555721541699999</v>
      </c>
      <c r="K3" s="20">
        <v>24</v>
      </c>
    </row>
    <row r="4" spans="1:12" x14ac:dyDescent="0.25">
      <c r="A4" s="9" t="s">
        <v>32</v>
      </c>
      <c r="B4" s="6">
        <f t="shared" ref="B4:B31" si="0">B3+1</f>
        <v>3</v>
      </c>
      <c r="C4" s="6">
        <f t="shared" ref="C4:C31" si="1">C3</f>
        <v>11</v>
      </c>
      <c r="D4" s="6">
        <v>2020</v>
      </c>
      <c r="E4" s="20">
        <v>6392.25</v>
      </c>
      <c r="F4" s="20">
        <v>109.8512247046729</v>
      </c>
      <c r="G4" s="20">
        <v>15.41617975364486</v>
      </c>
      <c r="H4" s="20">
        <v>0.446983236994</v>
      </c>
      <c r="I4" s="6">
        <v>13</v>
      </c>
      <c r="J4" s="20">
        <v>21.450591716000002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11</v>
      </c>
      <c r="D5" s="6">
        <v>2020</v>
      </c>
      <c r="E5" s="20">
        <v>5877</v>
      </c>
      <c r="F5" s="20">
        <v>227.67260504766358</v>
      </c>
      <c r="G5" s="20">
        <v>14.176858472429908</v>
      </c>
      <c r="H5" s="20">
        <v>0.29001676300599999</v>
      </c>
      <c r="I5" s="6">
        <v>20</v>
      </c>
      <c r="J5" s="20">
        <v>25.9906630931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11</v>
      </c>
      <c r="D6" s="6">
        <v>2020</v>
      </c>
      <c r="E6" s="20">
        <v>5746.5</v>
      </c>
      <c r="F6" s="20">
        <v>164.66982595233645</v>
      </c>
      <c r="G6" s="20">
        <v>6.106296397962617</v>
      </c>
      <c r="H6" s="20">
        <v>0.375</v>
      </c>
      <c r="I6" s="20">
        <v>13</v>
      </c>
      <c r="J6" s="20">
        <v>20.041182073400002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11</v>
      </c>
      <c r="D7" s="6">
        <v>2020</v>
      </c>
      <c r="E7" s="20">
        <v>5764.5</v>
      </c>
      <c r="F7" s="20">
        <v>209.53979905607477</v>
      </c>
      <c r="G7" s="20">
        <v>6.6267852502616824</v>
      </c>
      <c r="H7" s="20">
        <v>0.25295422116499999</v>
      </c>
      <c r="I7" s="20">
        <v>12.4137931034</v>
      </c>
      <c r="J7" s="20">
        <v>25.964098362400001</v>
      </c>
      <c r="K7" s="20">
        <v>21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11</v>
      </c>
      <c r="D8" s="6">
        <v>2020</v>
      </c>
      <c r="E8" s="20">
        <v>5595.75</v>
      </c>
      <c r="F8" s="20">
        <v>289.3081725504673</v>
      </c>
      <c r="G8" s="20">
        <v>0.63288351796915887</v>
      </c>
      <c r="H8" s="20">
        <v>0.26204577883500002</v>
      </c>
      <c r="I8" s="20">
        <v>12.5862068966</v>
      </c>
      <c r="J8" s="20">
        <v>19.0105154733</v>
      </c>
      <c r="K8" s="20">
        <v>18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11</v>
      </c>
      <c r="D9" s="6">
        <v>2020</v>
      </c>
      <c r="E9" s="20">
        <v>5708.25</v>
      </c>
      <c r="F9" s="20">
        <v>247.19443816168226</v>
      </c>
      <c r="G9" s="20">
        <v>3.372540419158879</v>
      </c>
      <c r="H9" s="20">
        <v>0.30399999999999999</v>
      </c>
      <c r="I9" s="6">
        <v>9</v>
      </c>
      <c r="J9" s="20">
        <v>19.446447472300001</v>
      </c>
      <c r="K9" s="20">
        <v>16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11</v>
      </c>
      <c r="D10" s="6">
        <v>2020</v>
      </c>
      <c r="E10" s="20">
        <v>5751</v>
      </c>
      <c r="F10" s="20">
        <v>261.2884408831776</v>
      </c>
      <c r="G10" s="20">
        <v>0.66110444065420571</v>
      </c>
      <c r="H10" s="20">
        <v>0.39300000000000002</v>
      </c>
      <c r="I10" s="6">
        <v>13</v>
      </c>
      <c r="J10" s="20">
        <v>22.5545909067</v>
      </c>
      <c r="K10" s="20">
        <v>20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11</v>
      </c>
      <c r="D11" s="6">
        <v>2020</v>
      </c>
      <c r="E11" s="20">
        <v>5616</v>
      </c>
      <c r="F11" s="20">
        <v>251.05624297102807</v>
      </c>
      <c r="G11" s="20">
        <v>0</v>
      </c>
      <c r="H11" s="20">
        <v>0.32996702002400002</v>
      </c>
      <c r="I11" s="6">
        <v>11</v>
      </c>
      <c r="J11" s="20">
        <v>20.004769736699998</v>
      </c>
      <c r="K11" s="20">
        <v>23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11</v>
      </c>
      <c r="D12" s="6">
        <v>2020</v>
      </c>
      <c r="E12" s="20">
        <v>5564.25</v>
      </c>
      <c r="F12" s="20">
        <v>218.68284314485985</v>
      </c>
      <c r="G12" s="20">
        <v>7.5006376212056081</v>
      </c>
      <c r="H12" s="20">
        <v>0.39903297997600001</v>
      </c>
      <c r="I12" s="20">
        <v>16</v>
      </c>
      <c r="J12" s="20">
        <v>20.985169839899999</v>
      </c>
      <c r="K12" s="20">
        <v>19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11</v>
      </c>
      <c r="D13" s="6">
        <v>2020</v>
      </c>
      <c r="E13" s="20">
        <v>5697</v>
      </c>
      <c r="F13" s="20">
        <v>170.53814754392525</v>
      </c>
      <c r="G13" s="20">
        <v>4.0919122106915893</v>
      </c>
      <c r="H13" s="20">
        <v>0.36099999999999999</v>
      </c>
      <c r="I13" s="20">
        <v>10</v>
      </c>
      <c r="J13" s="20">
        <v>17.5519713262</v>
      </c>
      <c r="K13" s="20">
        <v>13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11</v>
      </c>
      <c r="D14" s="6">
        <v>2020</v>
      </c>
      <c r="E14" s="20">
        <v>5667.75</v>
      </c>
      <c r="F14" s="20">
        <v>170.35048315700936</v>
      </c>
      <c r="G14" s="32">
        <v>1.8397946866635515</v>
      </c>
      <c r="H14" s="20">
        <v>0.65900000000000003</v>
      </c>
      <c r="I14" s="20">
        <v>10</v>
      </c>
      <c r="J14" s="20">
        <v>20</v>
      </c>
      <c r="K14" s="20">
        <v>11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11</v>
      </c>
      <c r="D15" s="6">
        <v>2020</v>
      </c>
      <c r="E15" s="20">
        <v>5519.25</v>
      </c>
      <c r="F15" s="20">
        <v>153.45230393364486</v>
      </c>
      <c r="G15" s="32">
        <v>0.77655782196261691</v>
      </c>
      <c r="H15" s="20">
        <v>0.39295280898899998</v>
      </c>
      <c r="I15" s="20">
        <v>10</v>
      </c>
      <c r="J15" s="20">
        <v>17</v>
      </c>
      <c r="K15" s="20">
        <v>17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11</v>
      </c>
      <c r="D16" s="6">
        <v>2020</v>
      </c>
      <c r="E16" s="20">
        <v>5442.75</v>
      </c>
      <c r="G16" s="32"/>
      <c r="K16" s="20">
        <v>11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11</v>
      </c>
      <c r="D17" s="6">
        <v>2020</v>
      </c>
      <c r="G17" s="32"/>
      <c r="K17" s="20"/>
    </row>
    <row r="18" spans="1:11" x14ac:dyDescent="0.25">
      <c r="A18" s="9" t="s">
        <v>32</v>
      </c>
      <c r="B18" s="6">
        <f t="shared" si="0"/>
        <v>17</v>
      </c>
      <c r="C18" s="6">
        <f t="shared" si="1"/>
        <v>11</v>
      </c>
      <c r="D18" s="6">
        <v>2020</v>
      </c>
      <c r="G18" s="32"/>
      <c r="K18" s="20"/>
    </row>
    <row r="19" spans="1:11" x14ac:dyDescent="0.25">
      <c r="A19" s="9" t="s">
        <v>32</v>
      </c>
      <c r="B19" s="6">
        <f t="shared" si="0"/>
        <v>18</v>
      </c>
      <c r="C19" s="6">
        <f t="shared" si="1"/>
        <v>11</v>
      </c>
      <c r="D19" s="6">
        <v>2020</v>
      </c>
      <c r="G19" s="32"/>
      <c r="K19" s="20"/>
    </row>
    <row r="20" spans="1:11" x14ac:dyDescent="0.25">
      <c r="A20" s="9" t="s">
        <v>32</v>
      </c>
      <c r="B20" s="6">
        <f t="shared" si="0"/>
        <v>19</v>
      </c>
      <c r="C20" s="6">
        <f t="shared" si="1"/>
        <v>11</v>
      </c>
      <c r="D20" s="6">
        <v>2020</v>
      </c>
      <c r="G20" s="32"/>
      <c r="K20" s="20"/>
    </row>
    <row r="21" spans="1:11" x14ac:dyDescent="0.25">
      <c r="A21" s="9" t="s">
        <v>32</v>
      </c>
      <c r="B21" s="6">
        <f t="shared" si="0"/>
        <v>20</v>
      </c>
      <c r="C21" s="6">
        <f t="shared" si="1"/>
        <v>11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11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11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11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11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11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11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11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11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11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11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F32" s="32"/>
      <c r="G32" s="32"/>
      <c r="H32" s="32"/>
      <c r="I32" s="32"/>
      <c r="J32" s="32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2020-11-16T07:33:44Z</dcterms:modified>
</cp:coreProperties>
</file>