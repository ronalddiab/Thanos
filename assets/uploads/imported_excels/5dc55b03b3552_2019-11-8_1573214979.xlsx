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8" activeTab="16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7" i="12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6"/>
  <c r="M7" i="13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6"/>
  <c r="J7"/>
  <c r="J8"/>
  <c r="J9"/>
  <c r="J10"/>
  <c r="F10" s="1"/>
  <c r="J11"/>
  <c r="J12"/>
  <c r="J13"/>
  <c r="J14"/>
  <c r="F14" s="1"/>
  <c r="J15"/>
  <c r="J16"/>
  <c r="J17"/>
  <c r="J18"/>
  <c r="F18" s="1"/>
  <c r="J19"/>
  <c r="J20"/>
  <c r="J21"/>
  <c r="J22"/>
  <c r="F22" s="1"/>
  <c r="J23"/>
  <c r="J24"/>
  <c r="J25"/>
  <c r="J26"/>
  <c r="F26" s="1"/>
  <c r="J27"/>
  <c r="J28"/>
  <c r="J29"/>
  <c r="J30"/>
  <c r="F30" s="1"/>
  <c r="J31"/>
  <c r="J32"/>
  <c r="J33"/>
  <c r="J34"/>
  <c r="F34" s="1"/>
  <c r="J35"/>
  <c r="J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F7"/>
  <c r="F8"/>
  <c r="F9"/>
  <c r="F11"/>
  <c r="F12"/>
  <c r="F13"/>
  <c r="F15"/>
  <c r="F16"/>
  <c r="F17"/>
  <c r="F19"/>
  <c r="F20"/>
  <c r="F21"/>
  <c r="F23"/>
  <c r="F24"/>
  <c r="F25"/>
  <c r="F27"/>
  <c r="F28"/>
  <c r="F29"/>
  <c r="F31"/>
  <c r="F32"/>
  <c r="F33"/>
  <c r="F35"/>
  <c r="F3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C7" i="14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L6" i="11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P3" i="2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2"/>
  <c r="AN7" i="3"/>
  <c r="AN8"/>
  <c r="W4" i="25" s="1"/>
  <c r="AN9" i="3"/>
  <c r="AN10"/>
  <c r="W6" i="25" s="1"/>
  <c r="AN11" i="3"/>
  <c r="AN12"/>
  <c r="AN13"/>
  <c r="AN14"/>
  <c r="W10" i="25" s="1"/>
  <c r="AN15" i="3"/>
  <c r="AN16"/>
  <c r="AN17"/>
  <c r="AN18"/>
  <c r="W14" i="25" s="1"/>
  <c r="AN19" i="3"/>
  <c r="AN20"/>
  <c r="W16" i="25" s="1"/>
  <c r="AN21" i="3"/>
  <c r="AN22"/>
  <c r="W18" i="25" s="1"/>
  <c r="AN23" i="3"/>
  <c r="AN24"/>
  <c r="W20" i="25" s="1"/>
  <c r="AN25" i="3"/>
  <c r="AN26"/>
  <c r="W22" i="25" s="1"/>
  <c r="AN27" i="3"/>
  <c r="AN28"/>
  <c r="W24" i="25" s="1"/>
  <c r="AN29" i="3"/>
  <c r="AN30"/>
  <c r="W26" i="25" s="1"/>
  <c r="AN31" i="3"/>
  <c r="AN32"/>
  <c r="W28" i="25" s="1"/>
  <c r="AN33" i="3"/>
  <c r="AN34"/>
  <c r="W30" i="25" s="1"/>
  <c r="AN35" i="3"/>
  <c r="AN36"/>
  <c r="W32" i="25" s="1"/>
  <c r="AN37" i="3"/>
  <c r="AN6"/>
  <c r="W2" i="25" s="1"/>
  <c r="W3"/>
  <c r="W5"/>
  <c r="W7"/>
  <c r="W8"/>
  <c r="W9"/>
  <c r="W11"/>
  <c r="W12"/>
  <c r="W13"/>
  <c r="W15"/>
  <c r="W17"/>
  <c r="W19"/>
  <c r="W21"/>
  <c r="W23"/>
  <c r="W25"/>
  <c r="W27"/>
  <c r="W29"/>
  <c r="W31"/>
  <c r="E61" i="20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S13" i="18"/>
  <c r="S14"/>
  <c r="S15"/>
  <c r="S16"/>
  <c r="S17"/>
  <c r="S18"/>
  <c r="S19"/>
  <c r="S20"/>
  <c r="S21"/>
  <c r="S22"/>
  <c r="AC27"/>
  <c r="AC28"/>
  <c r="AC29"/>
  <c r="AC30"/>
  <c r="AC31"/>
  <c r="AC32"/>
  <c r="AC33"/>
  <c r="AC34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S4"/>
  <c r="S5"/>
  <c r="S6"/>
  <c r="S7"/>
  <c r="S8"/>
  <c r="S9"/>
  <c r="S10"/>
  <c r="S11"/>
  <c r="S12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O24" s="1"/>
  <c r="P24"/>
  <c r="O25" s="1"/>
  <c r="P25"/>
  <c r="P26"/>
  <c r="O27" s="1"/>
  <c r="P27"/>
  <c r="P28"/>
  <c r="P29"/>
  <c r="P30"/>
  <c r="O31" s="1"/>
  <c r="P31"/>
  <c r="O32" s="1"/>
  <c r="P32"/>
  <c r="O33" s="1"/>
  <c r="P33"/>
  <c r="P34"/>
  <c r="P35"/>
  <c r="P4"/>
  <c r="S23"/>
  <c r="S24"/>
  <c r="S25"/>
  <c r="S26"/>
  <c r="S27"/>
  <c r="S28"/>
  <c r="S29"/>
  <c r="S30"/>
  <c r="S31"/>
  <c r="S32"/>
  <c r="S33"/>
  <c r="S34"/>
  <c r="S35"/>
  <c r="O26"/>
  <c r="O30"/>
  <c r="O34"/>
  <c r="O28"/>
  <c r="O29"/>
  <c r="O35"/>
  <c r="S12" i="1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G54" i="22"/>
  <c r="I54" s="1"/>
  <c r="B54"/>
  <c r="D54" s="1"/>
  <c r="F54" s="1"/>
  <c r="G53"/>
  <c r="I53" s="1"/>
  <c r="D53"/>
  <c r="F53" s="1"/>
  <c r="B53"/>
  <c r="I52"/>
  <c r="K52" s="1"/>
  <c r="G52"/>
  <c r="B52"/>
  <c r="D52" s="1"/>
  <c r="F52" s="1"/>
  <c r="G51"/>
  <c r="I51" s="1"/>
  <c r="B51"/>
  <c r="D51" s="1"/>
  <c r="F51" s="1"/>
  <c r="G50"/>
  <c r="I50" s="1"/>
  <c r="B50"/>
  <c r="D50" s="1"/>
  <c r="F50" s="1"/>
  <c r="G49"/>
  <c r="I49" s="1"/>
  <c r="D49"/>
  <c r="F49" s="1"/>
  <c r="B49"/>
  <c r="I48"/>
  <c r="K48" s="1"/>
  <c r="G48"/>
  <c r="B48"/>
  <c r="D48" s="1"/>
  <c r="F48" s="1"/>
  <c r="G47"/>
  <c r="I47" s="1"/>
  <c r="D47"/>
  <c r="F47" s="1"/>
  <c r="B47"/>
  <c r="I46"/>
  <c r="K46" s="1"/>
  <c r="G46"/>
  <c r="B46"/>
  <c r="D46" s="1"/>
  <c r="G45"/>
  <c r="I45" s="1"/>
  <c r="D45"/>
  <c r="F45" s="1"/>
  <c r="B45"/>
  <c r="I44"/>
  <c r="K44" s="1"/>
  <c r="G44"/>
  <c r="B44"/>
  <c r="D44" s="1"/>
  <c r="F44" s="1"/>
  <c r="G43"/>
  <c r="I43" s="1"/>
  <c r="K43" s="1"/>
  <c r="D43"/>
  <c r="F43" s="1"/>
  <c r="B43"/>
  <c r="I42"/>
  <c r="K42" s="1"/>
  <c r="G42"/>
  <c r="B42"/>
  <c r="D42" s="1"/>
  <c r="G41"/>
  <c r="I41" s="1"/>
  <c r="D41"/>
  <c r="F41" s="1"/>
  <c r="B41"/>
  <c r="I40"/>
  <c r="K40" s="1"/>
  <c r="G40"/>
  <c r="B40"/>
  <c r="D40" s="1"/>
  <c r="F40" s="1"/>
  <c r="G39"/>
  <c r="I39" s="1"/>
  <c r="D39"/>
  <c r="F39" s="1"/>
  <c r="B39"/>
  <c r="I38"/>
  <c r="K38" s="1"/>
  <c r="G38"/>
  <c r="B38"/>
  <c r="D38" s="1"/>
  <c r="G37"/>
  <c r="I37" s="1"/>
  <c r="D37"/>
  <c r="F37" s="1"/>
  <c r="B37"/>
  <c r="I36"/>
  <c r="K36" s="1"/>
  <c r="G36"/>
  <c r="B36"/>
  <c r="D36" s="1"/>
  <c r="F36" s="1"/>
  <c r="G35"/>
  <c r="I35" s="1"/>
  <c r="D35"/>
  <c r="F35" s="1"/>
  <c r="B35"/>
  <c r="I34"/>
  <c r="K34" s="1"/>
  <c r="G34"/>
  <c r="B34"/>
  <c r="D34" s="1"/>
  <c r="G33"/>
  <c r="I33" s="1"/>
  <c r="D33"/>
  <c r="F33" s="1"/>
  <c r="B33"/>
  <c r="I32"/>
  <c r="K32" s="1"/>
  <c r="G32"/>
  <c r="B32"/>
  <c r="D32" s="1"/>
  <c r="F32" s="1"/>
  <c r="G31"/>
  <c r="I31" s="1"/>
  <c r="D31"/>
  <c r="F31" s="1"/>
  <c r="B31"/>
  <c r="I30"/>
  <c r="K30" s="1"/>
  <c r="G30"/>
  <c r="B30"/>
  <c r="D30" s="1"/>
  <c r="G29"/>
  <c r="I29" s="1"/>
  <c r="D29"/>
  <c r="F29" s="1"/>
  <c r="B29"/>
  <c r="I28"/>
  <c r="K28" s="1"/>
  <c r="G28"/>
  <c r="B28"/>
  <c r="D28" s="1"/>
  <c r="F28" s="1"/>
  <c r="G27"/>
  <c r="I27" s="1"/>
  <c r="D27"/>
  <c r="F27" s="1"/>
  <c r="B27"/>
  <c r="I26"/>
  <c r="K26" s="1"/>
  <c r="G26"/>
  <c r="B26"/>
  <c r="D26" s="1"/>
  <c r="G25"/>
  <c r="I25" s="1"/>
  <c r="D25"/>
  <c r="F25" s="1"/>
  <c r="B25"/>
  <c r="I24"/>
  <c r="K24" s="1"/>
  <c r="G24"/>
  <c r="B24"/>
  <c r="D24" s="1"/>
  <c r="F24" s="1"/>
  <c r="G23"/>
  <c r="I23" s="1"/>
  <c r="D23"/>
  <c r="F23" s="1"/>
  <c r="B23"/>
  <c r="I22"/>
  <c r="K22" s="1"/>
  <c r="G22"/>
  <c r="B22"/>
  <c r="D22" s="1"/>
  <c r="G21"/>
  <c r="I21" s="1"/>
  <c r="D21"/>
  <c r="F21" s="1"/>
  <c r="B21"/>
  <c r="I20"/>
  <c r="K20" s="1"/>
  <c r="G20"/>
  <c r="B20"/>
  <c r="D20" s="1"/>
  <c r="F20" s="1"/>
  <c r="I19"/>
  <c r="K19" s="1"/>
  <c r="D19"/>
  <c r="F19" s="1"/>
  <c r="B19"/>
  <c r="G18"/>
  <c r="I18" s="1"/>
  <c r="K18" s="1"/>
  <c r="D18"/>
  <c r="F18" s="1"/>
  <c r="B18"/>
  <c r="G17"/>
  <c r="I17" s="1"/>
  <c r="K17" s="1"/>
  <c r="D17"/>
  <c r="F17" s="1"/>
  <c r="B17"/>
  <c r="G16"/>
  <c r="I16" s="1"/>
  <c r="K16" s="1"/>
  <c r="D16"/>
  <c r="F16" s="1"/>
  <c r="B16"/>
  <c r="G15"/>
  <c r="I15" s="1"/>
  <c r="K15" s="1"/>
  <c r="D15"/>
  <c r="F15" s="1"/>
  <c r="B15"/>
  <c r="G14"/>
  <c r="I14" s="1"/>
  <c r="K14" s="1"/>
  <c r="D14"/>
  <c r="F14" s="1"/>
  <c r="B14"/>
  <c r="G13"/>
  <c r="I13" s="1"/>
  <c r="K13" s="1"/>
  <c r="D13"/>
  <c r="F13" s="1"/>
  <c r="B13"/>
  <c r="G12"/>
  <c r="I12" s="1"/>
  <c r="K12" s="1"/>
  <c r="D12"/>
  <c r="F12" s="1"/>
  <c r="B12"/>
  <c r="G11"/>
  <c r="I11" s="1"/>
  <c r="K11" s="1"/>
  <c r="D11"/>
  <c r="F11" s="1"/>
  <c r="B11"/>
  <c r="G10"/>
  <c r="I10" s="1"/>
  <c r="K10" s="1"/>
  <c r="D10"/>
  <c r="F10" s="1"/>
  <c r="B10"/>
  <c r="G9"/>
  <c r="I9" s="1"/>
  <c r="K9" s="1"/>
  <c r="E9"/>
  <c r="B9"/>
  <c r="D9" s="1"/>
  <c r="I8"/>
  <c r="K8" s="1"/>
  <c r="G8"/>
  <c r="E8"/>
  <c r="D8"/>
  <c r="B8"/>
  <c r="G7"/>
  <c r="I7" s="1"/>
  <c r="K7" s="1"/>
  <c r="B7"/>
  <c r="D7" s="1"/>
  <c r="I6"/>
  <c r="K6" s="1"/>
  <c r="G6"/>
  <c r="D6"/>
  <c r="B6"/>
  <c r="G5"/>
  <c r="I5" s="1"/>
  <c r="K5" s="1"/>
  <c r="B5"/>
  <c r="D5" s="1"/>
  <c r="I4"/>
  <c r="K4" s="1"/>
  <c r="G4"/>
  <c r="D4"/>
  <c r="B4"/>
  <c r="G3"/>
  <c r="I3" s="1"/>
  <c r="K3" s="1"/>
  <c r="D3"/>
  <c r="F9" l="1"/>
  <c r="F8"/>
  <c r="L21"/>
  <c r="K21"/>
  <c r="L25"/>
  <c r="K25"/>
  <c r="L29"/>
  <c r="K29"/>
  <c r="L33"/>
  <c r="K33"/>
  <c r="L37"/>
  <c r="K37"/>
  <c r="L41"/>
  <c r="K41"/>
  <c r="L45"/>
  <c r="K45"/>
  <c r="L49"/>
  <c r="K49"/>
  <c r="K51"/>
  <c r="L51"/>
  <c r="K54"/>
  <c r="L54"/>
  <c r="K23"/>
  <c r="L23"/>
  <c r="K27"/>
  <c r="L27"/>
  <c r="K31"/>
  <c r="L31"/>
  <c r="K35"/>
  <c r="L35"/>
  <c r="K39"/>
  <c r="L39"/>
  <c r="K47"/>
  <c r="L47"/>
  <c r="K50"/>
  <c r="L50"/>
  <c r="L53"/>
  <c r="K53"/>
  <c r="L22"/>
  <c r="F22"/>
  <c r="L26"/>
  <c r="F26"/>
  <c r="L30"/>
  <c r="F30"/>
  <c r="L34"/>
  <c r="F34"/>
  <c r="L38"/>
  <c r="F38"/>
  <c r="L42"/>
  <c r="F42"/>
  <c r="L46"/>
  <c r="F46"/>
  <c r="L48"/>
  <c r="L52"/>
  <c r="L20"/>
  <c r="L24"/>
  <c r="L28"/>
  <c r="L32"/>
  <c r="L36"/>
  <c r="L40"/>
  <c r="L44"/>
  <c r="L43" l="1"/>
  <c r="J11" i="15" l="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N34" i="13"/>
  <c r="N35"/>
  <c r="N36"/>
  <c r="N37"/>
  <c r="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C9" i="1" l="1"/>
  <c r="J57" i="3"/>
  <c r="J58"/>
  <c r="J59"/>
  <c r="J61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J6" i="23" l="1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J27" i="18"/>
  <c r="J31"/>
  <c r="J26"/>
  <c r="J28"/>
  <c r="J29"/>
  <c r="J30"/>
  <c r="J32"/>
  <c r="J33"/>
  <c r="J34"/>
  <c r="J35"/>
  <c r="D36" i="14"/>
  <c r="N36" s="1"/>
  <c r="S42" i="1"/>
  <c r="D37" i="14" s="1"/>
  <c r="S43" i="1"/>
  <c r="S44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6"/>
  <c r="E37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6" s="1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6"/>
  <c r="AI45" i="1"/>
  <c r="E77" i="20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O39" i="10"/>
  <c r="P39" s="1"/>
  <c r="M38"/>
  <c r="M39" s="1"/>
  <c r="B38"/>
  <c r="B39" s="1"/>
  <c r="C39" s="1"/>
  <c r="V36"/>
  <c r="Q36"/>
  <c r="K36"/>
  <c r="P35"/>
  <c r="O35"/>
  <c r="N35"/>
  <c r="M35"/>
  <c r="L35"/>
  <c r="K35"/>
  <c r="J35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I31" s="1"/>
  <c r="Q31" s="1"/>
  <c r="F31"/>
  <c r="C31"/>
  <c r="D31" s="1"/>
  <c r="A31"/>
  <c r="P30"/>
  <c r="O30"/>
  <c r="N30"/>
  <c r="M30"/>
  <c r="L30"/>
  <c r="K30"/>
  <c r="J30"/>
  <c r="H30"/>
  <c r="G30"/>
  <c r="F30"/>
  <c r="C30"/>
  <c r="D30" s="1"/>
  <c r="A30"/>
  <c r="O29"/>
  <c r="N29"/>
  <c r="M29"/>
  <c r="L29"/>
  <c r="K29"/>
  <c r="J29"/>
  <c r="P29" s="1"/>
  <c r="H29"/>
  <c r="G29"/>
  <c r="I29" s="1"/>
  <c r="Q29" s="1"/>
  <c r="F29"/>
  <c r="C29"/>
  <c r="D29" s="1"/>
  <c r="A29"/>
  <c r="O28"/>
  <c r="N28"/>
  <c r="M28"/>
  <c r="L28"/>
  <c r="K28"/>
  <c r="J28"/>
  <c r="P28" s="1"/>
  <c r="H28"/>
  <c r="G28"/>
  <c r="F28"/>
  <c r="D28"/>
  <c r="C28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I24" s="1"/>
  <c r="Q24" s="1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I17" s="1"/>
  <c r="Q17" s="1"/>
  <c r="F17"/>
  <c r="C17"/>
  <c r="D17" s="1"/>
  <c r="A17"/>
  <c r="O16"/>
  <c r="N16"/>
  <c r="M16"/>
  <c r="L16"/>
  <c r="K16"/>
  <c r="J16"/>
  <c r="P16" s="1"/>
  <c r="H16"/>
  <c r="G16"/>
  <c r="I16" s="1"/>
  <c r="Q16" s="1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I13" s="1"/>
  <c r="Q13" s="1"/>
  <c r="F13"/>
  <c r="C13"/>
  <c r="D13" s="1"/>
  <c r="A13"/>
  <c r="O12"/>
  <c r="N12"/>
  <c r="M12"/>
  <c r="L12"/>
  <c r="K12"/>
  <c r="J12"/>
  <c r="P12" s="1"/>
  <c r="H12"/>
  <c r="G12"/>
  <c r="I12" s="1"/>
  <c r="Q12" s="1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I10" s="1"/>
  <c r="Q10" s="1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X6"/>
  <c r="X7" s="1"/>
  <c r="O6"/>
  <c r="N6"/>
  <c r="M6"/>
  <c r="L6"/>
  <c r="U6" s="1"/>
  <c r="K6"/>
  <c r="T6" s="1"/>
  <c r="J6"/>
  <c r="P6" s="1"/>
  <c r="H6"/>
  <c r="G6"/>
  <c r="I6" s="1"/>
  <c r="Q6" s="1"/>
  <c r="F6"/>
  <c r="C6"/>
  <c r="D6" s="1"/>
  <c r="A6"/>
  <c r="X5"/>
  <c r="U5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2" i="15"/>
  <c r="E42"/>
  <c r="H41"/>
  <c r="I41" s="1"/>
  <c r="G41"/>
  <c r="M37" i="14" s="1"/>
  <c r="A41" i="15"/>
  <c r="H40"/>
  <c r="I40" s="1"/>
  <c r="G40"/>
  <c r="M36" i="14" s="1"/>
  <c r="A40" i="15"/>
  <c r="H39"/>
  <c r="I39" s="1"/>
  <c r="G39"/>
  <c r="A39"/>
  <c r="H38"/>
  <c r="I38" s="1"/>
  <c r="G38"/>
  <c r="M34" i="14" s="1"/>
  <c r="G30" i="26" s="1"/>
  <c r="A38" i="15"/>
  <c r="H37"/>
  <c r="I37" s="1"/>
  <c r="G37"/>
  <c r="A37"/>
  <c r="H36"/>
  <c r="I36" s="1"/>
  <c r="G36"/>
  <c r="M32" i="14" s="1"/>
  <c r="G28" i="26" s="1"/>
  <c r="A36" i="15"/>
  <c r="H35"/>
  <c r="I35" s="1"/>
  <c r="G35"/>
  <c r="M31" i="14" s="1"/>
  <c r="G27" i="26" s="1"/>
  <c r="A35" i="15"/>
  <c r="H34"/>
  <c r="I34" s="1"/>
  <c r="G34"/>
  <c r="A34"/>
  <c r="H33"/>
  <c r="I33" s="1"/>
  <c r="G33"/>
  <c r="M29" i="14" s="1"/>
  <c r="G25" i="26" s="1"/>
  <c r="A33" i="15"/>
  <c r="H32"/>
  <c r="I32" s="1"/>
  <c r="G32"/>
  <c r="M28" i="14" s="1"/>
  <c r="G24" i="26" s="1"/>
  <c r="A32" i="15"/>
  <c r="I31"/>
  <c r="H31"/>
  <c r="G31"/>
  <c r="M27" i="14" s="1"/>
  <c r="G23" i="26" s="1"/>
  <c r="A31" i="15"/>
  <c r="H30"/>
  <c r="I30" s="1"/>
  <c r="G30"/>
  <c r="M26" i="14" s="1"/>
  <c r="G22" i="26" s="1"/>
  <c r="A30" i="15"/>
  <c r="H29"/>
  <c r="I29" s="1"/>
  <c r="G29"/>
  <c r="A29"/>
  <c r="H28"/>
  <c r="I28" s="1"/>
  <c r="G28"/>
  <c r="M24" i="14" s="1"/>
  <c r="G20" i="26" s="1"/>
  <c r="A28" i="15"/>
  <c r="H27"/>
  <c r="I27" s="1"/>
  <c r="G27"/>
  <c r="M23" i="14" s="1"/>
  <c r="G19" i="26" s="1"/>
  <c r="A27" i="15"/>
  <c r="H26"/>
  <c r="I26" s="1"/>
  <c r="G26"/>
  <c r="A26"/>
  <c r="H25"/>
  <c r="I25" s="1"/>
  <c r="G25"/>
  <c r="M21" i="14" s="1"/>
  <c r="G17" i="26" s="1"/>
  <c r="A25" i="15"/>
  <c r="H24"/>
  <c r="I24" s="1"/>
  <c r="G24"/>
  <c r="M20" i="14" s="1"/>
  <c r="G16" i="26" s="1"/>
  <c r="A24" i="15"/>
  <c r="H23"/>
  <c r="I23" s="1"/>
  <c r="G23"/>
  <c r="A23"/>
  <c r="H22"/>
  <c r="I22" s="1"/>
  <c r="G22"/>
  <c r="M18" i="14" s="1"/>
  <c r="G14" i="26" s="1"/>
  <c r="A22" i="15"/>
  <c r="H21"/>
  <c r="I21" s="1"/>
  <c r="G21"/>
  <c r="A21"/>
  <c r="H20"/>
  <c r="I20" s="1"/>
  <c r="G20"/>
  <c r="M16" i="14" s="1"/>
  <c r="G12" i="26" s="1"/>
  <c r="A20" i="15"/>
  <c r="H19"/>
  <c r="I19" s="1"/>
  <c r="G19"/>
  <c r="M15" i="14" s="1"/>
  <c r="G11" i="26" s="1"/>
  <c r="A19" i="15"/>
  <c r="H18"/>
  <c r="I18" s="1"/>
  <c r="G18"/>
  <c r="A18"/>
  <c r="H17"/>
  <c r="I17" s="1"/>
  <c r="G17"/>
  <c r="M13" i="14" s="1"/>
  <c r="G9" i="26" s="1"/>
  <c r="A17" i="15"/>
  <c r="H16"/>
  <c r="I16" s="1"/>
  <c r="G16"/>
  <c r="M12" i="14" s="1"/>
  <c r="G8" i="26" s="1"/>
  <c r="A16" i="15"/>
  <c r="H15"/>
  <c r="I15" s="1"/>
  <c r="G15"/>
  <c r="M11" i="14" s="1"/>
  <c r="G7" i="26" s="1"/>
  <c r="A15" i="15"/>
  <c r="H14"/>
  <c r="I14" s="1"/>
  <c r="G14"/>
  <c r="M10" i="14" s="1"/>
  <c r="G6" i="26" s="1"/>
  <c r="A14" i="15"/>
  <c r="H13"/>
  <c r="I13" s="1"/>
  <c r="G13"/>
  <c r="A13"/>
  <c r="I12"/>
  <c r="H12"/>
  <c r="G12"/>
  <c r="M8" i="14" s="1"/>
  <c r="G4" i="26" s="1"/>
  <c r="A12" i="15"/>
  <c r="H11"/>
  <c r="I11" s="1"/>
  <c r="G11"/>
  <c r="M7" i="14" s="1"/>
  <c r="G3" i="26" s="1"/>
  <c r="A11" i="15"/>
  <c r="H10"/>
  <c r="I10" s="1"/>
  <c r="G10"/>
  <c r="A10"/>
  <c r="H3"/>
  <c r="B33" i="7"/>
  <c r="E32"/>
  <c r="D32"/>
  <c r="C32"/>
  <c r="B32"/>
  <c r="A32"/>
  <c r="E31"/>
  <c r="D31"/>
  <c r="C31"/>
  <c r="B31"/>
  <c r="A31"/>
  <c r="E30"/>
  <c r="D30"/>
  <c r="C30"/>
  <c r="B30"/>
  <c r="A30"/>
  <c r="E29"/>
  <c r="D29"/>
  <c r="C29"/>
  <c r="B29"/>
  <c r="A29"/>
  <c r="E28"/>
  <c r="D28"/>
  <c r="C28"/>
  <c r="B28"/>
  <c r="A28"/>
  <c r="E27"/>
  <c r="D27"/>
  <c r="C27"/>
  <c r="B27"/>
  <c r="A27"/>
  <c r="E26"/>
  <c r="D26"/>
  <c r="C26"/>
  <c r="B26"/>
  <c r="A26"/>
  <c r="E25"/>
  <c r="D25"/>
  <c r="C25"/>
  <c r="B25"/>
  <c r="A25"/>
  <c r="E24"/>
  <c r="D24"/>
  <c r="C24"/>
  <c r="B24"/>
  <c r="A24"/>
  <c r="E23"/>
  <c r="D23"/>
  <c r="C23"/>
  <c r="B23"/>
  <c r="A23"/>
  <c r="E22"/>
  <c r="D22"/>
  <c r="C22"/>
  <c r="B22"/>
  <c r="A22"/>
  <c r="E21"/>
  <c r="D21"/>
  <c r="C21"/>
  <c r="B21"/>
  <c r="A21"/>
  <c r="E20"/>
  <c r="D20"/>
  <c r="C20"/>
  <c r="B20"/>
  <c r="A20"/>
  <c r="E19"/>
  <c r="D19"/>
  <c r="C19"/>
  <c r="B19"/>
  <c r="A19"/>
  <c r="E18"/>
  <c r="D18"/>
  <c r="C18"/>
  <c r="B18"/>
  <c r="A18"/>
  <c r="E17"/>
  <c r="D17"/>
  <c r="C17"/>
  <c r="B17"/>
  <c r="A17"/>
  <c r="E16"/>
  <c r="D16"/>
  <c r="C16"/>
  <c r="B16"/>
  <c r="A16"/>
  <c r="E15"/>
  <c r="D15"/>
  <c r="C15"/>
  <c r="B15"/>
  <c r="A15"/>
  <c r="E14"/>
  <c r="D14"/>
  <c r="C14"/>
  <c r="B14"/>
  <c r="A14"/>
  <c r="E13"/>
  <c r="D13"/>
  <c r="C13"/>
  <c r="B13"/>
  <c r="A13"/>
  <c r="E12"/>
  <c r="D12"/>
  <c r="C12"/>
  <c r="B12"/>
  <c r="A12"/>
  <c r="E11"/>
  <c r="D11"/>
  <c r="C11"/>
  <c r="B11"/>
  <c r="A11"/>
  <c r="E10"/>
  <c r="D10"/>
  <c r="C10"/>
  <c r="B10"/>
  <c r="A10"/>
  <c r="E9"/>
  <c r="D9"/>
  <c r="C9"/>
  <c r="B9"/>
  <c r="A9"/>
  <c r="E8"/>
  <c r="D8"/>
  <c r="C8"/>
  <c r="B8"/>
  <c r="A8"/>
  <c r="E7"/>
  <c r="D7"/>
  <c r="C7"/>
  <c r="B7"/>
  <c r="A7"/>
  <c r="E6"/>
  <c r="D6"/>
  <c r="C6"/>
  <c r="B6"/>
  <c r="A6"/>
  <c r="E5"/>
  <c r="D5"/>
  <c r="C5"/>
  <c r="B5"/>
  <c r="A5"/>
  <c r="E4"/>
  <c r="D4"/>
  <c r="C4"/>
  <c r="B4"/>
  <c r="A4"/>
  <c r="E3"/>
  <c r="D3"/>
  <c r="C3"/>
  <c r="B3"/>
  <c r="A3"/>
  <c r="E2"/>
  <c r="D2"/>
  <c r="C2"/>
  <c r="B2"/>
  <c r="A2"/>
  <c r="K36" i="11"/>
  <c r="D36"/>
  <c r="M35"/>
  <c r="J35"/>
  <c r="D35"/>
  <c r="A35"/>
  <c r="M34"/>
  <c r="J34"/>
  <c r="D34"/>
  <c r="A34"/>
  <c r="M33"/>
  <c r="J33"/>
  <c r="D33"/>
  <c r="A33"/>
  <c r="M32"/>
  <c r="J32"/>
  <c r="D32"/>
  <c r="A32"/>
  <c r="M31"/>
  <c r="J31"/>
  <c r="D31"/>
  <c r="A31"/>
  <c r="M30"/>
  <c r="J30"/>
  <c r="D30"/>
  <c r="A30"/>
  <c r="M29"/>
  <c r="J29"/>
  <c r="D29"/>
  <c r="A29"/>
  <c r="M28"/>
  <c r="J28"/>
  <c r="D28"/>
  <c r="A28"/>
  <c r="M27"/>
  <c r="J27"/>
  <c r="D27"/>
  <c r="A27"/>
  <c r="M26"/>
  <c r="J26"/>
  <c r="D26"/>
  <c r="A26"/>
  <c r="M25"/>
  <c r="J25"/>
  <c r="D25"/>
  <c r="A25"/>
  <c r="M24"/>
  <c r="J24"/>
  <c r="D24"/>
  <c r="A24"/>
  <c r="M23"/>
  <c r="J23"/>
  <c r="D23"/>
  <c r="A23"/>
  <c r="M22"/>
  <c r="J22"/>
  <c r="D22"/>
  <c r="A22"/>
  <c r="M21"/>
  <c r="J21"/>
  <c r="I21"/>
  <c r="D21"/>
  <c r="A21"/>
  <c r="M20"/>
  <c r="J20"/>
  <c r="D20"/>
  <c r="A20"/>
  <c r="M19"/>
  <c r="J19"/>
  <c r="D19"/>
  <c r="A19"/>
  <c r="M18"/>
  <c r="J18"/>
  <c r="D18"/>
  <c r="A18"/>
  <c r="M17"/>
  <c r="J17"/>
  <c r="D17"/>
  <c r="A17"/>
  <c r="M16"/>
  <c r="J16"/>
  <c r="D16"/>
  <c r="A16"/>
  <c r="M15"/>
  <c r="J15"/>
  <c r="D15"/>
  <c r="A15"/>
  <c r="M14"/>
  <c r="J14"/>
  <c r="I14"/>
  <c r="D14"/>
  <c r="A14"/>
  <c r="M13"/>
  <c r="J13"/>
  <c r="D13"/>
  <c r="A13"/>
  <c r="M12"/>
  <c r="J12"/>
  <c r="D12"/>
  <c r="A12"/>
  <c r="M11"/>
  <c r="J11"/>
  <c r="D11"/>
  <c r="A11"/>
  <c r="M10"/>
  <c r="J10"/>
  <c r="I10"/>
  <c r="D10"/>
  <c r="A10"/>
  <c r="M9"/>
  <c r="J9"/>
  <c r="D9"/>
  <c r="A9"/>
  <c r="M8"/>
  <c r="J8"/>
  <c r="D8"/>
  <c r="A8"/>
  <c r="M7"/>
  <c r="J7"/>
  <c r="D7"/>
  <c r="A7"/>
  <c r="M6"/>
  <c r="J6"/>
  <c r="I6"/>
  <c r="D6"/>
  <c r="A6"/>
  <c r="M5"/>
  <c r="J5"/>
  <c r="D5"/>
  <c r="A5"/>
  <c r="V35" i="18"/>
  <c r="X35" s="1"/>
  <c r="V38" s="1"/>
  <c r="W38" s="1"/>
  <c r="D35"/>
  <c r="B35"/>
  <c r="H35" s="1"/>
  <c r="M35" s="1"/>
  <c r="T35" s="1"/>
  <c r="Y35" s="1"/>
  <c r="A35"/>
  <c r="AA35"/>
  <c r="V34"/>
  <c r="X34" s="1"/>
  <c r="D34"/>
  <c r="F34" s="1"/>
  <c r="B34"/>
  <c r="H34" s="1"/>
  <c r="M34" s="1"/>
  <c r="T34" s="1"/>
  <c r="Y34" s="1"/>
  <c r="A34"/>
  <c r="V33"/>
  <c r="X33" s="1"/>
  <c r="D33"/>
  <c r="F33" s="1"/>
  <c r="B33"/>
  <c r="H33" s="1"/>
  <c r="M33" s="1"/>
  <c r="T33" s="1"/>
  <c r="Y33" s="1"/>
  <c r="A33"/>
  <c r="AA33"/>
  <c r="X32"/>
  <c r="V32"/>
  <c r="D32"/>
  <c r="F32" s="1"/>
  <c r="B32"/>
  <c r="H32" s="1"/>
  <c r="M32" s="1"/>
  <c r="T32" s="1"/>
  <c r="Y32" s="1"/>
  <c r="A32"/>
  <c r="AA32"/>
  <c r="V31"/>
  <c r="X31" s="1"/>
  <c r="F31"/>
  <c r="D31"/>
  <c r="B31"/>
  <c r="H31" s="1"/>
  <c r="M31" s="1"/>
  <c r="T31" s="1"/>
  <c r="Y31" s="1"/>
  <c r="A31"/>
  <c r="AA31"/>
  <c r="X30"/>
  <c r="V30"/>
  <c r="D30"/>
  <c r="F30" s="1"/>
  <c r="B30"/>
  <c r="H30" s="1"/>
  <c r="M30" s="1"/>
  <c r="T30" s="1"/>
  <c r="Y30" s="1"/>
  <c r="A30"/>
  <c r="V29"/>
  <c r="X29" s="1"/>
  <c r="F29"/>
  <c r="D29"/>
  <c r="B29"/>
  <c r="H29" s="1"/>
  <c r="M29" s="1"/>
  <c r="T29" s="1"/>
  <c r="Y29" s="1"/>
  <c r="A29"/>
  <c r="AA29"/>
  <c r="X28"/>
  <c r="V28"/>
  <c r="D28"/>
  <c r="F28" s="1"/>
  <c r="B28"/>
  <c r="H28" s="1"/>
  <c r="M28" s="1"/>
  <c r="T28" s="1"/>
  <c r="Y28" s="1"/>
  <c r="A28"/>
  <c r="AA28"/>
  <c r="V27"/>
  <c r="X27" s="1"/>
  <c r="F27"/>
  <c r="D27"/>
  <c r="B27"/>
  <c r="H27" s="1"/>
  <c r="M27" s="1"/>
  <c r="T27" s="1"/>
  <c r="Y27" s="1"/>
  <c r="A27"/>
  <c r="AA27"/>
  <c r="X26"/>
  <c r="V26"/>
  <c r="Q27"/>
  <c r="R27" s="1"/>
  <c r="D26"/>
  <c r="F26" s="1"/>
  <c r="B26"/>
  <c r="H26" s="1"/>
  <c r="M26" s="1"/>
  <c r="T26" s="1"/>
  <c r="Y26" s="1"/>
  <c r="A26"/>
  <c r="V25"/>
  <c r="X25" s="1"/>
  <c r="F25"/>
  <c r="D25"/>
  <c r="B25"/>
  <c r="H25" s="1"/>
  <c r="M25" s="1"/>
  <c r="T25" s="1"/>
  <c r="Y25" s="1"/>
  <c r="A25"/>
  <c r="AA25"/>
  <c r="Y24"/>
  <c r="X24"/>
  <c r="V24"/>
  <c r="Q25"/>
  <c r="J25"/>
  <c r="F24"/>
  <c r="D24"/>
  <c r="B24"/>
  <c r="H24" s="1"/>
  <c r="M24" s="1"/>
  <c r="A24"/>
  <c r="AA24"/>
  <c r="X23"/>
  <c r="V23"/>
  <c r="J24"/>
  <c r="D23"/>
  <c r="F23" s="1"/>
  <c r="B23"/>
  <c r="H23" s="1"/>
  <c r="M23" s="1"/>
  <c r="T23" s="1"/>
  <c r="Y23" s="1"/>
  <c r="A23"/>
  <c r="AA23"/>
  <c r="V22"/>
  <c r="X22" s="1"/>
  <c r="O23"/>
  <c r="J23"/>
  <c r="F22"/>
  <c r="D22"/>
  <c r="B22"/>
  <c r="H22" s="1"/>
  <c r="M22" s="1"/>
  <c r="T22" s="1"/>
  <c r="Y22" s="1"/>
  <c r="A22"/>
  <c r="AA22"/>
  <c r="X21"/>
  <c r="V21"/>
  <c r="O22"/>
  <c r="J22"/>
  <c r="D21"/>
  <c r="F21" s="1"/>
  <c r="B21"/>
  <c r="H21" s="1"/>
  <c r="M21" s="1"/>
  <c r="T21" s="1"/>
  <c r="Y21" s="1"/>
  <c r="A21"/>
  <c r="V20"/>
  <c r="X20" s="1"/>
  <c r="O21"/>
  <c r="J21"/>
  <c r="F20"/>
  <c r="D20"/>
  <c r="B20"/>
  <c r="H20" s="1"/>
  <c r="M20" s="1"/>
  <c r="T20" s="1"/>
  <c r="Y20" s="1"/>
  <c r="A20"/>
  <c r="AA20"/>
  <c r="X19"/>
  <c r="V19"/>
  <c r="O20"/>
  <c r="J20"/>
  <c r="D19"/>
  <c r="F19" s="1"/>
  <c r="B19"/>
  <c r="H19" s="1"/>
  <c r="M19" s="1"/>
  <c r="T19" s="1"/>
  <c r="Y19" s="1"/>
  <c r="A19"/>
  <c r="AA19"/>
  <c r="V18"/>
  <c r="X18" s="1"/>
  <c r="O19"/>
  <c r="J19"/>
  <c r="F18"/>
  <c r="D18"/>
  <c r="B18"/>
  <c r="H18" s="1"/>
  <c r="M18" s="1"/>
  <c r="T18" s="1"/>
  <c r="Y18" s="1"/>
  <c r="A18"/>
  <c r="AA18"/>
  <c r="X17"/>
  <c r="V17"/>
  <c r="O18"/>
  <c r="J18"/>
  <c r="D17"/>
  <c r="F17" s="1"/>
  <c r="B17"/>
  <c r="H17" s="1"/>
  <c r="M17" s="1"/>
  <c r="T17" s="1"/>
  <c r="Y17" s="1"/>
  <c r="A17"/>
  <c r="V16"/>
  <c r="X16" s="1"/>
  <c r="O17"/>
  <c r="J17"/>
  <c r="F16"/>
  <c r="D16"/>
  <c r="B16"/>
  <c r="H16" s="1"/>
  <c r="M16" s="1"/>
  <c r="T16" s="1"/>
  <c r="Y16" s="1"/>
  <c r="A16"/>
  <c r="AA16"/>
  <c r="X15"/>
  <c r="V15"/>
  <c r="O16"/>
  <c r="J16"/>
  <c r="D15"/>
  <c r="F15" s="1"/>
  <c r="B15"/>
  <c r="H15" s="1"/>
  <c r="M15" s="1"/>
  <c r="T15" s="1"/>
  <c r="Y15" s="1"/>
  <c r="A15"/>
  <c r="AA15"/>
  <c r="V14"/>
  <c r="X14" s="1"/>
  <c r="O15"/>
  <c r="J15"/>
  <c r="F14"/>
  <c r="D14"/>
  <c r="B14"/>
  <c r="H14" s="1"/>
  <c r="M14" s="1"/>
  <c r="T14" s="1"/>
  <c r="Y14" s="1"/>
  <c r="A14"/>
  <c r="AA14"/>
  <c r="X13"/>
  <c r="V13"/>
  <c r="O14"/>
  <c r="J14"/>
  <c r="D13"/>
  <c r="F13" s="1"/>
  <c r="B13"/>
  <c r="H13" s="1"/>
  <c r="M13" s="1"/>
  <c r="T13" s="1"/>
  <c r="Y13" s="1"/>
  <c r="A13"/>
  <c r="AA13"/>
  <c r="X12"/>
  <c r="V12"/>
  <c r="O13"/>
  <c r="J13"/>
  <c r="D12"/>
  <c r="F12" s="1"/>
  <c r="B12"/>
  <c r="H12" s="1"/>
  <c r="M12" s="1"/>
  <c r="T12" s="1"/>
  <c r="Y12" s="1"/>
  <c r="A12"/>
  <c r="AA12"/>
  <c r="V11"/>
  <c r="X11" s="1"/>
  <c r="O12"/>
  <c r="J12"/>
  <c r="F11"/>
  <c r="D11"/>
  <c r="B11"/>
  <c r="H11" s="1"/>
  <c r="M11" s="1"/>
  <c r="T11" s="1"/>
  <c r="Y11" s="1"/>
  <c r="A11"/>
  <c r="AA11"/>
  <c r="X10"/>
  <c r="V10"/>
  <c r="O11"/>
  <c r="J11"/>
  <c r="D10"/>
  <c r="F10" s="1"/>
  <c r="B10"/>
  <c r="H10" s="1"/>
  <c r="M10" s="1"/>
  <c r="T10" s="1"/>
  <c r="Y10" s="1"/>
  <c r="A10"/>
  <c r="V9"/>
  <c r="X9" s="1"/>
  <c r="O10"/>
  <c r="J10"/>
  <c r="F9"/>
  <c r="D9"/>
  <c r="B9"/>
  <c r="H9" s="1"/>
  <c r="M9" s="1"/>
  <c r="T9" s="1"/>
  <c r="Y9" s="1"/>
  <c r="A9"/>
  <c r="AA9"/>
  <c r="X8"/>
  <c r="V8"/>
  <c r="O9"/>
  <c r="J9"/>
  <c r="L9" s="1"/>
  <c r="D8"/>
  <c r="F8" s="1"/>
  <c r="B8"/>
  <c r="H8" s="1"/>
  <c r="M8" s="1"/>
  <c r="T8" s="1"/>
  <c r="Y8" s="1"/>
  <c r="A8"/>
  <c r="V7"/>
  <c r="X7" s="1"/>
  <c r="O8"/>
  <c r="J8"/>
  <c r="F7"/>
  <c r="D7"/>
  <c r="B7"/>
  <c r="H7" s="1"/>
  <c r="M7" s="1"/>
  <c r="T7" s="1"/>
  <c r="Y7" s="1"/>
  <c r="A7"/>
  <c r="AA7"/>
  <c r="X6"/>
  <c r="V6"/>
  <c r="O7"/>
  <c r="J7"/>
  <c r="D6"/>
  <c r="F6" s="1"/>
  <c r="B6"/>
  <c r="H6" s="1"/>
  <c r="M6" s="1"/>
  <c r="T6" s="1"/>
  <c r="Y6" s="1"/>
  <c r="A6"/>
  <c r="V5"/>
  <c r="X5" s="1"/>
  <c r="O6"/>
  <c r="J6"/>
  <c r="F5"/>
  <c r="D5"/>
  <c r="B5"/>
  <c r="H5" s="1"/>
  <c r="M5" s="1"/>
  <c r="T5" s="1"/>
  <c r="Y5" s="1"/>
  <c r="A5"/>
  <c r="AA5"/>
  <c r="X4"/>
  <c r="J5" i="23" s="1"/>
  <c r="O5" i="18"/>
  <c r="Q5" s="1"/>
  <c r="L3" i="25" s="1"/>
  <c r="J5" i="18"/>
  <c r="L5" s="1"/>
  <c r="F4"/>
  <c r="F35" s="1"/>
  <c r="B4"/>
  <c r="H4" s="1"/>
  <c r="M4" s="1"/>
  <c r="T4" s="1"/>
  <c r="Y4" s="1"/>
  <c r="A4"/>
  <c r="AB3"/>
  <c r="X3"/>
  <c r="P3"/>
  <c r="O4" s="1"/>
  <c r="K3"/>
  <c r="J4" s="1"/>
  <c r="AK37" i="13"/>
  <c r="AE37"/>
  <c r="H37" i="14" s="1"/>
  <c r="AC37" i="13"/>
  <c r="G37" i="14" s="1"/>
  <c r="AE36" i="13"/>
  <c r="H36" i="14" s="1"/>
  <c r="AC36" i="13"/>
  <c r="G36" i="14" s="1"/>
  <c r="Y36" i="13"/>
  <c r="Z36" s="1"/>
  <c r="AA36" s="1"/>
  <c r="U36"/>
  <c r="V36" s="1"/>
  <c r="Q36"/>
  <c r="R36" s="1"/>
  <c r="K36"/>
  <c r="J36"/>
  <c r="A36"/>
  <c r="AE35"/>
  <c r="H35" i="14" s="1"/>
  <c r="H39" s="1"/>
  <c r="AC35" i="13"/>
  <c r="G35" i="14" s="1"/>
  <c r="G39" s="1"/>
  <c r="Y35" i="13"/>
  <c r="Z35" s="1"/>
  <c r="AA35" s="1"/>
  <c r="U35"/>
  <c r="V35" s="1"/>
  <c r="Q35"/>
  <c r="R35" s="1"/>
  <c r="A35"/>
  <c r="AE34"/>
  <c r="AC34"/>
  <c r="Y34"/>
  <c r="Z34" s="1"/>
  <c r="AA34" s="1"/>
  <c r="U34"/>
  <c r="V34" s="1"/>
  <c r="Q34"/>
  <c r="R34" s="1"/>
  <c r="A34"/>
  <c r="AE33"/>
  <c r="AC33"/>
  <c r="Y33"/>
  <c r="Z33" s="1"/>
  <c r="AA33" s="1"/>
  <c r="V33"/>
  <c r="U33"/>
  <c r="Q33"/>
  <c r="R33" s="1"/>
  <c r="A33"/>
  <c r="AE32"/>
  <c r="AC32"/>
  <c r="Y32"/>
  <c r="Z32" s="1"/>
  <c r="AA32" s="1"/>
  <c r="U32"/>
  <c r="V32" s="1"/>
  <c r="Q32"/>
  <c r="R32" s="1"/>
  <c r="L32"/>
  <c r="A32"/>
  <c r="AE31"/>
  <c r="AC31"/>
  <c r="Z31"/>
  <c r="AA31" s="1"/>
  <c r="Y31"/>
  <c r="V31"/>
  <c r="U31"/>
  <c r="R31"/>
  <c r="Q31"/>
  <c r="A31"/>
  <c r="AE30"/>
  <c r="AC30"/>
  <c r="Y30"/>
  <c r="Z30" s="1"/>
  <c r="AA30" s="1"/>
  <c r="U30"/>
  <c r="V30" s="1"/>
  <c r="Q30"/>
  <c r="R30" s="1"/>
  <c r="A30"/>
  <c r="AE29"/>
  <c r="AC29"/>
  <c r="Z29"/>
  <c r="AA29" s="1"/>
  <c r="Y29"/>
  <c r="V29"/>
  <c r="U29"/>
  <c r="R29"/>
  <c r="Q29"/>
  <c r="A29"/>
  <c r="AE28"/>
  <c r="AC28"/>
  <c r="Y28"/>
  <c r="Z28" s="1"/>
  <c r="AA28" s="1"/>
  <c r="U28"/>
  <c r="V28" s="1"/>
  <c r="Q28"/>
  <c r="R28" s="1"/>
  <c r="L28"/>
  <c r="A28"/>
  <c r="AE27"/>
  <c r="AC27"/>
  <c r="Z27"/>
  <c r="AA27" s="1"/>
  <c r="Y27"/>
  <c r="V27"/>
  <c r="U27"/>
  <c r="R27"/>
  <c r="Q27"/>
  <c r="A27"/>
  <c r="AE26"/>
  <c r="AC26"/>
  <c r="Y26"/>
  <c r="Z26" s="1"/>
  <c r="AA26" s="1"/>
  <c r="U26"/>
  <c r="V26" s="1"/>
  <c r="Q26"/>
  <c r="R26" s="1"/>
  <c r="A26"/>
  <c r="AE25"/>
  <c r="AC25"/>
  <c r="Z25"/>
  <c r="AA25" s="1"/>
  <c r="Y25"/>
  <c r="V25"/>
  <c r="U25"/>
  <c r="R25"/>
  <c r="Q25"/>
  <c r="A25"/>
  <c r="AE24"/>
  <c r="AC24"/>
  <c r="Z24"/>
  <c r="AA24" s="1"/>
  <c r="Y24"/>
  <c r="V24"/>
  <c r="U24"/>
  <c r="R24"/>
  <c r="Q24"/>
  <c r="A24"/>
  <c r="AE23"/>
  <c r="AC23"/>
  <c r="Z23"/>
  <c r="AA23" s="1"/>
  <c r="Y23"/>
  <c r="V23"/>
  <c r="U23"/>
  <c r="R23"/>
  <c r="Q23"/>
  <c r="L23"/>
  <c r="A23"/>
  <c r="AE22"/>
  <c r="AC22"/>
  <c r="Z22"/>
  <c r="AA22" s="1"/>
  <c r="Y22"/>
  <c r="V22"/>
  <c r="U22"/>
  <c r="R22"/>
  <c r="Q22"/>
  <c r="A22"/>
  <c r="AE21"/>
  <c r="AC21"/>
  <c r="Z21"/>
  <c r="AA21" s="1"/>
  <c r="Y21"/>
  <c r="V21"/>
  <c r="U21"/>
  <c r="R21"/>
  <c r="Q21"/>
  <c r="A21"/>
  <c r="AE20"/>
  <c r="AC20"/>
  <c r="Z20"/>
  <c r="AA20" s="1"/>
  <c r="Y20"/>
  <c r="V20"/>
  <c r="U20"/>
  <c r="R20"/>
  <c r="Q20"/>
  <c r="A20"/>
  <c r="AE19"/>
  <c r="AC19"/>
  <c r="Z19"/>
  <c r="AA19" s="1"/>
  <c r="Y19"/>
  <c r="V19"/>
  <c r="U19"/>
  <c r="R19"/>
  <c r="L19"/>
  <c r="A19"/>
  <c r="AI18"/>
  <c r="AE18"/>
  <c r="AC18"/>
  <c r="Y18"/>
  <c r="Z18" s="1"/>
  <c r="AA18" s="1"/>
  <c r="U18"/>
  <c r="V18" s="1"/>
  <c r="R18"/>
  <c r="A18"/>
  <c r="AE17"/>
  <c r="AC17"/>
  <c r="Z17"/>
  <c r="AA17" s="1"/>
  <c r="Y17"/>
  <c r="V17"/>
  <c r="U17"/>
  <c r="R17"/>
  <c r="Q17"/>
  <c r="A17"/>
  <c r="AE16"/>
  <c r="AC16"/>
  <c r="Z16"/>
  <c r="AA16" s="1"/>
  <c r="Y16"/>
  <c r="V16"/>
  <c r="U16"/>
  <c r="R16"/>
  <c r="Q16"/>
  <c r="A16"/>
  <c r="AE15"/>
  <c r="AC15"/>
  <c r="Z15"/>
  <c r="AA15" s="1"/>
  <c r="Y15"/>
  <c r="V15"/>
  <c r="U15"/>
  <c r="R15"/>
  <c r="Q15"/>
  <c r="A15"/>
  <c r="AE14"/>
  <c r="AC14"/>
  <c r="Y14"/>
  <c r="Z14" s="1"/>
  <c r="AA14" s="1"/>
  <c r="U14"/>
  <c r="V14" s="1"/>
  <c r="Q14"/>
  <c r="R14" s="1"/>
  <c r="A14"/>
  <c r="AE13"/>
  <c r="AC13"/>
  <c r="Y13"/>
  <c r="Z13" s="1"/>
  <c r="AA13" s="1"/>
  <c r="U13"/>
  <c r="V13" s="1"/>
  <c r="Q13"/>
  <c r="R13" s="1"/>
  <c r="A13"/>
  <c r="AE12"/>
  <c r="AC12"/>
  <c r="Y12"/>
  <c r="Z12" s="1"/>
  <c r="AA12" s="1"/>
  <c r="U12"/>
  <c r="V12" s="1"/>
  <c r="Q12"/>
  <c r="R12" s="1"/>
  <c r="A12"/>
  <c r="AI12"/>
  <c r="AE11"/>
  <c r="AC11"/>
  <c r="Y11"/>
  <c r="Z11" s="1"/>
  <c r="AA11" s="1"/>
  <c r="U11"/>
  <c r="V11" s="1"/>
  <c r="Q11"/>
  <c r="R11" s="1"/>
  <c r="A11"/>
  <c r="AE10"/>
  <c r="AC10"/>
  <c r="Y10"/>
  <c r="Z10" s="1"/>
  <c r="AA10" s="1"/>
  <c r="U10"/>
  <c r="V10" s="1"/>
  <c r="Q10"/>
  <c r="R10" s="1"/>
  <c r="A10"/>
  <c r="AE9"/>
  <c r="AC9"/>
  <c r="Y9"/>
  <c r="Z9" s="1"/>
  <c r="AA9" s="1"/>
  <c r="U9"/>
  <c r="V9" s="1"/>
  <c r="Q9"/>
  <c r="R9" s="1"/>
  <c r="A9"/>
  <c r="AE8"/>
  <c r="AC8"/>
  <c r="Y8"/>
  <c r="Z8" s="1"/>
  <c r="AA8" s="1"/>
  <c r="U8"/>
  <c r="V8" s="1"/>
  <c r="Q8"/>
  <c r="R8" s="1"/>
  <c r="L8"/>
  <c r="A8"/>
  <c r="AI8"/>
  <c r="AE7"/>
  <c r="AC7"/>
  <c r="Y7"/>
  <c r="Z7" s="1"/>
  <c r="AA7" s="1"/>
  <c r="U7"/>
  <c r="V7" s="1"/>
  <c r="Q7"/>
  <c r="R7" s="1"/>
  <c r="A7"/>
  <c r="AE6"/>
  <c r="AC6"/>
  <c r="Y6"/>
  <c r="Z6" s="1"/>
  <c r="AA6" s="1"/>
  <c r="U6"/>
  <c r="Q6"/>
  <c r="R6" s="1"/>
  <c r="A6"/>
  <c r="AI4"/>
  <c r="H3"/>
  <c r="F3"/>
  <c r="E6" s="1"/>
  <c r="Q37" i="14"/>
  <c r="S37" s="1"/>
  <c r="A37"/>
  <c r="Q36"/>
  <c r="P36"/>
  <c r="S36"/>
  <c r="A36"/>
  <c r="Q35"/>
  <c r="P35"/>
  <c r="S35"/>
  <c r="A35"/>
  <c r="Q34"/>
  <c r="P34"/>
  <c r="A34"/>
  <c r="T33"/>
  <c r="Q33"/>
  <c r="P33"/>
  <c r="A33"/>
  <c r="Q32"/>
  <c r="P32"/>
  <c r="A32"/>
  <c r="Q31"/>
  <c r="P31"/>
  <c r="S31"/>
  <c r="A31"/>
  <c r="Q30"/>
  <c r="P30"/>
  <c r="S30"/>
  <c r="A30"/>
  <c r="Q29"/>
  <c r="S29" s="1"/>
  <c r="P29"/>
  <c r="A29"/>
  <c r="Q28"/>
  <c r="P28"/>
  <c r="A28"/>
  <c r="Q27"/>
  <c r="P27"/>
  <c r="S27"/>
  <c r="A27"/>
  <c r="Q26"/>
  <c r="P26"/>
  <c r="A26"/>
  <c r="Q25"/>
  <c r="P25"/>
  <c r="A25"/>
  <c r="Q24"/>
  <c r="P24"/>
  <c r="S24"/>
  <c r="A24"/>
  <c r="Q23"/>
  <c r="P23"/>
  <c r="S23"/>
  <c r="A23"/>
  <c r="Q22"/>
  <c r="P22"/>
  <c r="S22"/>
  <c r="A22"/>
  <c r="Q21"/>
  <c r="P21"/>
  <c r="A21"/>
  <c r="Q20"/>
  <c r="P20"/>
  <c r="A20"/>
  <c r="Q19"/>
  <c r="P19"/>
  <c r="S19"/>
  <c r="A19"/>
  <c r="Q18"/>
  <c r="P18"/>
  <c r="A18"/>
  <c r="Q17"/>
  <c r="P17"/>
  <c r="A17"/>
  <c r="Q16"/>
  <c r="P16"/>
  <c r="A16"/>
  <c r="Q15"/>
  <c r="P15"/>
  <c r="S15"/>
  <c r="A15"/>
  <c r="Q14"/>
  <c r="P14"/>
  <c r="A14"/>
  <c r="Q13"/>
  <c r="P13"/>
  <c r="A13"/>
  <c r="Q12"/>
  <c r="P12"/>
  <c r="A12"/>
  <c r="Q11"/>
  <c r="P11"/>
  <c r="S11"/>
  <c r="A11"/>
  <c r="Q10"/>
  <c r="P10"/>
  <c r="S10"/>
  <c r="A10"/>
  <c r="Q9"/>
  <c r="P9"/>
  <c r="A9"/>
  <c r="Q8"/>
  <c r="P8"/>
  <c r="A8"/>
  <c r="Q7"/>
  <c r="Q39" s="1"/>
  <c r="P7"/>
  <c r="P39" s="1"/>
  <c r="L39"/>
  <c r="J39"/>
  <c r="I39"/>
  <c r="B39"/>
  <c r="A7"/>
  <c r="Q6"/>
  <c r="P6"/>
  <c r="A6"/>
  <c r="Y37" i="12"/>
  <c r="V37"/>
  <c r="S37"/>
  <c r="M37"/>
  <c r="K37"/>
  <c r="A37"/>
  <c r="Y36"/>
  <c r="V36"/>
  <c r="S36"/>
  <c r="P36"/>
  <c r="M36"/>
  <c r="K36"/>
  <c r="A36"/>
  <c r="Y35"/>
  <c r="V35"/>
  <c r="S35"/>
  <c r="P35"/>
  <c r="M35"/>
  <c r="K35"/>
  <c r="A35"/>
  <c r="Y34"/>
  <c r="V34"/>
  <c r="S34"/>
  <c r="P34"/>
  <c r="M34"/>
  <c r="K34"/>
  <c r="A34"/>
  <c r="Y33"/>
  <c r="V33"/>
  <c r="S33"/>
  <c r="P33"/>
  <c r="M33"/>
  <c r="Z33" s="1"/>
  <c r="K33"/>
  <c r="A33"/>
  <c r="Y32"/>
  <c r="V32"/>
  <c r="S32"/>
  <c r="P32"/>
  <c r="M32"/>
  <c r="Z32" s="1"/>
  <c r="K32"/>
  <c r="A32"/>
  <c r="Y31"/>
  <c r="V31"/>
  <c r="S31"/>
  <c r="P31"/>
  <c r="M31"/>
  <c r="Z31" s="1"/>
  <c r="K31"/>
  <c r="A31"/>
  <c r="Y30"/>
  <c r="V30"/>
  <c r="S30"/>
  <c r="P30"/>
  <c r="Z30" s="1"/>
  <c r="M30"/>
  <c r="K30"/>
  <c r="A30"/>
  <c r="Y29"/>
  <c r="V29"/>
  <c r="S29"/>
  <c r="P29"/>
  <c r="M29"/>
  <c r="Z29" s="1"/>
  <c r="K29"/>
  <c r="A29"/>
  <c r="Y28"/>
  <c r="V28"/>
  <c r="S28"/>
  <c r="P28"/>
  <c r="Z28" s="1"/>
  <c r="M28"/>
  <c r="K28"/>
  <c r="A28"/>
  <c r="Y27"/>
  <c r="V27"/>
  <c r="S27"/>
  <c r="P27"/>
  <c r="M27"/>
  <c r="Z27" s="1"/>
  <c r="K27"/>
  <c r="A27"/>
  <c r="Y26"/>
  <c r="V26"/>
  <c r="S26"/>
  <c r="P26"/>
  <c r="Z26" s="1"/>
  <c r="M26"/>
  <c r="K26"/>
  <c r="A26"/>
  <c r="Y25"/>
  <c r="V25"/>
  <c r="S25"/>
  <c r="P25"/>
  <c r="M25"/>
  <c r="Z25" s="1"/>
  <c r="K25"/>
  <c r="A25"/>
  <c r="Y24"/>
  <c r="V24"/>
  <c r="S24"/>
  <c r="P24"/>
  <c r="Z24" s="1"/>
  <c r="M24"/>
  <c r="K24"/>
  <c r="A24"/>
  <c r="Y23"/>
  <c r="V23"/>
  <c r="S23"/>
  <c r="P23"/>
  <c r="M23"/>
  <c r="Z23" s="1"/>
  <c r="K23"/>
  <c r="A23"/>
  <c r="Y22"/>
  <c r="V22"/>
  <c r="S22"/>
  <c r="P22"/>
  <c r="Z22" s="1"/>
  <c r="M22"/>
  <c r="K22"/>
  <c r="A22"/>
  <c r="Y21"/>
  <c r="V21"/>
  <c r="S21"/>
  <c r="P21"/>
  <c r="M21"/>
  <c r="Z21" s="1"/>
  <c r="K21"/>
  <c r="A21"/>
  <c r="Y20"/>
  <c r="V20"/>
  <c r="S20"/>
  <c r="P20"/>
  <c r="Z20" s="1"/>
  <c r="M20"/>
  <c r="K20"/>
  <c r="A20"/>
  <c r="Y19"/>
  <c r="V19"/>
  <c r="S19"/>
  <c r="P19"/>
  <c r="M19"/>
  <c r="Z19" s="1"/>
  <c r="K19"/>
  <c r="A19"/>
  <c r="Y18"/>
  <c r="V18"/>
  <c r="S18"/>
  <c r="P18"/>
  <c r="Z18" s="1"/>
  <c r="M18"/>
  <c r="K18"/>
  <c r="A18"/>
  <c r="Y17"/>
  <c r="V17"/>
  <c r="S17"/>
  <c r="P17"/>
  <c r="M17"/>
  <c r="Z17" s="1"/>
  <c r="K17"/>
  <c r="A17"/>
  <c r="Y16"/>
  <c r="V16"/>
  <c r="S16"/>
  <c r="P16"/>
  <c r="Z16" s="1"/>
  <c r="M16"/>
  <c r="K16"/>
  <c r="A16"/>
  <c r="Y15"/>
  <c r="V15"/>
  <c r="S15"/>
  <c r="P15"/>
  <c r="M15"/>
  <c r="Z15" s="1"/>
  <c r="K15"/>
  <c r="A15"/>
  <c r="Y14"/>
  <c r="V14"/>
  <c r="S14"/>
  <c r="P14"/>
  <c r="Z14" s="1"/>
  <c r="M14"/>
  <c r="K14"/>
  <c r="A14"/>
  <c r="Y13"/>
  <c r="V13"/>
  <c r="S13"/>
  <c r="P13"/>
  <c r="M13"/>
  <c r="Z13" s="1"/>
  <c r="K13"/>
  <c r="A13"/>
  <c r="Y12"/>
  <c r="V12"/>
  <c r="S12"/>
  <c r="P12"/>
  <c r="Z12" s="1"/>
  <c r="M12"/>
  <c r="K12"/>
  <c r="A12"/>
  <c r="Y11"/>
  <c r="V11"/>
  <c r="S11"/>
  <c r="P11"/>
  <c r="M11"/>
  <c r="Z11" s="1"/>
  <c r="K11"/>
  <c r="A11"/>
  <c r="Y10"/>
  <c r="V10"/>
  <c r="S10"/>
  <c r="P10"/>
  <c r="Z10" s="1"/>
  <c r="M10"/>
  <c r="K10"/>
  <c r="A10"/>
  <c r="Y9"/>
  <c r="V9"/>
  <c r="S9"/>
  <c r="P9"/>
  <c r="M9"/>
  <c r="Z9" s="1"/>
  <c r="K9"/>
  <c r="A9"/>
  <c r="Y8"/>
  <c r="V8"/>
  <c r="S8"/>
  <c r="P8"/>
  <c r="M8"/>
  <c r="Z8" s="1"/>
  <c r="K8"/>
  <c r="A8"/>
  <c r="Y7"/>
  <c r="V7"/>
  <c r="S7"/>
  <c r="P7"/>
  <c r="M7"/>
  <c r="Z7" s="1"/>
  <c r="K7"/>
  <c r="A7"/>
  <c r="Y6"/>
  <c r="V6"/>
  <c r="S6"/>
  <c r="P6"/>
  <c r="M6"/>
  <c r="K6"/>
  <c r="A6"/>
  <c r="K77" i="3"/>
  <c r="J77"/>
  <c r="H77"/>
  <c r="F77"/>
  <c r="D77"/>
  <c r="A77"/>
  <c r="J76"/>
  <c r="H76"/>
  <c r="F76"/>
  <c r="D76"/>
  <c r="A76"/>
  <c r="J75"/>
  <c r="H75"/>
  <c r="F75"/>
  <c r="D75"/>
  <c r="A75"/>
  <c r="J74"/>
  <c r="H74"/>
  <c r="F74"/>
  <c r="D74"/>
  <c r="A74"/>
  <c r="J73"/>
  <c r="H73"/>
  <c r="F73"/>
  <c r="D73"/>
  <c r="K73" s="1"/>
  <c r="A73"/>
  <c r="J72"/>
  <c r="H72"/>
  <c r="F72"/>
  <c r="D72"/>
  <c r="A72"/>
  <c r="J71"/>
  <c r="H71"/>
  <c r="F71"/>
  <c r="D71"/>
  <c r="A71"/>
  <c r="J70"/>
  <c r="H70"/>
  <c r="F70"/>
  <c r="D70"/>
  <c r="A70"/>
  <c r="J69"/>
  <c r="H69"/>
  <c r="F69"/>
  <c r="D69"/>
  <c r="A69"/>
  <c r="J68"/>
  <c r="H68"/>
  <c r="F68"/>
  <c r="D68"/>
  <c r="A68"/>
  <c r="J67"/>
  <c r="H67"/>
  <c r="F67"/>
  <c r="D67"/>
  <c r="A67"/>
  <c r="J66"/>
  <c r="H66"/>
  <c r="F66"/>
  <c r="D66"/>
  <c r="A66"/>
  <c r="J65"/>
  <c r="H65"/>
  <c r="F65"/>
  <c r="D65"/>
  <c r="K65" s="1"/>
  <c r="A65"/>
  <c r="J64"/>
  <c r="H64"/>
  <c r="F64"/>
  <c r="D64"/>
  <c r="A64"/>
  <c r="J63"/>
  <c r="H63"/>
  <c r="F63"/>
  <c r="D63"/>
  <c r="A63"/>
  <c r="J62"/>
  <c r="H62"/>
  <c r="F62"/>
  <c r="D62"/>
  <c r="A62"/>
  <c r="H61"/>
  <c r="F61"/>
  <c r="D61"/>
  <c r="A61"/>
  <c r="H60"/>
  <c r="F60"/>
  <c r="D60"/>
  <c r="K60" s="1"/>
  <c r="A60"/>
  <c r="H59"/>
  <c r="F59"/>
  <c r="D59"/>
  <c r="A59"/>
  <c r="H58"/>
  <c r="F58"/>
  <c r="D58"/>
  <c r="A58"/>
  <c r="H57"/>
  <c r="F57"/>
  <c r="D57"/>
  <c r="A57"/>
  <c r="J56"/>
  <c r="H56"/>
  <c r="F56"/>
  <c r="D56"/>
  <c r="A56"/>
  <c r="J55"/>
  <c r="H55"/>
  <c r="F55"/>
  <c r="D55"/>
  <c r="A55"/>
  <c r="J54"/>
  <c r="H54"/>
  <c r="F54"/>
  <c r="D54"/>
  <c r="A54"/>
  <c r="J53"/>
  <c r="H53"/>
  <c r="F53"/>
  <c r="D53"/>
  <c r="A53"/>
  <c r="J52"/>
  <c r="H52"/>
  <c r="F52"/>
  <c r="D52"/>
  <c r="A52"/>
  <c r="J51"/>
  <c r="H51"/>
  <c r="F51"/>
  <c r="D51"/>
  <c r="A51"/>
  <c r="J50"/>
  <c r="H50"/>
  <c r="F50"/>
  <c r="D50"/>
  <c r="A50"/>
  <c r="J49"/>
  <c r="H49"/>
  <c r="F49"/>
  <c r="D49"/>
  <c r="A49"/>
  <c r="J48"/>
  <c r="H48"/>
  <c r="F48"/>
  <c r="D48"/>
  <c r="A48"/>
  <c r="J47"/>
  <c r="H47"/>
  <c r="F47"/>
  <c r="D47"/>
  <c r="A47"/>
  <c r="J46"/>
  <c r="H46"/>
  <c r="F46"/>
  <c r="D46"/>
  <c r="A46"/>
  <c r="Q38"/>
  <c r="N38"/>
  <c r="AM37"/>
  <c r="AK37"/>
  <c r="AJ37"/>
  <c r="AH37"/>
  <c r="AG37"/>
  <c r="AE37"/>
  <c r="AD37"/>
  <c r="AB37"/>
  <c r="AA37"/>
  <c r="Y37"/>
  <c r="V37"/>
  <c r="U37"/>
  <c r="S37"/>
  <c r="Q37"/>
  <c r="O37"/>
  <c r="N37"/>
  <c r="L37"/>
  <c r="K37"/>
  <c r="I37"/>
  <c r="H37"/>
  <c r="F37"/>
  <c r="E37"/>
  <c r="C37"/>
  <c r="AM36"/>
  <c r="AK36"/>
  <c r="AJ36"/>
  <c r="AH36"/>
  <c r="AG36"/>
  <c r="AE36"/>
  <c r="AD36"/>
  <c r="AB36"/>
  <c r="AA36"/>
  <c r="Y36"/>
  <c r="X36"/>
  <c r="V36"/>
  <c r="U36"/>
  <c r="S36"/>
  <c r="Q36"/>
  <c r="O36"/>
  <c r="N36"/>
  <c r="L36"/>
  <c r="K36"/>
  <c r="I36"/>
  <c r="H36"/>
  <c r="F36"/>
  <c r="E36"/>
  <c r="C36"/>
  <c r="AM35"/>
  <c r="AK35"/>
  <c r="AJ35"/>
  <c r="AH35"/>
  <c r="AG35"/>
  <c r="AE35"/>
  <c r="AD35"/>
  <c r="AB35"/>
  <c r="AA35"/>
  <c r="Y35"/>
  <c r="X35"/>
  <c r="V35"/>
  <c r="U35"/>
  <c r="S35"/>
  <c r="Q35"/>
  <c r="O35"/>
  <c r="N35"/>
  <c r="L35"/>
  <c r="K35"/>
  <c r="I35"/>
  <c r="H35"/>
  <c r="F35"/>
  <c r="E35"/>
  <c r="C35"/>
  <c r="AM34"/>
  <c r="AK34"/>
  <c r="AJ34"/>
  <c r="AH34"/>
  <c r="AG34"/>
  <c r="AE34"/>
  <c r="AD34"/>
  <c r="AB34"/>
  <c r="AA34"/>
  <c r="Y34"/>
  <c r="X34"/>
  <c r="V34"/>
  <c r="U34"/>
  <c r="S34"/>
  <c r="Q34"/>
  <c r="O34"/>
  <c r="N34"/>
  <c r="L34"/>
  <c r="K34"/>
  <c r="I34"/>
  <c r="H34"/>
  <c r="F34"/>
  <c r="E34"/>
  <c r="C34"/>
  <c r="AM33"/>
  <c r="AK33"/>
  <c r="AJ33"/>
  <c r="AH33"/>
  <c r="AG33"/>
  <c r="AE33"/>
  <c r="AD33"/>
  <c r="AB33"/>
  <c r="AA33"/>
  <c r="Y33"/>
  <c r="X33"/>
  <c r="V33"/>
  <c r="U33"/>
  <c r="S33"/>
  <c r="Q33"/>
  <c r="O33"/>
  <c r="N33"/>
  <c r="L33"/>
  <c r="K33"/>
  <c r="I33"/>
  <c r="H33"/>
  <c r="F33"/>
  <c r="E33"/>
  <c r="C33"/>
  <c r="AM32"/>
  <c r="AK32"/>
  <c r="AJ32"/>
  <c r="AH32"/>
  <c r="AG32"/>
  <c r="AE32"/>
  <c r="AD32"/>
  <c r="AB32"/>
  <c r="AA32"/>
  <c r="Y32"/>
  <c r="X32"/>
  <c r="V32"/>
  <c r="U32"/>
  <c r="S32"/>
  <c r="Q32"/>
  <c r="O32"/>
  <c r="N32"/>
  <c r="L32"/>
  <c r="K32"/>
  <c r="I32"/>
  <c r="H32"/>
  <c r="F32"/>
  <c r="E32"/>
  <c r="C32"/>
  <c r="AM31"/>
  <c r="AK31"/>
  <c r="AJ31"/>
  <c r="AH31"/>
  <c r="AG31"/>
  <c r="AE31"/>
  <c r="AD31"/>
  <c r="AB31"/>
  <c r="AA31"/>
  <c r="Y31"/>
  <c r="X31"/>
  <c r="V31"/>
  <c r="U31"/>
  <c r="G30" i="23" s="1"/>
  <c r="S31" i="3"/>
  <c r="Q31"/>
  <c r="O31"/>
  <c r="N31"/>
  <c r="L31"/>
  <c r="K31"/>
  <c r="I31"/>
  <c r="H31"/>
  <c r="F31"/>
  <c r="E31"/>
  <c r="C31"/>
  <c r="AM30"/>
  <c r="AK30"/>
  <c r="AJ30"/>
  <c r="AH30"/>
  <c r="AG30"/>
  <c r="AE30"/>
  <c r="AD30"/>
  <c r="AB30"/>
  <c r="AA30"/>
  <c r="Y30"/>
  <c r="X30"/>
  <c r="V30"/>
  <c r="U30"/>
  <c r="G29" i="23" s="1"/>
  <c r="S30" i="3"/>
  <c r="Q30"/>
  <c r="O30"/>
  <c r="N30"/>
  <c r="L30"/>
  <c r="K30"/>
  <c r="I30"/>
  <c r="H30"/>
  <c r="F30"/>
  <c r="E30"/>
  <c r="C30"/>
  <c r="AM29"/>
  <c r="AK29"/>
  <c r="AJ29"/>
  <c r="AH29"/>
  <c r="AG29"/>
  <c r="AE29"/>
  <c r="AD29"/>
  <c r="AB29"/>
  <c r="AA29"/>
  <c r="Y29"/>
  <c r="X29"/>
  <c r="V29"/>
  <c r="U29"/>
  <c r="G28" i="23" s="1"/>
  <c r="S29" i="3"/>
  <c r="Q29"/>
  <c r="O29"/>
  <c r="N29"/>
  <c r="L29"/>
  <c r="K29"/>
  <c r="I29"/>
  <c r="H29"/>
  <c r="F29"/>
  <c r="E29"/>
  <c r="C29"/>
  <c r="AM28"/>
  <c r="AK28"/>
  <c r="AJ28"/>
  <c r="AH28"/>
  <c r="AG28"/>
  <c r="AE28"/>
  <c r="AD28"/>
  <c r="AB28"/>
  <c r="AA28"/>
  <c r="Y28"/>
  <c r="X28"/>
  <c r="V28"/>
  <c r="U28"/>
  <c r="G27" i="23" s="1"/>
  <c r="S28" i="3"/>
  <c r="Q28"/>
  <c r="O28"/>
  <c r="N28"/>
  <c r="L28"/>
  <c r="K28"/>
  <c r="I28"/>
  <c r="H28"/>
  <c r="F28"/>
  <c r="E28"/>
  <c r="C28"/>
  <c r="AM27"/>
  <c r="AK27"/>
  <c r="AJ27"/>
  <c r="AH27"/>
  <c r="AG27"/>
  <c r="AE27"/>
  <c r="AD27"/>
  <c r="AB27"/>
  <c r="AA27"/>
  <c r="Y27"/>
  <c r="X27"/>
  <c r="V27"/>
  <c r="U27"/>
  <c r="S27"/>
  <c r="Q27"/>
  <c r="O27"/>
  <c r="N27"/>
  <c r="L27"/>
  <c r="K27"/>
  <c r="I27"/>
  <c r="H27"/>
  <c r="F27"/>
  <c r="E27"/>
  <c r="C27"/>
  <c r="AM26"/>
  <c r="AK26"/>
  <c r="AJ26"/>
  <c r="AH26"/>
  <c r="AG26"/>
  <c r="AE26"/>
  <c r="AD26"/>
  <c r="AB26"/>
  <c r="AA26"/>
  <c r="Y26"/>
  <c r="X26"/>
  <c r="V26"/>
  <c r="U26"/>
  <c r="S26"/>
  <c r="Q26"/>
  <c r="O26"/>
  <c r="N26"/>
  <c r="L26"/>
  <c r="K26"/>
  <c r="I26"/>
  <c r="H26"/>
  <c r="F26"/>
  <c r="E26"/>
  <c r="C26"/>
  <c r="AM25"/>
  <c r="AK25"/>
  <c r="AJ25"/>
  <c r="AH25"/>
  <c r="AG25"/>
  <c r="AE25"/>
  <c r="AD25"/>
  <c r="AB25"/>
  <c r="AA25"/>
  <c r="Y25"/>
  <c r="X25"/>
  <c r="V25"/>
  <c r="U25"/>
  <c r="S25"/>
  <c r="Q25"/>
  <c r="O25"/>
  <c r="N25"/>
  <c r="L25"/>
  <c r="K25"/>
  <c r="I25"/>
  <c r="H25"/>
  <c r="F25"/>
  <c r="E25"/>
  <c r="C25"/>
  <c r="AM24"/>
  <c r="AK24"/>
  <c r="AJ24"/>
  <c r="AH24"/>
  <c r="AG24"/>
  <c r="AE24"/>
  <c r="AD24"/>
  <c r="AB24"/>
  <c r="AA24"/>
  <c r="Y24"/>
  <c r="X24"/>
  <c r="V24"/>
  <c r="U24"/>
  <c r="S24"/>
  <c r="Q24"/>
  <c r="O24"/>
  <c r="N24"/>
  <c r="L24"/>
  <c r="K24"/>
  <c r="I24"/>
  <c r="H24"/>
  <c r="F24"/>
  <c r="E24"/>
  <c r="C24"/>
  <c r="AM23"/>
  <c r="AK23"/>
  <c r="AJ23"/>
  <c r="AH23"/>
  <c r="AG23"/>
  <c r="AE23"/>
  <c r="AD23"/>
  <c r="AB23"/>
  <c r="AA23"/>
  <c r="Y23"/>
  <c r="X23"/>
  <c r="V23"/>
  <c r="U23"/>
  <c r="S23"/>
  <c r="Q23"/>
  <c r="O23"/>
  <c r="N23"/>
  <c r="L23"/>
  <c r="K23"/>
  <c r="I23"/>
  <c r="H23"/>
  <c r="F23"/>
  <c r="E23"/>
  <c r="C23"/>
  <c r="AM22"/>
  <c r="AK22"/>
  <c r="AJ22"/>
  <c r="AH22"/>
  <c r="AG22"/>
  <c r="AE22"/>
  <c r="AD22"/>
  <c r="AB22"/>
  <c r="AA22"/>
  <c r="Y22"/>
  <c r="X22"/>
  <c r="V22"/>
  <c r="U22"/>
  <c r="S22"/>
  <c r="Q22"/>
  <c r="O22"/>
  <c r="N22"/>
  <c r="L22"/>
  <c r="K22"/>
  <c r="I22"/>
  <c r="H22"/>
  <c r="F22"/>
  <c r="E22"/>
  <c r="C22"/>
  <c r="AM21"/>
  <c r="AK21"/>
  <c r="AJ21"/>
  <c r="AH21"/>
  <c r="AG21"/>
  <c r="AE21"/>
  <c r="AD21"/>
  <c r="AB21"/>
  <c r="AA21"/>
  <c r="Y21"/>
  <c r="X21"/>
  <c r="V21"/>
  <c r="U21"/>
  <c r="S21"/>
  <c r="Q21"/>
  <c r="O21"/>
  <c r="N21"/>
  <c r="L21"/>
  <c r="K21"/>
  <c r="I21"/>
  <c r="H21"/>
  <c r="F21"/>
  <c r="E21"/>
  <c r="C21"/>
  <c r="AM20"/>
  <c r="AK20"/>
  <c r="AJ20"/>
  <c r="AH20"/>
  <c r="AG20"/>
  <c r="AE20"/>
  <c r="AD20"/>
  <c r="AB20"/>
  <c r="AA20"/>
  <c r="Y20"/>
  <c r="X20"/>
  <c r="V20"/>
  <c r="U20"/>
  <c r="S20"/>
  <c r="Q20"/>
  <c r="O20"/>
  <c r="N20"/>
  <c r="L20"/>
  <c r="K20"/>
  <c r="I20"/>
  <c r="H20"/>
  <c r="F20"/>
  <c r="E20"/>
  <c r="C20"/>
  <c r="AM19"/>
  <c r="AK19"/>
  <c r="AJ19"/>
  <c r="AH19"/>
  <c r="AG19"/>
  <c r="AE19"/>
  <c r="AD19"/>
  <c r="AB19"/>
  <c r="AA19"/>
  <c r="Y19"/>
  <c r="X19"/>
  <c r="V19"/>
  <c r="U19"/>
  <c r="S19"/>
  <c r="Q19"/>
  <c r="O19"/>
  <c r="N19"/>
  <c r="L19"/>
  <c r="K19"/>
  <c r="I19"/>
  <c r="H19"/>
  <c r="F19"/>
  <c r="E19"/>
  <c r="C19"/>
  <c r="AM18"/>
  <c r="AK18"/>
  <c r="AJ18"/>
  <c r="AH18"/>
  <c r="AG18"/>
  <c r="AE18"/>
  <c r="AD18"/>
  <c r="AB18"/>
  <c r="AA18"/>
  <c r="Y18"/>
  <c r="X18"/>
  <c r="V18"/>
  <c r="U18"/>
  <c r="S18"/>
  <c r="Q18"/>
  <c r="O18"/>
  <c r="N18"/>
  <c r="L18"/>
  <c r="K18"/>
  <c r="I18"/>
  <c r="H18"/>
  <c r="F18"/>
  <c r="E18"/>
  <c r="C18"/>
  <c r="AM17"/>
  <c r="AK17"/>
  <c r="AJ17"/>
  <c r="AH17"/>
  <c r="AG17"/>
  <c r="AE17"/>
  <c r="AD17"/>
  <c r="AB17"/>
  <c r="AA17"/>
  <c r="Y17"/>
  <c r="X17"/>
  <c r="V17"/>
  <c r="U17"/>
  <c r="S17"/>
  <c r="Q17"/>
  <c r="O17"/>
  <c r="N17"/>
  <c r="L17"/>
  <c r="K17"/>
  <c r="I17"/>
  <c r="H17"/>
  <c r="F17"/>
  <c r="E17"/>
  <c r="C17"/>
  <c r="AM16"/>
  <c r="AK16"/>
  <c r="AJ16"/>
  <c r="AH16"/>
  <c r="AG16"/>
  <c r="AE16"/>
  <c r="AD16"/>
  <c r="AB16"/>
  <c r="AA16"/>
  <c r="Y16"/>
  <c r="X16"/>
  <c r="V16"/>
  <c r="U16"/>
  <c r="S16"/>
  <c r="Q16"/>
  <c r="O16"/>
  <c r="N16"/>
  <c r="L16"/>
  <c r="K16"/>
  <c r="I16"/>
  <c r="H16"/>
  <c r="F16"/>
  <c r="E16"/>
  <c r="C16"/>
  <c r="AM15"/>
  <c r="AK15"/>
  <c r="AJ15"/>
  <c r="AH15"/>
  <c r="AG15"/>
  <c r="AE15"/>
  <c r="AD15"/>
  <c r="AB15"/>
  <c r="AA15"/>
  <c r="Y15"/>
  <c r="X15"/>
  <c r="V15"/>
  <c r="U15"/>
  <c r="S15"/>
  <c r="Q15"/>
  <c r="O15"/>
  <c r="N15"/>
  <c r="L15"/>
  <c r="K15"/>
  <c r="I15"/>
  <c r="H15"/>
  <c r="F15"/>
  <c r="E15"/>
  <c r="C15"/>
  <c r="AM14"/>
  <c r="AK14"/>
  <c r="AJ14"/>
  <c r="AH14"/>
  <c r="AG14"/>
  <c r="AE14"/>
  <c r="AD14"/>
  <c r="AB14"/>
  <c r="AA14"/>
  <c r="Y14"/>
  <c r="X14"/>
  <c r="V14"/>
  <c r="U14"/>
  <c r="S14"/>
  <c r="Q14"/>
  <c r="O14"/>
  <c r="N14"/>
  <c r="L14"/>
  <c r="K14"/>
  <c r="I14"/>
  <c r="H14"/>
  <c r="F14"/>
  <c r="E14"/>
  <c r="C14"/>
  <c r="AM13"/>
  <c r="AK13"/>
  <c r="AJ13"/>
  <c r="AH13"/>
  <c r="AG13"/>
  <c r="AE13"/>
  <c r="AD13"/>
  <c r="AB13"/>
  <c r="AA13"/>
  <c r="Y13"/>
  <c r="X13"/>
  <c r="V13"/>
  <c r="U13"/>
  <c r="S13"/>
  <c r="Q13"/>
  <c r="O13"/>
  <c r="N13"/>
  <c r="L13"/>
  <c r="K13"/>
  <c r="I13"/>
  <c r="H13"/>
  <c r="F13"/>
  <c r="E13"/>
  <c r="C13"/>
  <c r="AM12"/>
  <c r="AK12"/>
  <c r="AJ12"/>
  <c r="AH12"/>
  <c r="AG12"/>
  <c r="AE12"/>
  <c r="AD12"/>
  <c r="AB12"/>
  <c r="AA12"/>
  <c r="Y12"/>
  <c r="X12"/>
  <c r="V12"/>
  <c r="U12"/>
  <c r="S12"/>
  <c r="Q12"/>
  <c r="O12"/>
  <c r="N12"/>
  <c r="L12"/>
  <c r="K12"/>
  <c r="I12"/>
  <c r="H12"/>
  <c r="F12"/>
  <c r="E12"/>
  <c r="C12"/>
  <c r="AM11"/>
  <c r="AK11"/>
  <c r="AJ11"/>
  <c r="AH11"/>
  <c r="AG11"/>
  <c r="AE11"/>
  <c r="AD11"/>
  <c r="AB11"/>
  <c r="AA11"/>
  <c r="Y11"/>
  <c r="X11"/>
  <c r="V11"/>
  <c r="U11"/>
  <c r="S11"/>
  <c r="Q11"/>
  <c r="O11"/>
  <c r="N11"/>
  <c r="K11"/>
  <c r="I11"/>
  <c r="H11"/>
  <c r="F11"/>
  <c r="E11"/>
  <c r="C11"/>
  <c r="AM10"/>
  <c r="AK10"/>
  <c r="AJ10"/>
  <c r="AH10"/>
  <c r="AG10"/>
  <c r="AE10"/>
  <c r="AD10"/>
  <c r="AB10"/>
  <c r="AA10"/>
  <c r="Y10"/>
  <c r="X10"/>
  <c r="V10"/>
  <c r="U10"/>
  <c r="S10"/>
  <c r="Q10"/>
  <c r="O10"/>
  <c r="N10"/>
  <c r="L10"/>
  <c r="K10"/>
  <c r="I10"/>
  <c r="H10"/>
  <c r="F10"/>
  <c r="E10"/>
  <c r="C10"/>
  <c r="AM9"/>
  <c r="AK9"/>
  <c r="AJ9"/>
  <c r="AH9"/>
  <c r="AG9"/>
  <c r="AE9"/>
  <c r="AD9"/>
  <c r="AB9"/>
  <c r="AA9"/>
  <c r="Y9"/>
  <c r="X9"/>
  <c r="V9"/>
  <c r="U9"/>
  <c r="S9"/>
  <c r="Q9"/>
  <c r="O9"/>
  <c r="N9"/>
  <c r="L9"/>
  <c r="K9"/>
  <c r="I9"/>
  <c r="H9"/>
  <c r="F9"/>
  <c r="E9"/>
  <c r="C9"/>
  <c r="AM8"/>
  <c r="AK8"/>
  <c r="AJ8"/>
  <c r="AH8"/>
  <c r="AG8"/>
  <c r="AE8"/>
  <c r="AD8"/>
  <c r="AB8"/>
  <c r="AA8"/>
  <c r="Y8"/>
  <c r="X8"/>
  <c r="V8"/>
  <c r="U8"/>
  <c r="S8"/>
  <c r="Q8"/>
  <c r="O8"/>
  <c r="N8"/>
  <c r="L8"/>
  <c r="K8"/>
  <c r="I8"/>
  <c r="H8"/>
  <c r="F8"/>
  <c r="E8"/>
  <c r="C8"/>
  <c r="AM7"/>
  <c r="AK7"/>
  <c r="AJ7"/>
  <c r="AH7"/>
  <c r="AG7"/>
  <c r="AE7"/>
  <c r="AD7"/>
  <c r="AB7"/>
  <c r="AA7"/>
  <c r="Y7"/>
  <c r="X7"/>
  <c r="V7"/>
  <c r="U7"/>
  <c r="S7"/>
  <c r="Q7"/>
  <c r="O7"/>
  <c r="N7"/>
  <c r="L7"/>
  <c r="K7"/>
  <c r="I7"/>
  <c r="H7"/>
  <c r="F7"/>
  <c r="E7"/>
  <c r="C7"/>
  <c r="AM6"/>
  <c r="AK6"/>
  <c r="AJ6"/>
  <c r="AH6"/>
  <c r="AG6"/>
  <c r="AE6"/>
  <c r="AD6"/>
  <c r="AB6"/>
  <c r="AA6"/>
  <c r="Y6"/>
  <c r="X6"/>
  <c r="V6"/>
  <c r="U6"/>
  <c r="S6"/>
  <c r="Q6"/>
  <c r="O6"/>
  <c r="N6"/>
  <c r="L6"/>
  <c r="K6"/>
  <c r="I6"/>
  <c r="H6"/>
  <c r="F6"/>
  <c r="E6"/>
  <c r="C6"/>
  <c r="AK5"/>
  <c r="AH5"/>
  <c r="AE5"/>
  <c r="AB5"/>
  <c r="Y5"/>
  <c r="V5"/>
  <c r="U5"/>
  <c r="S5"/>
  <c r="Q5"/>
  <c r="O5"/>
  <c r="N5"/>
  <c r="L5"/>
  <c r="K5"/>
  <c r="I5"/>
  <c r="H5"/>
  <c r="F5"/>
  <c r="E5"/>
  <c r="C5"/>
  <c r="AJ50" i="1"/>
  <c r="AR49"/>
  <c r="B48"/>
  <c r="AQ47"/>
  <c r="R47"/>
  <c r="AQ46"/>
  <c r="AD46"/>
  <c r="AC46"/>
  <c r="AH45"/>
  <c r="AG45"/>
  <c r="AG47" s="1"/>
  <c r="AF45"/>
  <c r="AF47" s="1"/>
  <c r="AE45"/>
  <c r="AD45"/>
  <c r="AC45"/>
  <c r="AB45"/>
  <c r="AB47" s="1"/>
  <c r="AA45"/>
  <c r="AA47" s="1"/>
  <c r="Z45"/>
  <c r="Z47" s="1"/>
  <c r="Y45"/>
  <c r="Y47" s="1"/>
  <c r="X45"/>
  <c r="X47" s="1"/>
  <c r="W45"/>
  <c r="W47" s="1"/>
  <c r="V45"/>
  <c r="R45"/>
  <c r="Q45"/>
  <c r="P45"/>
  <c r="O45"/>
  <c r="N45"/>
  <c r="M45"/>
  <c r="L45"/>
  <c r="K45"/>
  <c r="J45"/>
  <c r="I45"/>
  <c r="H45"/>
  <c r="G45"/>
  <c r="F45"/>
  <c r="E45"/>
  <c r="D45"/>
  <c r="AJ44"/>
  <c r="AR44" s="1"/>
  <c r="AS44" s="1"/>
  <c r="AR43"/>
  <c r="AS43" s="1"/>
  <c r="AJ43"/>
  <c r="T43"/>
  <c r="AJ42"/>
  <c r="AR42" s="1"/>
  <c r="AS42" s="1"/>
  <c r="T42"/>
  <c r="AJ41"/>
  <c r="AR41" s="1"/>
  <c r="AS41" s="1"/>
  <c r="T41"/>
  <c r="U41" s="1"/>
  <c r="AJ40"/>
  <c r="C34" i="23" s="1"/>
  <c r="T40" i="1"/>
  <c r="U40" s="1"/>
  <c r="AJ39"/>
  <c r="C33" i="23" s="1"/>
  <c r="T39" i="1"/>
  <c r="D34" i="14"/>
  <c r="N34" s="1"/>
  <c r="R34" s="1"/>
  <c r="AJ38" i="1"/>
  <c r="C32" i="23" s="1"/>
  <c r="T38" i="1"/>
  <c r="D33" i="14"/>
  <c r="N33" s="1"/>
  <c r="AJ37" i="1"/>
  <c r="C31" i="23" s="1"/>
  <c r="T37" i="1"/>
  <c r="AJ36"/>
  <c r="C30" i="23" s="1"/>
  <c r="T36" i="1"/>
  <c r="AJ35"/>
  <c r="T35"/>
  <c r="U35" s="1"/>
  <c r="D30" i="14"/>
  <c r="N30" s="1"/>
  <c r="AJ34" i="1"/>
  <c r="C28" i="23" s="1"/>
  <c r="T34" i="1"/>
  <c r="D29" i="14"/>
  <c r="AU33" i="1"/>
  <c r="AU34" s="1"/>
  <c r="AU35" s="1"/>
  <c r="AU36" s="1"/>
  <c r="AU37" s="1"/>
  <c r="AU38" s="1"/>
  <c r="AU39" s="1"/>
  <c r="AU40" s="1"/>
  <c r="AU41" s="1"/>
  <c r="AJ33"/>
  <c r="C27" i="23" s="1"/>
  <c r="T33" i="1"/>
  <c r="D28" i="14"/>
  <c r="N28" s="1"/>
  <c r="AJ32" i="1"/>
  <c r="C26" i="23" s="1"/>
  <c r="T32" i="1"/>
  <c r="AJ31"/>
  <c r="AR31" s="1"/>
  <c r="AS31" s="1"/>
  <c r="T31"/>
  <c r="AJ30"/>
  <c r="T30"/>
  <c r="D25" i="14"/>
  <c r="N25" s="1"/>
  <c r="AJ29" i="1"/>
  <c r="C23" i="23" s="1"/>
  <c r="T29" i="1"/>
  <c r="D24" i="14"/>
  <c r="N24" s="1"/>
  <c r="R24" s="1"/>
  <c r="AJ28" i="1"/>
  <c r="C22" i="23" s="1"/>
  <c r="T28" i="1"/>
  <c r="AJ27"/>
  <c r="AR27" s="1"/>
  <c r="AS27" s="1"/>
  <c r="T27"/>
  <c r="AJ26"/>
  <c r="T26"/>
  <c r="D21" i="14"/>
  <c r="N21" s="1"/>
  <c r="R21" s="1"/>
  <c r="AJ25" i="1"/>
  <c r="C19" i="23" s="1"/>
  <c r="T25" i="1"/>
  <c r="D20" i="14"/>
  <c r="N20" s="1"/>
  <c r="AJ24" i="1"/>
  <c r="C18" i="23" s="1"/>
  <c r="T24" i="1"/>
  <c r="U24"/>
  <c r="AJ23"/>
  <c r="AR23" s="1"/>
  <c r="AS23" s="1"/>
  <c r="T23"/>
  <c r="AJ22"/>
  <c r="T22"/>
  <c r="D17" i="14"/>
  <c r="N17" s="1"/>
  <c r="R17" s="1"/>
  <c r="AJ21" i="1"/>
  <c r="C15" i="23" s="1"/>
  <c r="T21" i="1"/>
  <c r="D16" i="14"/>
  <c r="N16" s="1"/>
  <c r="AJ20" i="1"/>
  <c r="C14" i="23" s="1"/>
  <c r="T20" i="1"/>
  <c r="U20"/>
  <c r="AJ19"/>
  <c r="AR19" s="1"/>
  <c r="AS19" s="1"/>
  <c r="T19"/>
  <c r="AJ18"/>
  <c r="T18"/>
  <c r="D13" i="14"/>
  <c r="N13" s="1"/>
  <c r="AJ17" i="1"/>
  <c r="C11" i="23" s="1"/>
  <c r="T17" i="1"/>
  <c r="D12" i="14"/>
  <c r="N12" s="1"/>
  <c r="AJ16" i="1"/>
  <c r="C10" i="23" s="1"/>
  <c r="T16" i="1"/>
  <c r="AJ15"/>
  <c r="AR15" s="1"/>
  <c r="AS15" s="1"/>
  <c r="T15"/>
  <c r="AJ14"/>
  <c r="T14"/>
  <c r="D9" i="14"/>
  <c r="N9" s="1"/>
  <c r="AJ13" i="1"/>
  <c r="C7" i="23" s="1"/>
  <c r="T13" i="1"/>
  <c r="D8" i="14"/>
  <c r="N8" s="1"/>
  <c r="AJ12" i="1"/>
  <c r="C6" i="23" s="1"/>
  <c r="T12" i="1"/>
  <c r="U12"/>
  <c r="AJ11"/>
  <c r="AR11" s="1"/>
  <c r="F6" i="14" s="1"/>
  <c r="T11" i="1"/>
  <c r="S11"/>
  <c r="AJ10"/>
  <c r="U10"/>
  <c r="T10"/>
  <c r="S10"/>
  <c r="T9"/>
  <c r="S9"/>
  <c r="AR9" s="1"/>
  <c r="C11"/>
  <c r="Z6" i="12" l="1"/>
  <c r="B5" i="11" s="1"/>
  <c r="B38" s="1"/>
  <c r="B39" s="1"/>
  <c r="C39" s="1"/>
  <c r="K39" i="14"/>
  <c r="L25" i="13"/>
  <c r="L30"/>
  <c r="AI30"/>
  <c r="Q16" i="18"/>
  <c r="R16" s="1"/>
  <c r="Q18"/>
  <c r="R18" s="1"/>
  <c r="I34" i="10"/>
  <c r="Q34" s="1"/>
  <c r="L27" i="18"/>
  <c r="L31"/>
  <c r="I8" i="10"/>
  <c r="Q8" s="1"/>
  <c r="I27"/>
  <c r="Q27" s="1"/>
  <c r="I35"/>
  <c r="Q35" s="1"/>
  <c r="AI9" i="13"/>
  <c r="AJ9" s="1"/>
  <c r="L9"/>
  <c r="AI13"/>
  <c r="AJ13" s="1"/>
  <c r="L13"/>
  <c r="L16"/>
  <c r="L18"/>
  <c r="L29"/>
  <c r="I16" i="11"/>
  <c r="I24"/>
  <c r="I32"/>
  <c r="C39" i="14"/>
  <c r="J37" i="13"/>
  <c r="L37" s="1"/>
  <c r="AI10"/>
  <c r="L10"/>
  <c r="AI14"/>
  <c r="L14"/>
  <c r="AI20"/>
  <c r="L21"/>
  <c r="AI28"/>
  <c r="Q14" i="18"/>
  <c r="R14" s="1"/>
  <c r="L18"/>
  <c r="I8" i="11"/>
  <c r="I12"/>
  <c r="I20" i="10"/>
  <c r="Q20" s="1"/>
  <c r="I25"/>
  <c r="Q25" s="1"/>
  <c r="L26" i="13"/>
  <c r="AI26"/>
  <c r="AI32"/>
  <c r="AJ32" s="1"/>
  <c r="L33"/>
  <c r="AI33"/>
  <c r="AI36"/>
  <c r="Q4" i="18"/>
  <c r="R4" s="1"/>
  <c r="Q7"/>
  <c r="R7" s="1"/>
  <c r="Q9"/>
  <c r="L11"/>
  <c r="L14"/>
  <c r="L24"/>
  <c r="I13" i="11"/>
  <c r="I22" i="10"/>
  <c r="Q22" s="1"/>
  <c r="L4" i="18"/>
  <c r="Q22"/>
  <c r="R22" s="1"/>
  <c r="I15" i="11"/>
  <c r="I19"/>
  <c r="I23"/>
  <c r="I27"/>
  <c r="I31"/>
  <c r="I35"/>
  <c r="I15" i="10"/>
  <c r="Q15" s="1"/>
  <c r="I19"/>
  <c r="Q19" s="1"/>
  <c r="U11" i="1"/>
  <c r="U15"/>
  <c r="U19"/>
  <c r="U23"/>
  <c r="U27"/>
  <c r="U31"/>
  <c r="U36"/>
  <c r="AR14"/>
  <c r="AS14" s="1"/>
  <c r="U16"/>
  <c r="AR18"/>
  <c r="AS18" s="1"/>
  <c r="AR22"/>
  <c r="AS22" s="1"/>
  <c r="AR26"/>
  <c r="AS26" s="1"/>
  <c r="U28"/>
  <c r="AR30"/>
  <c r="AS30" s="1"/>
  <c r="U32"/>
  <c r="AR35"/>
  <c r="F30" i="14" s="1"/>
  <c r="U37" i="1"/>
  <c r="AJ49"/>
  <c r="K61" i="3"/>
  <c r="K48"/>
  <c r="K52"/>
  <c r="K56"/>
  <c r="R25" i="18"/>
  <c r="L23" i="25"/>
  <c r="AI7" i="13"/>
  <c r="AJ8" s="1"/>
  <c r="L7"/>
  <c r="AI11"/>
  <c r="AJ12" s="1"/>
  <c r="L11"/>
  <c r="L15"/>
  <c r="AI17"/>
  <c r="AJ18" s="1"/>
  <c r="AI21"/>
  <c r="L22"/>
  <c r="AI24"/>
  <c r="L27"/>
  <c r="L31"/>
  <c r="AI35"/>
  <c r="L36"/>
  <c r="W42" i="18"/>
  <c r="AC4"/>
  <c r="L7"/>
  <c r="Q11"/>
  <c r="L16"/>
  <c r="Q20"/>
  <c r="L22"/>
  <c r="I7" i="11"/>
  <c r="I11"/>
  <c r="I20"/>
  <c r="I28"/>
  <c r="I18" i="10"/>
  <c r="Q18" s="1"/>
  <c r="I21"/>
  <c r="Q21" s="1"/>
  <c r="I32"/>
  <c r="Q32" s="1"/>
  <c r="L16" i="25"/>
  <c r="AA8" i="18"/>
  <c r="L12" i="13"/>
  <c r="L20"/>
  <c r="AI25"/>
  <c r="AI27"/>
  <c r="AJ27" s="1"/>
  <c r="AI29"/>
  <c r="AJ30" s="1"/>
  <c r="AI31"/>
  <c r="AI34"/>
  <c r="L35"/>
  <c r="L20" i="18"/>
  <c r="Q24"/>
  <c r="Q31"/>
  <c r="I17" i="11"/>
  <c r="I25"/>
  <c r="I29"/>
  <c r="I33"/>
  <c r="J10" i="15"/>
  <c r="I9" i="10"/>
  <c r="Q9" s="1"/>
  <c r="I11"/>
  <c r="Q11" s="1"/>
  <c r="I28"/>
  <c r="Q28" s="1"/>
  <c r="I30"/>
  <c r="Q30" s="1"/>
  <c r="I33"/>
  <c r="Q33" s="1"/>
  <c r="P40"/>
  <c r="L25" i="25"/>
  <c r="L5"/>
  <c r="AA21" i="18"/>
  <c r="AA17"/>
  <c r="Q29"/>
  <c r="L27" i="25" s="1"/>
  <c r="AI15" i="13"/>
  <c r="AI16"/>
  <c r="AJ17" s="1"/>
  <c r="L17"/>
  <c r="AI19"/>
  <c r="AI22"/>
  <c r="AI23"/>
  <c r="L24"/>
  <c r="L34"/>
  <c r="Q33" i="18"/>
  <c r="I5" i="11"/>
  <c r="I9"/>
  <c r="I18"/>
  <c r="I22"/>
  <c r="I26"/>
  <c r="I30"/>
  <c r="I34"/>
  <c r="I7" i="10"/>
  <c r="Q7" s="1"/>
  <c r="R7" s="1"/>
  <c r="I26"/>
  <c r="Q26" s="1"/>
  <c r="L14" i="25"/>
  <c r="AA34" i="18"/>
  <c r="AA30"/>
  <c r="AA26"/>
  <c r="AA10"/>
  <c r="AA6"/>
  <c r="U38" i="3"/>
  <c r="K38"/>
  <c r="H38"/>
  <c r="E38"/>
  <c r="R38" s="1"/>
  <c r="K69"/>
  <c r="K46"/>
  <c r="K50"/>
  <c r="K54"/>
  <c r="K58"/>
  <c r="K63"/>
  <c r="K67"/>
  <c r="K71"/>
  <c r="K49"/>
  <c r="K53"/>
  <c r="K57"/>
  <c r="K62"/>
  <c r="K66"/>
  <c r="K70"/>
  <c r="K47"/>
  <c r="K51"/>
  <c r="K55"/>
  <c r="K59"/>
  <c r="K64"/>
  <c r="K68"/>
  <c r="K72"/>
  <c r="M30" i="14"/>
  <c r="G26" i="26" s="1"/>
  <c r="M22" i="14"/>
  <c r="G18" i="26" s="1"/>
  <c r="M14" i="14"/>
  <c r="G10" i="26" s="1"/>
  <c r="M19" i="14"/>
  <c r="G15" i="26" s="1"/>
  <c r="M33" i="14"/>
  <c r="G29" i="26" s="1"/>
  <c r="M25" i="14"/>
  <c r="G21" i="26" s="1"/>
  <c r="M17" i="14"/>
  <c r="G13" i="26" s="1"/>
  <c r="M9" i="14"/>
  <c r="G5" i="26" s="1"/>
  <c r="M6" i="14"/>
  <c r="C5" i="23"/>
  <c r="C29"/>
  <c r="C25"/>
  <c r="C21"/>
  <c r="C17"/>
  <c r="C13"/>
  <c r="C9"/>
  <c r="E31" i="14"/>
  <c r="O31" s="1"/>
  <c r="E27"/>
  <c r="O27" s="1"/>
  <c r="E23"/>
  <c r="O23" s="1"/>
  <c r="E19"/>
  <c r="O19" s="1"/>
  <c r="E15"/>
  <c r="O15" s="1"/>
  <c r="E11"/>
  <c r="O11" s="1"/>
  <c r="E7"/>
  <c r="E6"/>
  <c r="O6" s="1"/>
  <c r="E32"/>
  <c r="O32" s="1"/>
  <c r="E28"/>
  <c r="O28" s="1"/>
  <c r="E24"/>
  <c r="O24" s="1"/>
  <c r="E20"/>
  <c r="O20" s="1"/>
  <c r="E16"/>
  <c r="O16" s="1"/>
  <c r="E12"/>
  <c r="O12" s="1"/>
  <c r="E8"/>
  <c r="O8" s="1"/>
  <c r="E33"/>
  <c r="O33" s="1"/>
  <c r="E29"/>
  <c r="O29" s="1"/>
  <c r="E25"/>
  <c r="O25" s="1"/>
  <c r="E21"/>
  <c r="O21" s="1"/>
  <c r="E17"/>
  <c r="O17" s="1"/>
  <c r="E13"/>
  <c r="O13" s="1"/>
  <c r="E9"/>
  <c r="O9" s="1"/>
  <c r="C24" i="23"/>
  <c r="C20"/>
  <c r="C16"/>
  <c r="C12"/>
  <c r="C8"/>
  <c r="E34" i="14"/>
  <c r="E30"/>
  <c r="O30" s="1"/>
  <c r="E26"/>
  <c r="O26" s="1"/>
  <c r="E22"/>
  <c r="O22" s="1"/>
  <c r="E18"/>
  <c r="O18" s="1"/>
  <c r="E14"/>
  <c r="O14" s="1"/>
  <c r="E10"/>
  <c r="O10" s="1"/>
  <c r="F26"/>
  <c r="F22"/>
  <c r="F18"/>
  <c r="F14"/>
  <c r="F10"/>
  <c r="U21" i="1"/>
  <c r="U25"/>
  <c r="U29"/>
  <c r="U33"/>
  <c r="U17"/>
  <c r="AR12"/>
  <c r="U14"/>
  <c r="AR16"/>
  <c r="U18"/>
  <c r="AR20"/>
  <c r="U22"/>
  <c r="AR24"/>
  <c r="U26"/>
  <c r="AR28"/>
  <c r="U30"/>
  <c r="AR32"/>
  <c r="AR37"/>
  <c r="D6" i="14"/>
  <c r="D31"/>
  <c r="N31" s="1"/>
  <c r="R31" s="1"/>
  <c r="D26"/>
  <c r="N26" s="1"/>
  <c r="R26" s="1"/>
  <c r="D22"/>
  <c r="N22" s="1"/>
  <c r="R22" s="1"/>
  <c r="D18"/>
  <c r="N18" s="1"/>
  <c r="D14"/>
  <c r="N14" s="1"/>
  <c r="D10"/>
  <c r="N10" s="1"/>
  <c r="U13" i="1"/>
  <c r="AR13"/>
  <c r="AR17"/>
  <c r="AR21"/>
  <c r="AR25"/>
  <c r="AR29"/>
  <c r="AR33"/>
  <c r="D32" i="14"/>
  <c r="N32" s="1"/>
  <c r="D27"/>
  <c r="N27" s="1"/>
  <c r="R27" s="1"/>
  <c r="D23"/>
  <c r="N23" s="1"/>
  <c r="R23" s="1"/>
  <c r="D19"/>
  <c r="N19" s="1"/>
  <c r="D15"/>
  <c r="N15" s="1"/>
  <c r="R15" s="1"/>
  <c r="D11"/>
  <c r="N11" s="1"/>
  <c r="R11" s="1"/>
  <c r="D7"/>
  <c r="F17"/>
  <c r="F9"/>
  <c r="I5" i="23"/>
  <c r="L25" i="18"/>
  <c r="L29"/>
  <c r="L33"/>
  <c r="G31" i="23"/>
  <c r="E36" i="14"/>
  <c r="O36" s="1"/>
  <c r="C35" i="23"/>
  <c r="K76" i="3"/>
  <c r="M35" i="14"/>
  <c r="R36"/>
  <c r="Z37" i="12"/>
  <c r="E35" i="14"/>
  <c r="F36"/>
  <c r="F37"/>
  <c r="D35"/>
  <c r="N35" s="1"/>
  <c r="R35" s="1"/>
  <c r="N29"/>
  <c r="R29" s="1"/>
  <c r="AR34" i="1"/>
  <c r="F29" i="14" s="1"/>
  <c r="U34" i="1"/>
  <c r="K75" i="3"/>
  <c r="Z36" i="12"/>
  <c r="AR39" i="1"/>
  <c r="U39"/>
  <c r="K74" i="3"/>
  <c r="G33" i="23"/>
  <c r="G32"/>
  <c r="Z35" i="12"/>
  <c r="Z34"/>
  <c r="T45" i="1"/>
  <c r="U38"/>
  <c r="AR38"/>
  <c r="S45"/>
  <c r="T47" s="1"/>
  <c r="T48" s="1"/>
  <c r="R30" i="14"/>
  <c r="S32"/>
  <c r="R33"/>
  <c r="S8"/>
  <c r="R9"/>
  <c r="R10"/>
  <c r="S12"/>
  <c r="R13"/>
  <c r="R14"/>
  <c r="S16"/>
  <c r="R18"/>
  <c r="S20"/>
  <c r="R25"/>
  <c r="S28"/>
  <c r="O7"/>
  <c r="R32"/>
  <c r="S33"/>
  <c r="R6"/>
  <c r="S7"/>
  <c r="S39" s="1"/>
  <c r="R8"/>
  <c r="S9"/>
  <c r="R12"/>
  <c r="S13"/>
  <c r="S14"/>
  <c r="R16"/>
  <c r="S17"/>
  <c r="S18"/>
  <c r="R19"/>
  <c r="R20"/>
  <c r="S21"/>
  <c r="S25"/>
  <c r="S26"/>
  <c r="R28"/>
  <c r="S34"/>
  <c r="V5" i="10"/>
  <c r="W5" s="1"/>
  <c r="R5"/>
  <c r="S5"/>
  <c r="X8"/>
  <c r="T7"/>
  <c r="U7"/>
  <c r="V6"/>
  <c r="W6" s="1"/>
  <c r="R6"/>
  <c r="S6"/>
  <c r="Z6" s="1"/>
  <c r="S8"/>
  <c r="Z8" s="1"/>
  <c r="G42" i="15"/>
  <c r="R5" i="18"/>
  <c r="X36"/>
  <c r="X42"/>
  <c r="D38"/>
  <c r="L8"/>
  <c r="Q8"/>
  <c r="L12"/>
  <c r="Q12"/>
  <c r="L13"/>
  <c r="Q13"/>
  <c r="L17"/>
  <c r="Q17"/>
  <c r="L21"/>
  <c r="Q21"/>
  <c r="L26"/>
  <c r="Q26"/>
  <c r="L30"/>
  <c r="Q30"/>
  <c r="L28" i="25" s="1"/>
  <c r="L34" i="18"/>
  <c r="Q34"/>
  <c r="L32" i="25" s="1"/>
  <c r="AC5" i="18"/>
  <c r="L6"/>
  <c r="Q6"/>
  <c r="L10"/>
  <c r="Q10"/>
  <c r="L15"/>
  <c r="Q15"/>
  <c r="L19"/>
  <c r="Q19"/>
  <c r="L23"/>
  <c r="Q23"/>
  <c r="L28"/>
  <c r="Q28"/>
  <c r="L26" i="25" s="1"/>
  <c r="L32" i="18"/>
  <c r="Q32"/>
  <c r="L30" i="25" s="1"/>
  <c r="AJ28" i="13"/>
  <c r="AJ11"/>
  <c r="E7"/>
  <c r="G7" s="1"/>
  <c r="F6"/>
  <c r="L6"/>
  <c r="G6" s="1"/>
  <c r="AI6"/>
  <c r="N7" i="14"/>
  <c r="O34"/>
  <c r="AS11" i="1"/>
  <c r="AT11"/>
  <c r="C12"/>
  <c r="H7" i="13" s="1"/>
  <c r="AS35" i="1"/>
  <c r="AR36"/>
  <c r="AR40"/>
  <c r="AR10"/>
  <c r="AJ45"/>
  <c r="R31" i="18" l="1"/>
  <c r="L29" i="25"/>
  <c r="R33" i="18"/>
  <c r="L31" i="25"/>
  <c r="F13" i="14"/>
  <c r="F25"/>
  <c r="AJ20" i="13"/>
  <c r="AJ31"/>
  <c r="AJ14"/>
  <c r="AJ24"/>
  <c r="L12" i="25"/>
  <c r="AJ10" i="13"/>
  <c r="AJ26"/>
  <c r="AJ36"/>
  <c r="AJ23"/>
  <c r="AJ16"/>
  <c r="R9" i="18"/>
  <c r="L7" i="25"/>
  <c r="AJ19" i="13"/>
  <c r="AJ35"/>
  <c r="V7" i="10"/>
  <c r="W7" s="1"/>
  <c r="AJ34" i="13"/>
  <c r="S7" i="10"/>
  <c r="Z7" s="1"/>
  <c r="L20" i="25"/>
  <c r="AJ33" i="13"/>
  <c r="AJ22"/>
  <c r="F21" i="14"/>
  <c r="AR48" i="1"/>
  <c r="R29" i="18"/>
  <c r="R19"/>
  <c r="L17" i="25"/>
  <c r="R24" i="18"/>
  <c r="L22" i="25"/>
  <c r="R15" i="18"/>
  <c r="L13" i="25"/>
  <c r="R13" i="18"/>
  <c r="L11" i="25"/>
  <c r="AJ21" i="13"/>
  <c r="AJ15"/>
  <c r="R8" i="18"/>
  <c r="L6" i="25"/>
  <c r="R10" i="18"/>
  <c r="L8" i="25"/>
  <c r="R26" i="18"/>
  <c r="L24" i="25"/>
  <c r="R20" i="18"/>
  <c r="L18" i="25"/>
  <c r="AJ29" i="13"/>
  <c r="AJ25"/>
  <c r="R17" i="18"/>
  <c r="L15" i="25"/>
  <c r="R23" i="18"/>
  <c r="L21" i="25"/>
  <c r="R6" i="18"/>
  <c r="L4" i="25"/>
  <c r="R21" i="18"/>
  <c r="L19" i="25"/>
  <c r="R12" i="18"/>
  <c r="L10" i="25"/>
  <c r="R11" i="18"/>
  <c r="L9" i="25"/>
  <c r="AN38" i="3"/>
  <c r="AS34" i="1"/>
  <c r="AS38"/>
  <c r="F33" i="14"/>
  <c r="AS21" i="1"/>
  <c r="F16" i="14"/>
  <c r="AS32" i="1"/>
  <c r="F27" i="14"/>
  <c r="AS24" i="1"/>
  <c r="F19" i="14"/>
  <c r="AS16" i="1"/>
  <c r="F11" i="14"/>
  <c r="AS25" i="1"/>
  <c r="F20" i="14"/>
  <c r="AS37" i="1"/>
  <c r="F32" i="14"/>
  <c r="AS36" i="1"/>
  <c r="F31" i="14"/>
  <c r="AS29" i="1"/>
  <c r="F24" i="14"/>
  <c r="AS13" i="1"/>
  <c r="F8" i="14"/>
  <c r="AS28" i="1"/>
  <c r="F23" i="14"/>
  <c r="AS20" i="1"/>
  <c r="F15" i="14"/>
  <c r="AS12" i="1"/>
  <c r="F7" i="14"/>
  <c r="AS39" i="1"/>
  <c r="F34" i="14"/>
  <c r="AS33" i="1"/>
  <c r="F28" i="14"/>
  <c r="AS17" i="1"/>
  <c r="F12" i="14"/>
  <c r="R32" i="18"/>
  <c r="R30"/>
  <c r="R28"/>
  <c r="R34"/>
  <c r="L35"/>
  <c r="J38" s="1"/>
  <c r="K38" s="1"/>
  <c r="G31" i="26"/>
  <c r="M39" i="14"/>
  <c r="O35"/>
  <c r="O39" s="1"/>
  <c r="E39"/>
  <c r="D39"/>
  <c r="AS40" i="1"/>
  <c r="F35" i="14"/>
  <c r="U45" i="1"/>
  <c r="T8" i="10"/>
  <c r="U8"/>
  <c r="X9"/>
  <c r="Z5"/>
  <c r="S37"/>
  <c r="S39" s="1"/>
  <c r="R8"/>
  <c r="Q35" i="18"/>
  <c r="AC35"/>
  <c r="AA38" s="1"/>
  <c r="AB38" s="1"/>
  <c r="AJ6" i="13"/>
  <c r="AJ7"/>
  <c r="E8"/>
  <c r="N39" i="14"/>
  <c r="R7"/>
  <c r="R39" s="1"/>
  <c r="AT12" i="1"/>
  <c r="C13"/>
  <c r="H8" i="13" s="1"/>
  <c r="AR45" i="1"/>
  <c r="R35" i="18" l="1"/>
  <c r="L33" i="25"/>
  <c r="F39" i="14"/>
  <c r="AS45" i="1"/>
  <c r="U9" i="10"/>
  <c r="X10"/>
  <c r="T9"/>
  <c r="V9" s="1"/>
  <c r="W9" s="1"/>
  <c r="S9"/>
  <c r="Z9" s="1"/>
  <c r="R9"/>
  <c r="V8"/>
  <c r="W8" s="1"/>
  <c r="E9" i="13"/>
  <c r="G8"/>
  <c r="AJ37"/>
  <c r="AT13" i="1"/>
  <c r="C14"/>
  <c r="H9" i="13" s="1"/>
  <c r="X11" i="10" l="1"/>
  <c r="S10"/>
  <c r="Z10" s="1"/>
  <c r="U10"/>
  <c r="R10"/>
  <c r="T10"/>
  <c r="E10" i="13"/>
  <c r="G9"/>
  <c r="AT14" i="1"/>
  <c r="C15"/>
  <c r="H10" i="13" s="1"/>
  <c r="X12" i="10" l="1"/>
  <c r="T11"/>
  <c r="V11" s="1"/>
  <c r="W11" s="1"/>
  <c r="R11"/>
  <c r="U11"/>
  <c r="S11"/>
  <c r="Z11" s="1"/>
  <c r="V10"/>
  <c r="W10" s="1"/>
  <c r="E11" i="13"/>
  <c r="G10"/>
  <c r="AT15" i="1"/>
  <c r="C16"/>
  <c r="H11" i="13" s="1"/>
  <c r="T12" i="10" l="1"/>
  <c r="U12"/>
  <c r="X13"/>
  <c r="R12"/>
  <c r="S12"/>
  <c r="Z12" s="1"/>
  <c r="E12" i="13"/>
  <c r="G11"/>
  <c r="AT16" i="1"/>
  <c r="C17"/>
  <c r="H12" i="13" s="1"/>
  <c r="U13" i="10" l="1"/>
  <c r="X14"/>
  <c r="T13"/>
  <c r="V13" s="1"/>
  <c r="W13" s="1"/>
  <c r="S13"/>
  <c r="Z13" s="1"/>
  <c r="R13"/>
  <c r="V12"/>
  <c r="W12" s="1"/>
  <c r="E13" i="13"/>
  <c r="G12"/>
  <c r="AT17" i="1"/>
  <c r="C18"/>
  <c r="H13" i="13" s="1"/>
  <c r="X15" i="10" l="1"/>
  <c r="U14"/>
  <c r="T14"/>
  <c r="S14"/>
  <c r="Z14" s="1"/>
  <c r="R14"/>
  <c r="E14" i="13"/>
  <c r="G13"/>
  <c r="AT18" i="1"/>
  <c r="C19"/>
  <c r="H14" i="13" s="1"/>
  <c r="X16" i="10" l="1"/>
  <c r="T15"/>
  <c r="V15" s="1"/>
  <c r="W15" s="1"/>
  <c r="R15"/>
  <c r="U15"/>
  <c r="S15"/>
  <c r="Z15" s="1"/>
  <c r="V14"/>
  <c r="W14" s="1"/>
  <c r="E15" i="13"/>
  <c r="G14"/>
  <c r="AT19" i="1"/>
  <c r="C20"/>
  <c r="H15" i="13" s="1"/>
  <c r="T16" i="10" l="1"/>
  <c r="U16"/>
  <c r="X17"/>
  <c r="S16"/>
  <c r="Z16" s="1"/>
  <c r="R16"/>
  <c r="E16" i="13"/>
  <c r="G15"/>
  <c r="AT20" i="1"/>
  <c r="C21"/>
  <c r="H16" i="13" s="1"/>
  <c r="U17" i="10" l="1"/>
  <c r="X18"/>
  <c r="R17"/>
  <c r="T17"/>
  <c r="V17" s="1"/>
  <c r="W17" s="1"/>
  <c r="S17"/>
  <c r="Z17" s="1"/>
  <c r="V16"/>
  <c r="W16" s="1"/>
  <c r="E17" i="13"/>
  <c r="G16"/>
  <c r="AT21" i="1"/>
  <c r="C22"/>
  <c r="H17" i="13" s="1"/>
  <c r="X19" i="10" l="1"/>
  <c r="T18"/>
  <c r="V18" s="1"/>
  <c r="W18" s="1"/>
  <c r="S18"/>
  <c r="Z18" s="1"/>
  <c r="U18"/>
  <c r="R18"/>
  <c r="E18" i="13"/>
  <c r="G17"/>
  <c r="AT22" i="1"/>
  <c r="C23"/>
  <c r="H18" i="13" s="1"/>
  <c r="T19" i="10" l="1"/>
  <c r="V19" s="1"/>
  <c r="W19" s="1"/>
  <c r="U19"/>
  <c r="X20"/>
  <c r="S19"/>
  <c r="Z19" s="1"/>
  <c r="R19"/>
  <c r="E19" i="13"/>
  <c r="G18"/>
  <c r="AT23" i="1"/>
  <c r="C24"/>
  <c r="H19" i="13" s="1"/>
  <c r="U20" i="10" l="1"/>
  <c r="X21"/>
  <c r="S20"/>
  <c r="Z20" s="1"/>
  <c r="R20"/>
  <c r="T20"/>
  <c r="V20" s="1"/>
  <c r="W20" s="1"/>
  <c r="E20" i="13"/>
  <c r="G19"/>
  <c r="AT24" i="1"/>
  <c r="C25"/>
  <c r="H20" i="13" s="1"/>
  <c r="X22" i="10" l="1"/>
  <c r="T21"/>
  <c r="R21"/>
  <c r="U21"/>
  <c r="S21"/>
  <c r="Z21" s="1"/>
  <c r="E21" i="13"/>
  <c r="G20"/>
  <c r="AT25" i="1"/>
  <c r="C26"/>
  <c r="H21" i="13" s="1"/>
  <c r="X23" i="10" l="1"/>
  <c r="T22"/>
  <c r="S22"/>
  <c r="Z22" s="1"/>
  <c r="R22"/>
  <c r="U22"/>
  <c r="V21"/>
  <c r="W21" s="1"/>
  <c r="E22" i="13"/>
  <c r="G21"/>
  <c r="AT26" i="1"/>
  <c r="C27"/>
  <c r="H22" i="13" s="1"/>
  <c r="T23" i="10" l="1"/>
  <c r="V23" s="1"/>
  <c r="W23" s="1"/>
  <c r="U23"/>
  <c r="X24"/>
  <c r="R23"/>
  <c r="S23"/>
  <c r="Z23" s="1"/>
  <c r="V22"/>
  <c r="W22" s="1"/>
  <c r="E23" i="13"/>
  <c r="G22"/>
  <c r="AT27" i="1"/>
  <c r="C28"/>
  <c r="H23" i="13" s="1"/>
  <c r="U24" i="10" l="1"/>
  <c r="X25"/>
  <c r="S24"/>
  <c r="Z24" s="1"/>
  <c r="R24"/>
  <c r="T24"/>
  <c r="V24" s="1"/>
  <c r="W24" s="1"/>
  <c r="E24" i="13"/>
  <c r="G23"/>
  <c r="AT28" i="1"/>
  <c r="C29"/>
  <c r="H24" i="13" s="1"/>
  <c r="X26" i="10" l="1"/>
  <c r="U25"/>
  <c r="T25"/>
  <c r="S25"/>
  <c r="Z25" s="1"/>
  <c r="R25"/>
  <c r="E25" i="13"/>
  <c r="G24"/>
  <c r="AT29" i="1"/>
  <c r="C30"/>
  <c r="H25" i="13" s="1"/>
  <c r="X27" i="10" l="1"/>
  <c r="T26"/>
  <c r="V26" s="1"/>
  <c r="W26" s="1"/>
  <c r="S26"/>
  <c r="Z26" s="1"/>
  <c r="U26"/>
  <c r="R26"/>
  <c r="V25"/>
  <c r="W25" s="1"/>
  <c r="E26" i="13"/>
  <c r="G25"/>
  <c r="AT30" i="1"/>
  <c r="C31"/>
  <c r="H26" i="13" s="1"/>
  <c r="T27" i="10" l="1"/>
  <c r="U27"/>
  <c r="X28"/>
  <c r="S27"/>
  <c r="Z27" s="1"/>
  <c r="R27"/>
  <c r="E27" i="13"/>
  <c r="G26"/>
  <c r="AT31" i="1"/>
  <c r="C32"/>
  <c r="H27" i="13" s="1"/>
  <c r="U28" i="10" l="1"/>
  <c r="X29"/>
  <c r="R28"/>
  <c r="T28"/>
  <c r="V28" s="1"/>
  <c r="W28" s="1"/>
  <c r="S28"/>
  <c r="Z28" s="1"/>
  <c r="V27"/>
  <c r="W27" s="1"/>
  <c r="E28" i="13"/>
  <c r="G27"/>
  <c r="AT32" i="1"/>
  <c r="C33"/>
  <c r="H28" i="13" s="1"/>
  <c r="X30" i="10" l="1"/>
  <c r="U29"/>
  <c r="S29"/>
  <c r="Z29" s="1"/>
  <c r="T29"/>
  <c r="R29"/>
  <c r="E29" i="13"/>
  <c r="G28"/>
  <c r="AT33" i="1"/>
  <c r="C34"/>
  <c r="H29" i="13" s="1"/>
  <c r="X31" i="10" l="1"/>
  <c r="T30"/>
  <c r="V30" s="1"/>
  <c r="W30" s="1"/>
  <c r="R30"/>
  <c r="U30"/>
  <c r="S30"/>
  <c r="Z30" s="1"/>
  <c r="V29"/>
  <c r="W29" s="1"/>
  <c r="E30" i="13"/>
  <c r="G29"/>
  <c r="C35" i="1"/>
  <c r="H30" i="13" s="1"/>
  <c r="AT34" i="1"/>
  <c r="T31" i="10" l="1"/>
  <c r="U31"/>
  <c r="X32"/>
  <c r="S31"/>
  <c r="Z31" s="1"/>
  <c r="R31"/>
  <c r="E31" i="13"/>
  <c r="G30"/>
  <c r="C36" i="1"/>
  <c r="H31" i="13" s="1"/>
  <c r="AT35" i="1"/>
  <c r="U32" i="10" l="1"/>
  <c r="X33"/>
  <c r="R32"/>
  <c r="S32"/>
  <c r="Z32" s="1"/>
  <c r="T32"/>
  <c r="V32" s="1"/>
  <c r="W32" s="1"/>
  <c r="V31"/>
  <c r="W31" s="1"/>
  <c r="E32" i="13"/>
  <c r="G31"/>
  <c r="AT36" i="1"/>
  <c r="C37"/>
  <c r="H32" i="13" s="1"/>
  <c r="T33" i="10" l="1"/>
  <c r="X34"/>
  <c r="S33"/>
  <c r="Z33" s="1"/>
  <c r="R33"/>
  <c r="U33"/>
  <c r="E33" i="13"/>
  <c r="G32"/>
  <c r="AT37" i="1"/>
  <c r="C38"/>
  <c r="H33" i="13" s="1"/>
  <c r="U34" i="10" l="1"/>
  <c r="X35"/>
  <c r="R34"/>
  <c r="T34"/>
  <c r="V34" s="1"/>
  <c r="W34" s="1"/>
  <c r="S34"/>
  <c r="Z34" s="1"/>
  <c r="V33"/>
  <c r="W33" s="1"/>
  <c r="E34" i="13"/>
  <c r="G33"/>
  <c r="C39" i="1"/>
  <c r="H34" i="13" s="1"/>
  <c r="AT38" i="1"/>
  <c r="T35" i="10" l="1"/>
  <c r="U35"/>
  <c r="R35"/>
  <c r="S35"/>
  <c r="Z35" s="1"/>
  <c r="E35" i="13"/>
  <c r="G34"/>
  <c r="C40" i="1"/>
  <c r="H35" i="13" s="1"/>
  <c r="AT39" i="1"/>
  <c r="V35" i="10" l="1"/>
  <c r="W35" s="1"/>
  <c r="E36" i="13"/>
  <c r="G35"/>
  <c r="AT40" i="1"/>
  <c r="C41"/>
  <c r="H36" i="13" s="1"/>
  <c r="G36" l="1"/>
  <c r="AT41" i="1"/>
  <c r="C42"/>
  <c r="E36" i="23" s="1"/>
  <c r="AT42" i="1" l="1"/>
  <c r="C43"/>
  <c r="AT43" s="1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N10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C4" i="24"/>
  <c r="K3" i="26" s="1"/>
  <c r="C5" i="24"/>
  <c r="K4" i="26" s="1"/>
  <c r="C6" i="24"/>
  <c r="K5" i="26" s="1"/>
  <c r="C7" i="24"/>
  <c r="K6" i="26" s="1"/>
  <c r="C8" i="24"/>
  <c r="K7" i="26" s="1"/>
  <c r="C9" i="24"/>
  <c r="K8" i="26" s="1"/>
  <c r="C10" i="24"/>
  <c r="K9" i="26" s="1"/>
  <c r="C11" i="24"/>
  <c r="K10" i="26" s="1"/>
  <c r="C12" i="24"/>
  <c r="K11" i="26" s="1"/>
  <c r="C13" i="24"/>
  <c r="K12" i="26" s="1"/>
  <c r="C14" i="24"/>
  <c r="K13" i="26" s="1"/>
  <c r="C15" i="24"/>
  <c r="K14" i="26" s="1"/>
  <c r="C16" i="24"/>
  <c r="K15" i="26" s="1"/>
  <c r="C17" i="24"/>
  <c r="K16" i="26" s="1"/>
  <c r="C18" i="24"/>
  <c r="K17" i="26" s="1"/>
  <c r="C19" i="24"/>
  <c r="K18" i="26" s="1"/>
  <c r="C20" i="24"/>
  <c r="K19" i="26" s="1"/>
  <c r="C21" i="24"/>
  <c r="K20" i="26" s="1"/>
  <c r="C22" i="24"/>
  <c r="K21" i="26" s="1"/>
  <c r="C23" i="24"/>
  <c r="K22" i="26" s="1"/>
  <c r="C24" i="24"/>
  <c r="K23" i="26" s="1"/>
  <c r="C25" i="24"/>
  <c r="K24" i="26" s="1"/>
  <c r="C26" i="24"/>
  <c r="K25" i="26" s="1"/>
  <c r="C27" i="24"/>
  <c r="K26" i="26" s="1"/>
  <c r="C28" i="24"/>
  <c r="K27" i="26" s="1"/>
  <c r="C29" i="24"/>
  <c r="K28" i="26" s="1"/>
  <c r="C30" i="24"/>
  <c r="K29" i="26" s="1"/>
  <c r="C31" i="24"/>
  <c r="K30" i="26" s="1"/>
  <c r="C32" i="24"/>
  <c r="K31" i="26" s="1"/>
  <c r="C3" i="24"/>
  <c r="K2" i="26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D6" i="23"/>
  <c r="D7"/>
  <c r="E6" i="24"/>
  <c r="E7"/>
  <c r="D10" i="23"/>
  <c r="D11"/>
  <c r="E11" i="24"/>
  <c r="D14" i="23"/>
  <c r="D15"/>
  <c r="E14" i="24"/>
  <c r="E15"/>
  <c r="D18" i="23"/>
  <c r="D19"/>
  <c r="E18" i="24"/>
  <c r="E19"/>
  <c r="D22" i="23"/>
  <c r="D23"/>
  <c r="D25"/>
  <c r="D26"/>
  <c r="D27"/>
  <c r="E27" i="24"/>
  <c r="E29"/>
  <c r="E31"/>
  <c r="D34" i="23"/>
  <c r="D35"/>
  <c r="D30"/>
  <c r="D21"/>
  <c r="D8"/>
  <c r="D9"/>
  <c r="D17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D20"/>
  <c r="H11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D31" i="23"/>
  <c r="E30" i="24"/>
  <c r="D32" i="23"/>
  <c r="E26" i="24"/>
  <c r="D28" i="23"/>
  <c r="D24"/>
  <c r="E22" i="24"/>
  <c r="E10"/>
  <c r="D12" i="23"/>
  <c r="E21" i="24"/>
  <c r="E13"/>
  <c r="E5"/>
  <c r="H9"/>
  <c r="K8" i="25" s="1"/>
  <c r="D16" i="23"/>
  <c r="D33"/>
  <c r="D13"/>
  <c r="D29"/>
  <c r="E23" i="24"/>
  <c r="F4" i="25" l="1"/>
  <c r="F9"/>
  <c r="F25"/>
  <c r="F22"/>
  <c r="F20"/>
  <c r="F29"/>
  <c r="F12"/>
  <c r="F21"/>
  <c r="I3" i="24"/>
  <c r="E2" i="25" s="1"/>
  <c r="G22" i="23" l="1"/>
  <c r="G34"/>
  <c r="G35"/>
  <c r="G5"/>
  <c r="F31" l="1"/>
  <c r="G29" i="24"/>
  <c r="I28" i="26" s="1"/>
  <c r="F19" i="23"/>
  <c r="G17" i="24"/>
  <c r="I16" i="26" s="1"/>
  <c r="G5" i="24"/>
  <c r="I4" i="26" s="1"/>
  <c r="F7" i="23"/>
  <c r="G32" i="24"/>
  <c r="I31" i="26" s="1"/>
  <c r="F34" i="23"/>
  <c r="G28" i="24"/>
  <c r="I27" i="26" s="1"/>
  <c r="F30" i="23"/>
  <c r="F26"/>
  <c r="G24" i="24"/>
  <c r="I23" i="26" s="1"/>
  <c r="F22" i="23"/>
  <c r="G20" i="24"/>
  <c r="I19" i="26" s="1"/>
  <c r="G16" i="24"/>
  <c r="I15" i="26" s="1"/>
  <c r="F18" i="23"/>
  <c r="F14"/>
  <c r="G12" i="24"/>
  <c r="I11" i="26" s="1"/>
  <c r="G8" i="24"/>
  <c r="I7" i="26" s="1"/>
  <c r="F10" i="23"/>
  <c r="F6"/>
  <c r="G4" i="24"/>
  <c r="I3" i="26" s="1"/>
  <c r="G17" i="23"/>
  <c r="F35"/>
  <c r="G33" i="24"/>
  <c r="I32" i="26" s="1"/>
  <c r="F23" i="23"/>
  <c r="G21" i="24"/>
  <c r="I20" i="26" s="1"/>
  <c r="G13" i="24"/>
  <c r="I12" i="26" s="1"/>
  <c r="F15" i="23"/>
  <c r="F5"/>
  <c r="G3" i="24"/>
  <c r="I2" i="26" s="1"/>
  <c r="G31" i="24"/>
  <c r="I30" i="26" s="1"/>
  <c r="F33" i="23"/>
  <c r="F29"/>
  <c r="G27" i="24"/>
  <c r="I26" i="26" s="1"/>
  <c r="F25" i="23"/>
  <c r="G23" i="24"/>
  <c r="I22" i="26" s="1"/>
  <c r="F21" i="23"/>
  <c r="G19" i="24"/>
  <c r="I18" i="26" s="1"/>
  <c r="G15" i="24"/>
  <c r="I14" i="26" s="1"/>
  <c r="F17" i="23"/>
  <c r="G11" i="24"/>
  <c r="I10" i="26" s="1"/>
  <c r="F13" i="23"/>
  <c r="G7" i="24"/>
  <c r="I6" i="26" s="1"/>
  <c r="F9" i="23"/>
  <c r="F27"/>
  <c r="G25" i="24"/>
  <c r="I24" i="26" s="1"/>
  <c r="G9" i="24"/>
  <c r="I8" i="26" s="1"/>
  <c r="F11" i="23"/>
  <c r="F32"/>
  <c r="G30" i="24"/>
  <c r="I29" i="26" s="1"/>
  <c r="F28" i="23"/>
  <c r="G26" i="24"/>
  <c r="I25" i="26" s="1"/>
  <c r="F24" i="23"/>
  <c r="G22" i="24"/>
  <c r="I21" i="26" s="1"/>
  <c r="F20" i="23"/>
  <c r="G18" i="24"/>
  <c r="I17" i="26" s="1"/>
  <c r="G14" i="24"/>
  <c r="I13" i="26" s="1"/>
  <c r="F16" i="23"/>
  <c r="G10" i="24"/>
  <c r="I9" i="26" s="1"/>
  <c r="F12" i="23"/>
  <c r="G6" i="24"/>
  <c r="I5" i="26" s="1"/>
  <c r="F8" i="23"/>
  <c r="G26"/>
  <c r="G25"/>
  <c r="G24"/>
  <c r="G23"/>
  <c r="G21"/>
  <c r="G20"/>
  <c r="G18"/>
  <c r="G19"/>
  <c r="G16"/>
  <c r="G15"/>
  <c r="G14"/>
  <c r="G13"/>
  <c r="G12"/>
  <c r="G11"/>
  <c r="G10"/>
  <c r="G9"/>
  <c r="G8"/>
  <c r="G6"/>
  <c r="G7"/>
  <c r="H22" l="1"/>
  <c r="H20" i="24"/>
  <c r="K19" i="25" s="1"/>
  <c r="H14" i="23"/>
  <c r="H12" i="24"/>
  <c r="K11" i="25" s="1"/>
  <c r="H25" i="23"/>
  <c r="H23" i="24"/>
  <c r="K22" i="25" s="1"/>
  <c r="H17" i="23"/>
  <c r="H15" i="24"/>
  <c r="K14" i="25" s="1"/>
  <c r="H8" i="23"/>
  <c r="H6" i="24"/>
  <c r="K5" i="25" s="1"/>
  <c r="H24" i="23"/>
  <c r="H22" i="24"/>
  <c r="K21" i="25" s="1"/>
  <c r="H20" i="23"/>
  <c r="H18" i="24"/>
  <c r="K17" i="25" s="1"/>
  <c r="H16" i="23"/>
  <c r="H14" i="24"/>
  <c r="K13" i="25" s="1"/>
  <c r="H12" i="23"/>
  <c r="H10" i="24"/>
  <c r="K9" i="25" s="1"/>
  <c r="H7" i="23"/>
  <c r="H5" i="24"/>
  <c r="K4" i="25" s="1"/>
  <c r="E3" i="24"/>
  <c r="D5" i="23"/>
  <c r="H26"/>
  <c r="H24" i="24"/>
  <c r="K23" i="25" s="1"/>
  <c r="H18" i="23"/>
  <c r="H16" i="24"/>
  <c r="K15" i="25" s="1"/>
  <c r="H9" i="23"/>
  <c r="H7" i="24"/>
  <c r="K6" i="25" s="1"/>
  <c r="H21" i="23"/>
  <c r="H19" i="24"/>
  <c r="K18" i="25" s="1"/>
  <c r="H13" i="23"/>
  <c r="H11" i="24"/>
  <c r="K10" i="25" s="1"/>
  <c r="H5" i="23"/>
  <c r="H3" i="24"/>
  <c r="K2" i="25" s="1"/>
  <c r="H23" i="23"/>
  <c r="H21" i="24"/>
  <c r="K20" i="25" s="1"/>
  <c r="H19" i="23"/>
  <c r="H17" i="24"/>
  <c r="K16" i="25" s="1"/>
  <c r="H15" i="23"/>
  <c r="H13" i="24"/>
  <c r="K12" i="25" s="1"/>
  <c r="H10" i="23"/>
  <c r="H8" i="24"/>
  <c r="K7" i="25" s="1"/>
  <c r="H6" i="23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N32" i="25"/>
  <c r="M32"/>
  <c r="G32" l="1"/>
  <c r="E32" i="26"/>
  <c r="F32"/>
  <c r="F2" i="25"/>
  <c r="N26"/>
  <c r="F13" i="24"/>
  <c r="F26"/>
  <c r="H29" i="23"/>
  <c r="H27" i="24"/>
  <c r="K26" i="25" s="1"/>
  <c r="H30" i="23"/>
  <c r="H28" i="24"/>
  <c r="K27" i="25" s="1"/>
  <c r="H31" i="23"/>
  <c r="H29" i="24"/>
  <c r="K28" i="25" s="1"/>
  <c r="H32" i="23"/>
  <c r="H30" i="24"/>
  <c r="K29" i="25" s="1"/>
  <c r="H33" i="23"/>
  <c r="H31" i="24"/>
  <c r="K30" i="25" s="1"/>
  <c r="H34" i="23"/>
  <c r="H32" i="24"/>
  <c r="K31" i="25" s="1"/>
  <c r="H35" i="23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8" i="23"/>
  <c r="H26" i="24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7" i="23"/>
  <c r="H25" i="24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N19"/>
  <c r="N22"/>
  <c r="M24"/>
  <c r="M15"/>
  <c r="M10"/>
  <c r="M21"/>
  <c r="N24"/>
  <c r="M23"/>
  <c r="N29"/>
  <c r="N25"/>
  <c r="N31"/>
  <c r="N27"/>
  <c r="I32" i="24"/>
  <c r="E31" i="25" s="1"/>
  <c r="N20"/>
  <c r="M29"/>
  <c r="M25"/>
  <c r="M22"/>
  <c r="M31"/>
  <c r="M27"/>
  <c r="M8"/>
  <c r="N30"/>
  <c r="N28"/>
  <c r="N23"/>
  <c r="N21"/>
  <c r="M30"/>
  <c r="M28"/>
  <c r="M26"/>
  <c r="M2"/>
  <c r="M20"/>
  <c r="N2"/>
  <c r="N9"/>
  <c r="M12"/>
  <c r="N6"/>
  <c r="M4"/>
  <c r="N4"/>
  <c r="M19"/>
  <c r="M18"/>
  <c r="N17"/>
  <c r="N18"/>
  <c r="M17"/>
  <c r="N16"/>
  <c r="N12"/>
  <c r="N11"/>
  <c r="M11"/>
  <c r="M5"/>
  <c r="N3"/>
  <c r="M9"/>
  <c r="N8"/>
  <c r="N7"/>
  <c r="M7"/>
  <c r="M6"/>
  <c r="N5"/>
  <c r="M3"/>
  <c r="M16"/>
  <c r="N15"/>
  <c r="N14"/>
  <c r="M14"/>
  <c r="N13"/>
  <c r="M13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L2"/>
  <c r="O2" s="1"/>
  <c r="O29"/>
  <c r="O28"/>
  <c r="O21"/>
  <c r="O5"/>
  <c r="G29"/>
  <c r="E29" i="26"/>
  <c r="F29"/>
  <c r="G27" i="25"/>
  <c r="E27" i="26"/>
  <c r="L27" s="1"/>
  <c r="F27"/>
  <c r="G7" i="25"/>
  <c r="E7" i="26"/>
  <c r="F7"/>
  <c r="E4"/>
  <c r="G4" i="25"/>
  <c r="F4" i="26"/>
  <c r="E20"/>
  <c r="L20" s="1"/>
  <c r="G20" i="25"/>
  <c r="F20" i="26"/>
  <c r="G25" i="25"/>
  <c r="E25" i="26"/>
  <c r="L25" s="1"/>
  <c r="F25"/>
  <c r="G22" i="25"/>
  <c r="E22" i="26"/>
  <c r="F22"/>
  <c r="E8"/>
  <c r="G8" i="25"/>
  <c r="F8" i="26"/>
  <c r="G3" i="25"/>
  <c r="E3" i="26"/>
  <c r="F3"/>
  <c r="G21" i="25"/>
  <c r="E21" i="26"/>
  <c r="L21" s="1"/>
  <c r="F21"/>
  <c r="G15" i="25"/>
  <c r="E15" i="26"/>
  <c r="F15"/>
  <c r="G11" i="25"/>
  <c r="E11" i="26"/>
  <c r="F11"/>
  <c r="G17" i="25"/>
  <c r="E17" i="26"/>
  <c r="F17"/>
  <c r="G14" i="25"/>
  <c r="E14" i="26"/>
  <c r="L14" s="1"/>
  <c r="F14"/>
  <c r="E24"/>
  <c r="G24" i="25"/>
  <c r="F24" i="26"/>
  <c r="G30" i="25"/>
  <c r="E30" i="26"/>
  <c r="F30"/>
  <c r="E28"/>
  <c r="L28" s="1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L6" s="1"/>
  <c r="F6"/>
  <c r="E2"/>
  <c r="L2" s="1"/>
  <c r="G2" i="25"/>
  <c r="G19"/>
  <c r="E19" i="26"/>
  <c r="F19"/>
  <c r="G13" i="25"/>
  <c r="E13" i="26"/>
  <c r="L13" s="1"/>
  <c r="F13"/>
  <c r="G10" i="25"/>
  <c r="E10" i="26"/>
  <c r="F10"/>
  <c r="I31" i="24"/>
  <c r="E30" i="25" s="1"/>
  <c r="L31" i="26" l="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E5" i="23" l="1"/>
  <c r="E6" l="1"/>
  <c r="E7" l="1"/>
  <c r="E8" l="1"/>
  <c r="E9" l="1"/>
  <c r="E10" l="1"/>
  <c r="E11" l="1"/>
  <c r="E12" l="1"/>
  <c r="E13" l="1"/>
  <c r="E14" l="1"/>
  <c r="E15" l="1"/>
  <c r="E16" l="1"/>
  <c r="E17" l="1"/>
  <c r="E18" l="1"/>
  <c r="E19" l="1"/>
  <c r="E20" l="1"/>
  <c r="E21" l="1"/>
  <c r="E22" l="1"/>
  <c r="E23" l="1"/>
  <c r="E24" l="1"/>
  <c r="E25" l="1"/>
  <c r="E26" l="1"/>
  <c r="E27" l="1"/>
  <c r="E28" l="1"/>
  <c r="E29" l="1"/>
  <c r="E30" l="1"/>
  <c r="E31" l="1"/>
  <c r="E32" l="1"/>
  <c r="E33" l="1"/>
  <c r="E34" l="1"/>
  <c r="E35" l="1"/>
</calcChain>
</file>

<file path=xl/comments1.xml><?xml version="1.0" encoding="utf-8"?>
<comments xmlns="http://schemas.openxmlformats.org/spreadsheetml/2006/main">
  <authors>
    <author>Josephat.Mnganya</author>
    <author>john.japhet</author>
  </authors>
  <commentList>
    <comment ref="AI25" authorId="0">
      <text>
        <r>
          <rPr>
            <b/>
            <sz val="9"/>
            <color indexed="81"/>
            <rFont val="Tahoma"/>
            <family val="2"/>
          </rPr>
          <t>Josephat.Mnganya:</t>
        </r>
        <r>
          <rPr>
            <sz val="9"/>
            <color indexed="81"/>
            <rFont val="Tahoma"/>
            <family val="2"/>
          </rPr>
          <t xml:space="preserve">
Paid by safari bike </t>
        </r>
      </text>
    </comment>
    <comment ref="AI2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Paid</t>
        </r>
      </text>
    </comment>
    <comment ref="AI27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I31" authorId="1">
      <text>
        <r>
          <rPr>
            <b/>
            <sz val="9"/>
            <color indexed="81"/>
            <rFont val="Tahoma"/>
            <family val="2"/>
          </rPr>
          <t>john.japhet:</t>
        </r>
        <r>
          <rPr>
            <sz val="9"/>
            <color indexed="81"/>
            <rFont val="Tahoma"/>
            <family val="2"/>
          </rPr>
          <t xml:space="preserve">
Feed to incinerator machine</t>
        </r>
      </text>
    </comment>
    <comment ref="AI3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is taken buy rood contractor </t>
        </r>
      </text>
    </comment>
    <comment ref="AI3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rood contractor</t>
        </r>
      </text>
    </comment>
    <comment ref="AI35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buy roodcontrator</t>
        </r>
      </text>
    </comment>
    <comment ref="AI3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Tanapa{Road rapeir}</t>
        </r>
      </text>
    </comment>
    <comment ref="AI37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Tanapa{Road rapeir}</t>
        </r>
      </text>
    </comment>
    <comment ref="AI38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Tanapa{Road rapeir}</t>
        </r>
      </text>
    </comment>
    <comment ref="AI39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greeland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<sst xmlns="http://schemas.openxmlformats.org/spreadsheetml/2006/main" count="620" uniqueCount="362">
  <si>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</si>
  <si>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</si>
  <si>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</si>
  <si>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</si>
  <si>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</si>
  <si>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</si>
  <si>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</si>
  <si>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</si>
  <si>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</si>
  <si>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</si>
  <si>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</si>
  <si>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</si>
  <si>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</si>
  <si>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</si>
  <si>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</si>
  <si>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</si>
  <si>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</si>
  <si>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</si>
  <si>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</si>
  <si>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</si>
  <si>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</si>
  <si>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</si>
  <si>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</si>
  <si>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</si>
  <si>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</si>
  <si>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</si>
  <si>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</si>
  <si>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</si>
  <si>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</si>
  <si>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</si>
  <si>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</si>
  <si>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</si>
  <si>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</si>
  <si>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</si>
  <si>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</si>
  <si>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</si>
  <si>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PRICE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</si>
  <si>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</si>
  <si>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</si>
  <si>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</si>
  <si>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</si>
  <si>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</si>
  <si>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</si>
  <si>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</si>
  <si>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</si>
  <si>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</si>
  <si>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</si>
  <si>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</si>
  <si>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</si>
  <si>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</si>
  <si>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</si>
  <si>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</si>
  <si>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</si>
  <si>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</si>
  <si>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</si>
  <si>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</si>
  <si>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</si>
  <si>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</si>
  <si>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</si>
  <si>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</si>
  <si>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</si>
  <si>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</si>
  <si>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</si>
  <si>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</si>
  <si>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</si>
  <si>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</si>
  <si>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</si>
  <si>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</si>
  <si>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</si>
  <si>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</si>
  <si>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</si>
  <si>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</si>
  <si>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</si>
  <si>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</si>
  <si>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</si>
  <si>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</si>
  <si>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</si>
  <si>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</si>
  <si>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</si>
  <si>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</si>
  <si>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</si>
  <si>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</si>
  <si>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</si>
  <si>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</si>
  <si>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</si>
  <si>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</si>
  <si>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</si>
  <si>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</si>
  <si>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</si>
  <si>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</si>
  <si>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</si>
  <si>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</si>
  <si>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</si>
  <si>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</si>
  <si>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</si>
  <si>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</si>
  <si>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</si>
  <si>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</si>
  <si>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</si>
  <si>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</si>
  <si>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</si>
  <si>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</si>
  <si>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</si>
  <si>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</si>
  <si>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</si>
  <si>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</si>
  <si>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</si>
  <si>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</si>
  <si>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</si>
  <si>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</si>
  <si>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</si>
  <si>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</si>
  <si>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</si>
  <si>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</si>
  <si>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</si>
  <si>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</si>
  <si>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</si>
  <si>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</si>
  <si>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</si>
  <si>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</si>
  <si>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</si>
  <si>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</si>
  <si>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</si>
  <si>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</si>
  <si>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</si>
  <si>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</si>
  <si>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</si>
  <si>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</si>
  <si>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</si>
  <si>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</si>
  <si>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</si>
  <si>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</si>
  <si>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</si>
  <si>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</si>
  <si>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</si>
  <si>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</si>
  <si>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</si>
  <si>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</si>
  <si>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</si>
  <si>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</si>
  <si>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</si>
  <si>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</si>
  <si>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</si>
  <si>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</si>
  <si>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</si>
  <si>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</si>
  <si>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</si>
  <si>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</si>
  <si>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</si>
  <si>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</si>
  <si>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</si>
  <si>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</si>
  <si>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</si>
  <si>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</si>
  <si>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</si>
  <si>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</si>
  <si>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</si>
  <si>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</si>
  <si>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>Electrical</t>
  </si>
  <si>
    <t>Total Exp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</si>
  <si>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</si>
  <si>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</si>
  <si>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</si>
  <si>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</si>
  <si>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</si>
  <si>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</si>
  <si>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</si>
  <si>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</si>
  <si>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</si>
  <si>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</si>
  <si>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</si>
  <si>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</si>
  <si>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</si>
  <si>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</si>
  <si>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</si>
  <si>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</si>
  <si>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</si>
  <si>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</si>
  <si>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</si>
  <si>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</si>
  <si>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</si>
  <si>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</si>
  <si>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</si>
  <si>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</si>
  <si>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</si>
  <si>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</si>
  <si>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</si>
  <si>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</si>
  <si>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</si>
  <si>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</si>
  <si>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</si>
  <si>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</si>
  <si>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</si>
  <si>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</si>
  <si>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</si>
  <si>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</si>
  <si>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</si>
  <si>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</si>
  <si>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</si>
  <si>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</si>
  <si>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</si>
  <si>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</si>
  <si>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</si>
  <si>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</si>
  <si>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</si>
  <si>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</si>
  <si>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</si>
  <si>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</si>
  <si>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</si>
  <si>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</si>
  <si>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</si>
  <si>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</si>
  <si>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</si>
  <si>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</si>
  <si>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</si>
  <si>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</si>
  <si>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</si>
  <si>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</si>
  <si>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</si>
  <si>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</si>
  <si>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</si>
  <si>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</si>
  <si>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</si>
  <si>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</si>
  <si>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</si>
  <si>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</si>
  <si>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</si>
  <si>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</si>
  <si>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</si>
  <si>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</si>
  <si>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</si>
  <si>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</si>
  <si>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</si>
  <si>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</si>
  <si>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</si>
  <si>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</si>
  <si>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</si>
  <si>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</si>
  <si>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</si>
  <si>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</si>
  <si>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</si>
  <si>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</si>
  <si>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</si>
  <si>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</si>
  <si>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</si>
  <si>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</si>
  <si>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</si>
  <si>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</si>
  <si>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</si>
  <si>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 xml:space="preserve">   GREENLAND VEHICLE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</si>
  <si>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</si>
  <si>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</si>
  <si>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</si>
  <si>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</si>
  <si>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</si>
  <si>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</si>
  <si>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</si>
  <si>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</si>
  <si>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</si>
  <si>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</si>
  <si>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</si>
  <si>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UTILITY REPORT AUG 2019</t>
  </si>
  <si>
    <t>HLP REPORT OCT.  2019</t>
  </si>
  <si>
    <t>Generator and Diseal Summry Report 2019</t>
  </si>
  <si>
    <t>T465DJQ</t>
  </si>
  <si>
    <t>Elisha</t>
  </si>
  <si>
    <t>Wendo</t>
  </si>
  <si>
    <t xml:space="preserve">Four Seasons Safari Lodge Serengeti OCT 2019- Water Report </t>
  </si>
  <si>
    <t>Richard</t>
  </si>
  <si>
    <t>T677DND</t>
  </si>
  <si>
    <t>George</t>
  </si>
  <si>
    <t>T853DDN</t>
  </si>
  <si>
    <t>Othuman</t>
  </si>
  <si>
    <t>T380DQR</t>
  </si>
  <si>
    <t>Mushi</t>
  </si>
  <si>
    <t>T132CWQ</t>
  </si>
  <si>
    <t>Baraka</t>
  </si>
  <si>
    <t>T840DDW</t>
  </si>
  <si>
    <t>Dickson</t>
  </si>
  <si>
    <t>T882DKQ</t>
  </si>
  <si>
    <t>Joseph</t>
  </si>
  <si>
    <t>T106CWQ</t>
  </si>
  <si>
    <t>Elly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</si>
  <si>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</si>
  <si>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</si>
  <si>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</si>
  <si>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</si>
  <si>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</si>
  <si>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</si>
  <si>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</si>
  <si>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</si>
  <si>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</si>
  <si>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T489BHF</t>
  </si>
  <si>
    <t>Mudy</t>
  </si>
  <si>
    <t>T111CWQ</t>
  </si>
  <si>
    <t>T469DPE</t>
  </si>
  <si>
    <t>Stevin</t>
  </si>
  <si>
    <t>T165DKR</t>
  </si>
  <si>
    <t>Chande</t>
  </si>
  <si>
    <t>T739BRW</t>
  </si>
  <si>
    <t>Naftari</t>
  </si>
  <si>
    <t>T389DQR</t>
  </si>
  <si>
    <t>Shuma</t>
  </si>
  <si>
    <t>P&amp;C</t>
  </si>
  <si>
    <t>Usage KW</t>
  </si>
  <si>
    <t>SU33656</t>
  </si>
  <si>
    <t>Zakayo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</si>
  <si>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</si>
  <si>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</si>
  <si>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</si>
  <si>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</si>
  <si>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</si>
  <si>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</si>
  <si>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OCTOBER UTILITY REPORT 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</si>
  <si>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</si>
  <si>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</si>
  <si>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</si>
  <si>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</si>
  <si>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</si>
  <si>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</si>
  <si>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</si>
  <si>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</si>
  <si>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</si>
  <si>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</si>
  <si>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</si>
  <si>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</si>
  <si>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</si>
  <si>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</si>
  <si>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</si>
  <si>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</si>
  <si>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</si>
  <si>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</si>
  <si>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</si>
  <si>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</si>
  <si>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</si>
  <si>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</si>
  <si>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</si>
  <si>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</si>
  <si>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</si>
  <si>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</si>
  <si>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</si>
  <si>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</si>
  <si>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BHOKE</t>
  </si>
  <si>
    <t>SU33657</t>
  </si>
  <si>
    <t>GENERATOR NO.1</t>
  </si>
  <si>
    <t>GENERATOR NO.2</t>
  </si>
  <si>
    <t>GENERATOR NO.4</t>
  </si>
  <si>
    <t>GENERATOR NO.5</t>
  </si>
  <si>
    <t>GENERATOR NO.6</t>
  </si>
  <si>
    <t>T880DKQ</t>
  </si>
  <si>
    <t>Vedastus</t>
  </si>
  <si>
    <t>VEHICLE CONSUMPTION</t>
  </si>
  <si>
    <t>228CRW</t>
  </si>
  <si>
    <t>Charles</t>
  </si>
  <si>
    <t>T364AHF</t>
  </si>
  <si>
    <t>Fadhili</t>
  </si>
  <si>
    <t>Kelvin</t>
  </si>
  <si>
    <t>GAS TANK 1 READINGS</t>
  </si>
  <si>
    <t>GAS TANK 2 READINGS</t>
  </si>
  <si>
    <t>GAS TANK 3 READINGS</t>
  </si>
  <si>
    <t>Total water consumption  (m3)</t>
  </si>
  <si>
    <t>Total Bore Holes production  (m3)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</si>
</sst>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3" fillId="0" borderId="0" applyFont="0" applyFill="0" applyBorder="0" applyAlignment="0" applyProtection="0"/>
    <xf numFmtId="42" fontId="59" fillId="0" borderId="0" applyFont="0" applyFill="0" applyBorder="0" applyAlignment="0" applyProtection="0"/>
  </cellStyleXfs>
  <cellXfs count="87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165" fontId="0" fillId="12" borderId="9" xfId="0" applyNumberFormat="1" applyFill="1" applyBorder="1"/>
    <xf numFmtId="0" fontId="2" fillId="0" borderId="0" xfId="0" applyFont="1"/>
    <xf numFmtId="0" fontId="8" fillId="0" borderId="55" xfId="0" applyFont="1" applyBorder="1" applyAlignment="1">
      <alignment horizontal="center" wrapText="1"/>
    </xf>
    <xf numFmtId="0" fontId="24" fillId="0" borderId="55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4" fontId="8" fillId="0" borderId="0" xfId="0" applyNumberFormat="1" applyFont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5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22" fillId="0" borderId="1" xfId="0" applyFont="1" applyBorder="1" applyAlignment="1">
      <alignment vertical="top"/>
    </xf>
    <xf numFmtId="0" fontId="22" fillId="0" borderId="1" xfId="0" applyFont="1" applyBorder="1" applyAlignment="1">
      <alignment vertical="top" wrapText="1"/>
    </xf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65" fontId="0" fillId="0" borderId="26" xfId="0" applyNumberFormat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71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2" xfId="0" applyFont="1" applyBorder="1"/>
    <xf numFmtId="0" fontId="26" fillId="0" borderId="72" xfId="0" applyFont="1" applyBorder="1"/>
    <xf numFmtId="0" fontId="25" fillId="0" borderId="0" xfId="0" applyFont="1" applyBorder="1"/>
    <xf numFmtId="18" fontId="25" fillId="0" borderId="72" xfId="0" applyNumberFormat="1" applyFont="1" applyBorder="1"/>
    <xf numFmtId="0" fontId="0" fillId="0" borderId="73" xfId="0" applyBorder="1"/>
    <xf numFmtId="173" fontId="0" fillId="0" borderId="0" xfId="0" applyNumberFormat="1"/>
    <xf numFmtId="174" fontId="0" fillId="0" borderId="0" xfId="0" applyNumberFormat="1"/>
    <xf numFmtId="0" fontId="25" fillId="0" borderId="74" xfId="0" applyFont="1" applyBorder="1"/>
    <xf numFmtId="0" fontId="26" fillId="0" borderId="74" xfId="0" applyFont="1" applyBorder="1"/>
    <xf numFmtId="0" fontId="25" fillId="0" borderId="75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6" xfId="0" applyFont="1" applyFill="1" applyBorder="1" applyAlignment="1">
      <alignment horizontal="center" vertical="center" wrapText="1"/>
    </xf>
    <xf numFmtId="0" fontId="25" fillId="0" borderId="77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0" fillId="12" borderId="27" xfId="0" applyFill="1" applyBorder="1"/>
    <xf numFmtId="0" fontId="19" fillId="0" borderId="60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8" xfId="0" applyNumberFormat="1" applyFill="1" applyBorder="1"/>
    <xf numFmtId="0" fontId="0" fillId="12" borderId="41" xfId="0" applyFill="1" applyBorder="1"/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5" xfId="1" applyFont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6" fontId="11" fillId="0" borderId="5" xfId="1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5" xfId="1" applyNumberFormat="1" applyFont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6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7" xfId="0" applyNumberFormat="1" applyBorder="1" applyAlignment="1">
      <alignment horizontal="center"/>
    </xf>
    <xf numFmtId="0" fontId="0" fillId="0" borderId="55" xfId="0" applyBorder="1"/>
    <xf numFmtId="166" fontId="11" fillId="0" borderId="5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5" fillId="25" borderId="1" xfId="4" applyFont="1" applyFill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7" xfId="4" applyFont="1" applyFill="1" applyBorder="1" applyAlignment="1">
      <alignment horizontal="center"/>
    </xf>
    <xf numFmtId="0" fontId="19" fillId="7" borderId="8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41" fillId="0" borderId="65" xfId="0" applyFont="1" applyBorder="1" applyAlignment="1">
      <alignment horizontal="center" wrapText="1"/>
    </xf>
    <xf numFmtId="14" fontId="0" fillId="0" borderId="56" xfId="0" applyNumberFormat="1" applyBorder="1" applyAlignment="1">
      <alignment horizontal="center"/>
    </xf>
    <xf numFmtId="14" fontId="0" fillId="0" borderId="8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0" fillId="6" borderId="1" xfId="2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4" fillId="0" borderId="8" xfId="0" applyFont="1" applyBorder="1" applyAlignment="1"/>
    <xf numFmtId="0" fontId="42" fillId="0" borderId="8" xfId="0" applyFont="1" applyBorder="1" applyAlignment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41" fillId="0" borderId="92" xfId="0" applyFont="1" applyBorder="1" applyAlignment="1">
      <alignment horizontal="center" wrapText="1"/>
    </xf>
    <xf numFmtId="0" fontId="0" fillId="9" borderId="0" xfId="0" applyFill="1" applyBorder="1"/>
    <xf numFmtId="0" fontId="9" fillId="9" borderId="0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0" fillId="33" borderId="1" xfId="0" applyFill="1" applyBorder="1"/>
    <xf numFmtId="0" fontId="0" fillId="34" borderId="1" xfId="0" applyFill="1" applyBorder="1"/>
    <xf numFmtId="0" fontId="0" fillId="0" borderId="35" xfId="0" applyBorder="1"/>
    <xf numFmtId="14" fontId="41" fillId="0" borderId="1" xfId="0" applyNumberFormat="1" applyFont="1" applyBorder="1" applyAlignment="1">
      <alignment vertical="top"/>
    </xf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4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7" borderId="98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166" fontId="16" fillId="10" borderId="5" xfId="1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99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2" fontId="2" fillId="16" borderId="1" xfId="1" applyNumberFormat="1" applyFont="1" applyFill="1" applyBorder="1"/>
    <xf numFmtId="0" fontId="4" fillId="0" borderId="52" xfId="0" applyFont="1" applyBorder="1" applyAlignment="1"/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0" fillId="0" borderId="16" xfId="0" applyNumberFormat="1" applyBorder="1" applyAlignment="1">
      <alignment horizontal="center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5" xfId="0" applyFont="1" applyFill="1" applyBorder="1" applyAlignment="1">
      <alignment horizontal="center"/>
    </xf>
    <xf numFmtId="0" fontId="4" fillId="8" borderId="92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5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4" borderId="5" xfId="0" applyFill="1" applyBorder="1"/>
    <xf numFmtId="0" fontId="0" fillId="38" borderId="1" xfId="0" applyFill="1" applyBorder="1"/>
    <xf numFmtId="0" fontId="0" fillId="37" borderId="16" xfId="0" applyFill="1" applyBorder="1" applyAlignment="1">
      <alignment horizontal="center" wrapText="1"/>
    </xf>
    <xf numFmtId="0" fontId="0" fillId="34" borderId="23" xfId="0" applyFill="1" applyBorder="1"/>
    <xf numFmtId="0" fontId="0" fillId="37" borderId="18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34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2" borderId="9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37" borderId="17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2" fillId="16" borderId="22" xfId="1" applyNumberFormat="1" applyFon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0" fillId="16" borderId="22" xfId="0" applyFill="1" applyBorder="1" applyAlignment="1">
      <alignment horizontal="center" wrapText="1"/>
    </xf>
    <xf numFmtId="0" fontId="0" fillId="28" borderId="19" xfId="0" applyFill="1" applyBorder="1" applyAlignment="1">
      <alignment horizontal="center" wrapText="1"/>
    </xf>
    <xf numFmtId="0" fontId="0" fillId="37" borderId="21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0" borderId="79" xfId="0" applyFont="1" applyBorder="1" applyAlignment="1"/>
    <xf numFmtId="0" fontId="4" fillId="7" borderId="92" xfId="0" applyFont="1" applyFill="1" applyBorder="1" applyAlignment="1">
      <alignment horizontal="center" wrapText="1"/>
    </xf>
    <xf numFmtId="0" fontId="4" fillId="7" borderId="65" xfId="0" applyFont="1" applyFill="1" applyBorder="1" applyAlignment="1">
      <alignment horizontal="center"/>
    </xf>
    <xf numFmtId="0" fontId="4" fillId="0" borderId="49" xfId="0" applyFont="1" applyBorder="1" applyAlignment="1"/>
    <xf numFmtId="0" fontId="4" fillId="7" borderId="65" xfId="0" applyFont="1" applyFill="1" applyBorder="1" applyAlignment="1">
      <alignment horizontal="center" wrapText="1"/>
    </xf>
    <xf numFmtId="0" fontId="4" fillId="0" borderId="53" xfId="0" applyFont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4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5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5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5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2" xfId="1" applyNumberFormat="1" applyFont="1" applyFill="1" applyBorder="1" applyAlignment="1">
      <alignment horizontal="center" vertical="center" wrapText="1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5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165" fontId="16" fillId="0" borderId="27" xfId="1" applyFont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5" xfId="1" applyFont="1" applyFill="1" applyBorder="1" applyAlignment="1">
      <alignment horizontal="center" wrapText="1"/>
    </xf>
    <xf numFmtId="0" fontId="51" fillId="0" borderId="1" xfId="0" applyFont="1" applyBorder="1" applyAlignment="1">
      <alignment horizontal="center" vertical="center" wrapText="1"/>
    </xf>
    <xf numFmtId="0" fontId="4" fillId="7" borderId="62" xfId="0" applyFont="1" applyFill="1" applyBorder="1" applyAlignment="1">
      <alignment horizontal="center"/>
    </xf>
    <xf numFmtId="0" fontId="4" fillId="7" borderId="64" xfId="0" applyFont="1" applyFill="1" applyBorder="1" applyAlignment="1">
      <alignment horizontal="center"/>
    </xf>
    <xf numFmtId="0" fontId="4" fillId="7" borderId="64" xfId="0" applyFont="1" applyFill="1" applyBorder="1" applyAlignment="1"/>
    <xf numFmtId="0" fontId="4" fillId="7" borderId="63" xfId="0" applyFont="1" applyFill="1" applyBorder="1" applyAlignment="1"/>
    <xf numFmtId="165" fontId="4" fillId="0" borderId="1" xfId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165" fontId="4" fillId="0" borderId="6" xfId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6" fillId="0" borderId="5" xfId="0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2" fillId="0" borderId="1" xfId="0" applyFont="1" applyBorder="1"/>
    <xf numFmtId="2" fontId="2" fillId="16" borderId="26" xfId="1" applyNumberFormat="1" applyFont="1" applyFill="1" applyBorder="1" applyAlignment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26" fillId="0" borderId="102" xfId="0" applyFont="1" applyBorder="1" applyAlignment="1">
      <alignment horizontal="center"/>
    </xf>
    <xf numFmtId="3" fontId="1" fillId="0" borderId="74" xfId="0" applyNumberFormat="1" applyFont="1" applyBorder="1"/>
    <xf numFmtId="0" fontId="25" fillId="0" borderId="103" xfId="0" applyFont="1" applyFill="1" applyBorder="1"/>
    <xf numFmtId="0" fontId="0" fillId="0" borderId="5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166" fontId="25" fillId="25" borderId="1" xfId="4" applyNumberFormat="1" applyFont="1" applyFill="1" applyBorder="1" applyAlignment="1">
      <alignment horizontal="center"/>
    </xf>
    <xf numFmtId="166" fontId="0" fillId="13" borderId="22" xfId="0" applyNumberFormat="1" applyFill="1" applyBorder="1"/>
    <xf numFmtId="0" fontId="26" fillId="0" borderId="6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26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8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5" xfId="0" applyFont="1" applyFill="1" applyBorder="1" applyAlignment="1">
      <alignment horizontal="center" wrapText="1"/>
    </xf>
    <xf numFmtId="169" fontId="11" fillId="0" borderId="67" xfId="0" applyNumberFormat="1" applyFont="1" applyFill="1" applyBorder="1" applyAlignment="1">
      <alignment horizontal="center"/>
    </xf>
    <xf numFmtId="169" fontId="11" fillId="0" borderId="90" xfId="0" applyNumberFormat="1" applyFont="1" applyFill="1" applyBorder="1" applyAlignment="1">
      <alignment horizontal="center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5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61" fillId="0" borderId="48" xfId="0" applyFont="1" applyBorder="1" applyAlignment="1">
      <alignment horizontal="center"/>
    </xf>
    <xf numFmtId="1" fontId="61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0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6" xfId="0" applyFont="1" applyBorder="1" applyAlignment="1">
      <alignment horizontal="center"/>
    </xf>
    <xf numFmtId="14" fontId="4" fillId="0" borderId="56" xfId="0" applyNumberFormat="1" applyFont="1" applyBorder="1" applyAlignment="1"/>
    <xf numFmtId="14" fontId="4" fillId="0" borderId="25" xfId="0" applyNumberFormat="1" applyFont="1" applyBorder="1" applyAlignment="1"/>
    <xf numFmtId="0" fontId="4" fillId="0" borderId="11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62" fillId="0" borderId="48" xfId="0" applyFont="1" applyBorder="1" applyAlignment="1">
      <alignment horizontal="center" wrapText="1"/>
    </xf>
    <xf numFmtId="2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1" fillId="0" borderId="11" xfId="4" applyFont="1" applyBorder="1" applyAlignment="1"/>
    <xf numFmtId="0" fontId="1" fillId="0" borderId="12" xfId="4" applyFont="1" applyBorder="1" applyAlignment="1"/>
    <xf numFmtId="0" fontId="1" fillId="0" borderId="27" xfId="4" applyFont="1" applyBorder="1" applyAlignment="1"/>
    <xf numFmtId="0" fontId="1" fillId="0" borderId="25" xfId="4" applyFont="1" applyBorder="1" applyAlignment="1"/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8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4" xfId="1" applyNumberFormat="1" applyFont="1" applyFill="1" applyBorder="1"/>
    <xf numFmtId="166" fontId="2" fillId="12" borderId="58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4" fillId="0" borderId="26" xfId="0" applyFont="1" applyBorder="1" applyAlignment="1">
      <alignment horizontal="center"/>
    </xf>
    <xf numFmtId="0" fontId="19" fillId="14" borderId="35" xfId="0" applyFont="1" applyFill="1" applyBorder="1" applyAlignment="1">
      <alignment horizontal="center" vertical="center"/>
    </xf>
    <xf numFmtId="0" fontId="19" fillId="14" borderId="38" xfId="0" applyFont="1" applyFill="1" applyBorder="1" applyAlignment="1">
      <alignment horizontal="center" vertical="center" wrapText="1"/>
    </xf>
    <xf numFmtId="1" fontId="1" fillId="0" borderId="3" xfId="9" applyNumberFormat="1" applyFont="1" applyBorder="1" applyAlignment="1">
      <alignment horizontal="center" vertical="center"/>
    </xf>
    <xf numFmtId="0" fontId="0" fillId="0" borderId="0" xfId="0" applyNumberFormat="1"/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1" fontId="1" fillId="0" borderId="45" xfId="9" applyNumberFormat="1" applyFont="1" applyBorder="1" applyAlignment="1">
      <alignment horizontal="center" vertical="center"/>
    </xf>
    <xf numFmtId="41" fontId="0" fillId="0" borderId="18" xfId="9" applyFont="1" applyBorder="1" applyAlignment="1">
      <alignment horizontal="center" vertical="center"/>
    </xf>
    <xf numFmtId="41" fontId="0" fillId="0" borderId="104" xfId="9" applyFont="1" applyBorder="1" applyAlignment="1">
      <alignment horizontal="center" vertical="center"/>
    </xf>
    <xf numFmtId="41" fontId="0" fillId="0" borderId="4" xfId="9" applyFont="1" applyBorder="1" applyAlignment="1">
      <alignment horizontal="center" vertical="center"/>
    </xf>
    <xf numFmtId="41" fontId="0" fillId="0" borderId="19" xfId="9" applyFont="1" applyBorder="1" applyAlignment="1">
      <alignment horizontal="center" vertical="center"/>
    </xf>
    <xf numFmtId="41" fontId="0" fillId="0" borderId="105" xfId="9" applyFont="1" applyBorder="1" applyAlignment="1">
      <alignment horizontal="center" vertical="center"/>
    </xf>
    <xf numFmtId="9" fontId="19" fillId="0" borderId="1" xfId="9" applyNumberFormat="1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0" fontId="0" fillId="0" borderId="0" xfId="0" applyAlignment="1"/>
    <xf numFmtId="3" fontId="0" fillId="14" borderId="2" xfId="0" applyNumberFormat="1" applyFill="1" applyBorder="1" applyAlignment="1">
      <alignment horizontal="center" vertical="center" wrapText="1"/>
    </xf>
    <xf numFmtId="0" fontId="0" fillId="34" borderId="9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11" borderId="18" xfId="0" applyFill="1" applyBorder="1" applyAlignment="1">
      <alignment horizontal="center"/>
    </xf>
    <xf numFmtId="0" fontId="0" fillId="11" borderId="4" xfId="0" applyFill="1" applyBorder="1" applyAlignment="1">
      <alignment horizontal="center" wrapText="1"/>
    </xf>
    <xf numFmtId="0" fontId="0" fillId="11" borderId="19" xfId="0" applyFill="1" applyBorder="1" applyAlignment="1">
      <alignment horizontal="center" wrapText="1"/>
    </xf>
    <xf numFmtId="14" fontId="0" fillId="0" borderId="17" xfId="0" applyNumberFormat="1" applyBorder="1" applyAlignment="1">
      <alignment horizontal="center"/>
    </xf>
    <xf numFmtId="0" fontId="0" fillId="34" borderId="6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1" fontId="0" fillId="0" borderId="22" xfId="1" applyNumberFormat="1" applyFont="1" applyBorder="1"/>
    <xf numFmtId="1" fontId="0" fillId="13" borderId="1" xfId="0" applyNumberFormat="1" applyFill="1" applyBorder="1"/>
    <xf numFmtId="1" fontId="0" fillId="20" borderId="1" xfId="0" applyNumberFormat="1" applyFill="1" applyBorder="1"/>
    <xf numFmtId="0" fontId="19" fillId="0" borderId="48" xfId="0" applyFont="1" applyBorder="1" applyAlignment="1">
      <alignment wrapText="1"/>
    </xf>
    <xf numFmtId="1" fontId="0" fillId="12" borderId="1" xfId="0" applyNumberFormat="1" applyFill="1" applyBorder="1"/>
    <xf numFmtId="0" fontId="60" fillId="0" borderId="48" xfId="0" applyFont="1" applyBorder="1" applyAlignment="1">
      <alignment horizontal="center"/>
    </xf>
    <xf numFmtId="0" fontId="22" fillId="19" borderId="1" xfId="0" applyFont="1" applyFill="1" applyBorder="1" applyAlignment="1">
      <alignment horizontal="center" vertical="top"/>
    </xf>
    <xf numFmtId="0" fontId="22" fillId="20" borderId="1" xfId="0" applyFont="1" applyFill="1" applyBorder="1" applyAlignment="1">
      <alignment horizontal="center" vertical="top"/>
    </xf>
    <xf numFmtId="0" fontId="22" fillId="21" borderId="1" xfId="0" applyFont="1" applyFill="1" applyBorder="1" applyAlignment="1">
      <alignment horizontal="center" vertical="top"/>
    </xf>
    <xf numFmtId="0" fontId="22" fillId="0" borderId="1" xfId="0" applyFont="1" applyBorder="1" applyAlignment="1">
      <alignment horizontal="center" vertical="top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5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7" xfId="0" applyFont="1" applyFill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5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5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5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90" xfId="0" applyFont="1" applyBorder="1" applyAlignment="1">
      <alignment horizontal="center"/>
    </xf>
    <xf numFmtId="0" fontId="2" fillId="0" borderId="10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5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14" fontId="4" fillId="0" borderId="54" xfId="0" applyNumberFormat="1" applyFont="1" applyBorder="1" applyAlignment="1">
      <alignment horizontal="center"/>
    </xf>
    <xf numFmtId="14" fontId="4" fillId="0" borderId="37" xfId="0" applyNumberFormat="1" applyFont="1" applyBorder="1" applyAlignment="1">
      <alignment horizontal="center"/>
    </xf>
    <xf numFmtId="14" fontId="4" fillId="0" borderId="67" xfId="0" applyNumberFormat="1" applyFont="1" applyBorder="1" applyAlignment="1">
      <alignment horizontal="right"/>
    </xf>
    <xf numFmtId="14" fontId="4" fillId="0" borderId="22" xfId="0" applyNumberFormat="1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00" xfId="0" applyFont="1" applyBorder="1" applyAlignment="1">
      <alignment horizontal="center"/>
    </xf>
    <xf numFmtId="0" fontId="4" fillId="0" borderId="7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8" fillId="2" borderId="55" xfId="0" applyFont="1" applyFill="1" applyBorder="1" applyAlignment="1">
      <alignment horizontal="center"/>
    </xf>
    <xf numFmtId="0" fontId="48" fillId="2" borderId="30" xfId="0" applyFont="1" applyFill="1" applyBorder="1" applyAlignment="1">
      <alignment horizontal="center"/>
    </xf>
    <xf numFmtId="0" fontId="48" fillId="2" borderId="31" xfId="0" applyFont="1" applyFill="1" applyBorder="1" applyAlignment="1">
      <alignment horizontal="center"/>
    </xf>
    <xf numFmtId="0" fontId="4" fillId="0" borderId="5" xfId="0" applyFont="1" applyBorder="1" applyAlignment="1"/>
    <xf numFmtId="0" fontId="4" fillId="0" borderId="22" xfId="0" applyFont="1" applyBorder="1" applyAlignment="1"/>
    <xf numFmtId="0" fontId="10" fillId="31" borderId="20" xfId="0" applyFont="1" applyFill="1" applyBorder="1" applyAlignment="1">
      <alignment horizontal="center"/>
    </xf>
    <xf numFmtId="0" fontId="10" fillId="31" borderId="35" xfId="0" applyFont="1" applyFill="1" applyBorder="1" applyAlignment="1">
      <alignment horizontal="center"/>
    </xf>
    <xf numFmtId="0" fontId="10" fillId="31" borderId="57" xfId="0" applyFont="1" applyFill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9" fillId="0" borderId="0" xfId="0" applyNumberFormat="1" applyFont="1" applyAlignment="1">
      <alignment horizontal="center"/>
    </xf>
    <xf numFmtId="0" fontId="50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7" fillId="0" borderId="55" xfId="0" applyFont="1" applyBorder="1" applyAlignment="1">
      <alignment horizontal="center"/>
    </xf>
    <xf numFmtId="0" fontId="47" fillId="0" borderId="30" xfId="0" applyFont="1" applyBorder="1" applyAlignment="1">
      <alignment horizontal="center"/>
    </xf>
    <xf numFmtId="0" fontId="47" fillId="0" borderId="31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4" fontId="4" fillId="0" borderId="90" xfId="0" applyNumberFormat="1" applyFont="1" applyBorder="1" applyAlignment="1">
      <alignment horizontal="right"/>
    </xf>
    <xf numFmtId="14" fontId="4" fillId="0" borderId="39" xfId="0" applyNumberFormat="1" applyFont="1" applyBorder="1" applyAlignment="1">
      <alignment horizontal="right"/>
    </xf>
    <xf numFmtId="14" fontId="4" fillId="0" borderId="56" xfId="0" applyNumberFormat="1" applyFont="1" applyBorder="1" applyAlignment="1"/>
    <xf numFmtId="14" fontId="4" fillId="0" borderId="25" xfId="0" applyNumberFormat="1" applyFont="1" applyBorder="1" applyAlignment="1"/>
    <xf numFmtId="14" fontId="4" fillId="0" borderId="24" xfId="0" applyNumberFormat="1" applyFont="1" applyBorder="1" applyAlignment="1">
      <alignment horizontal="center"/>
    </xf>
    <xf numFmtId="14" fontId="4" fillId="0" borderId="25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10" fillId="27" borderId="55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4" fillId="32" borderId="55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5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7" borderId="55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/>
    </xf>
    <xf numFmtId="14" fontId="4" fillId="0" borderId="67" xfId="0" applyNumberFormat="1" applyFont="1" applyBorder="1" applyAlignment="1"/>
    <xf numFmtId="14" fontId="4" fillId="0" borderId="22" xfId="0" applyNumberFormat="1" applyFont="1" applyBorder="1" applyAlignment="1"/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49" fillId="0" borderId="20" xfId="0" applyFont="1" applyBorder="1" applyAlignment="1">
      <alignment horizontal="center"/>
    </xf>
    <xf numFmtId="0" fontId="49" fillId="0" borderId="35" xfId="0" applyFont="1" applyBorder="1" applyAlignment="1">
      <alignment horizontal="center"/>
    </xf>
    <xf numFmtId="0" fontId="49" fillId="0" borderId="57" xfId="0" applyFont="1" applyBorder="1" applyAlignment="1">
      <alignment horizontal="center"/>
    </xf>
    <xf numFmtId="0" fontId="49" fillId="0" borderId="51" xfId="0" applyFont="1" applyBorder="1" applyAlignment="1">
      <alignment horizontal="center"/>
    </xf>
    <xf numFmtId="0" fontId="49" fillId="0" borderId="48" xfId="0" applyFont="1" applyBorder="1" applyAlignment="1">
      <alignment horizontal="center"/>
    </xf>
    <xf numFmtId="0" fontId="49" fillId="0" borderId="50" xfId="0" applyFont="1" applyBorder="1" applyAlignment="1">
      <alignment horizont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1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19" fillId="7" borderId="9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8" xfId="0" applyFont="1" applyFill="1" applyBorder="1" applyAlignment="1">
      <alignment horizontal="center" wrapText="1"/>
    </xf>
    <xf numFmtId="0" fontId="2" fillId="28" borderId="99" xfId="0" applyFont="1" applyFill="1" applyBorder="1" applyAlignment="1">
      <alignment horizontal="center" wrapText="1"/>
    </xf>
    <xf numFmtId="0" fontId="37" fillId="11" borderId="55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9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7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0" fontId="19" fillId="14" borderId="90" xfId="0" applyFont="1" applyFill="1" applyBorder="1" applyAlignment="1">
      <alignment horizontal="center" vertical="center"/>
    </xf>
    <xf numFmtId="0" fontId="19" fillId="14" borderId="8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5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6" fillId="0" borderId="48" xfId="0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2472.85</c:v>
                </c:pt>
                <c:pt idx="1">
                  <c:v>2554.3900000000003</c:v>
                </c:pt>
                <c:pt idx="2">
                  <c:v>2441.42</c:v>
                </c:pt>
                <c:pt idx="3">
                  <c:v>2338.3599999999997</c:v>
                </c:pt>
                <c:pt idx="4">
                  <c:v>2478.9</c:v>
                </c:pt>
                <c:pt idx="5">
                  <c:v>2276.44</c:v>
                </c:pt>
                <c:pt idx="6">
                  <c:v>2242.4</c:v>
                </c:pt>
                <c:pt idx="7">
                  <c:v>2430.2700000000004</c:v>
                </c:pt>
                <c:pt idx="8">
                  <c:v>2463.77</c:v>
                </c:pt>
                <c:pt idx="9">
                  <c:v>2310.19</c:v>
                </c:pt>
                <c:pt idx="10">
                  <c:v>2429.17</c:v>
                </c:pt>
                <c:pt idx="11">
                  <c:v>2249.5299999999997</c:v>
                </c:pt>
                <c:pt idx="12">
                  <c:v>2424.4700000000003</c:v>
                </c:pt>
                <c:pt idx="13">
                  <c:v>2672.31</c:v>
                </c:pt>
                <c:pt idx="14">
                  <c:v>2741.7</c:v>
                </c:pt>
                <c:pt idx="15">
                  <c:v>2321.11</c:v>
                </c:pt>
                <c:pt idx="16">
                  <c:v>2204.84</c:v>
                </c:pt>
                <c:pt idx="17">
                  <c:v>1845.1800000000003</c:v>
                </c:pt>
                <c:pt idx="18">
                  <c:v>2797.0099999999998</c:v>
                </c:pt>
                <c:pt idx="19">
                  <c:v>2262.16</c:v>
                </c:pt>
                <c:pt idx="20">
                  <c:v>2286.86</c:v>
                </c:pt>
                <c:pt idx="21">
                  <c:v>2148.2999999999997</c:v>
                </c:pt>
                <c:pt idx="22">
                  <c:v>2113.27</c:v>
                </c:pt>
                <c:pt idx="23">
                  <c:v>2104.5200000000004</c:v>
                </c:pt>
                <c:pt idx="24">
                  <c:v>2470.2400000000002</c:v>
                </c:pt>
                <c:pt idx="25">
                  <c:v>2323.7399999999998</c:v>
                </c:pt>
                <c:pt idx="26">
                  <c:v>2031.83</c:v>
                </c:pt>
                <c:pt idx="27">
                  <c:v>2131.37</c:v>
                </c:pt>
                <c:pt idx="28">
                  <c:v>2033.74</c:v>
                </c:pt>
                <c:pt idx="29">
                  <c:v>2126.42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6924672"/>
        <c:axId val="1269262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62</c:v>
                </c:pt>
                <c:pt idx="1">
                  <c:v>41</c:v>
                </c:pt>
                <c:pt idx="2">
                  <c:v>47</c:v>
                </c:pt>
                <c:pt idx="3">
                  <c:v>53</c:v>
                </c:pt>
                <c:pt idx="4">
                  <c:v>41</c:v>
                </c:pt>
                <c:pt idx="5">
                  <c:v>58</c:v>
                </c:pt>
                <c:pt idx="6">
                  <c:v>12</c:v>
                </c:pt>
                <c:pt idx="7">
                  <c:v>34</c:v>
                </c:pt>
                <c:pt idx="8">
                  <c:v>25</c:v>
                </c:pt>
                <c:pt idx="9">
                  <c:v>35</c:v>
                </c:pt>
                <c:pt idx="10">
                  <c:v>32</c:v>
                </c:pt>
                <c:pt idx="11">
                  <c:v>30</c:v>
                </c:pt>
                <c:pt idx="12">
                  <c:v>49</c:v>
                </c:pt>
                <c:pt idx="13">
                  <c:v>66</c:v>
                </c:pt>
                <c:pt idx="14">
                  <c:v>63</c:v>
                </c:pt>
                <c:pt idx="15">
                  <c:v>16</c:v>
                </c:pt>
                <c:pt idx="16">
                  <c:v>17</c:v>
                </c:pt>
                <c:pt idx="17">
                  <c:v>9</c:v>
                </c:pt>
                <c:pt idx="18">
                  <c:v>44</c:v>
                </c:pt>
                <c:pt idx="19">
                  <c:v>43</c:v>
                </c:pt>
                <c:pt idx="20">
                  <c:v>31</c:v>
                </c:pt>
                <c:pt idx="21">
                  <c:v>19</c:v>
                </c:pt>
                <c:pt idx="22">
                  <c:v>7</c:v>
                </c:pt>
                <c:pt idx="23">
                  <c:v>19</c:v>
                </c:pt>
                <c:pt idx="24">
                  <c:v>42</c:v>
                </c:pt>
                <c:pt idx="25">
                  <c:v>52</c:v>
                </c:pt>
                <c:pt idx="26">
                  <c:v>21</c:v>
                </c:pt>
                <c:pt idx="27">
                  <c:v>32</c:v>
                </c:pt>
                <c:pt idx="28">
                  <c:v>32</c:v>
                </c:pt>
                <c:pt idx="29">
                  <c:v>25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6940288"/>
        <c:axId val="126941824"/>
      </c:lineChart>
      <c:catAx>
        <c:axId val="12692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26208"/>
        <c:crosses val="autoZero"/>
        <c:auto val="1"/>
        <c:lblAlgn val="ctr"/>
        <c:lblOffset val="100"/>
      </c:catAx>
      <c:valAx>
        <c:axId val="12692620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24672"/>
        <c:crosses val="autoZero"/>
        <c:crossBetween val="between"/>
        <c:majorUnit val="200"/>
      </c:valAx>
      <c:catAx>
        <c:axId val="126940288"/>
        <c:scaling>
          <c:orientation val="minMax"/>
        </c:scaling>
        <c:delete val="1"/>
        <c:axPos val="b"/>
        <c:tickLblPos val="none"/>
        <c:crossAx val="126941824"/>
        <c:crosses val="autoZero"/>
        <c:auto val="1"/>
        <c:lblAlgn val="ctr"/>
        <c:lblOffset val="100"/>
      </c:catAx>
      <c:valAx>
        <c:axId val="126941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40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126976000"/>
        <c:axId val="1269775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6979072"/>
        <c:axId val="126984960"/>
      </c:lineChart>
      <c:catAx>
        <c:axId val="12697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</c:catAx>
      <c:valAx>
        <c:axId val="126977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  <c:majorUnit val="200"/>
      </c:valAx>
      <c:catAx>
        <c:axId val="126979072"/>
        <c:scaling>
          <c:orientation val="minMax"/>
        </c:scaling>
        <c:delete val="1"/>
        <c:axPos val="b"/>
        <c:tickLblPos val="none"/>
        <c:crossAx val="126984960"/>
        <c:crosses val="autoZero"/>
        <c:auto val="1"/>
        <c:lblAlgn val="ctr"/>
        <c:lblOffset val="100"/>
      </c:catAx>
      <c:valAx>
        <c:axId val="1269849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9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2382.7599999999993</c:v>
                </c:pt>
                <c:pt idx="1">
                  <c:v>2504.2999999999997</c:v>
                </c:pt>
                <c:pt idx="2">
                  <c:v>2660.6500000000005</c:v>
                </c:pt>
                <c:pt idx="3">
                  <c:v>2733.73</c:v>
                </c:pt>
                <c:pt idx="4">
                  <c:v>2417.5199999999995</c:v>
                </c:pt>
                <c:pt idx="5">
                  <c:v>2594.5500000000002</c:v>
                </c:pt>
                <c:pt idx="6">
                  <c:v>2351.25</c:v>
                </c:pt>
                <c:pt idx="7">
                  <c:v>2336.4100000000003</c:v>
                </c:pt>
                <c:pt idx="8">
                  <c:v>2715.1000000000004</c:v>
                </c:pt>
                <c:pt idx="9">
                  <c:v>2569.81</c:v>
                </c:pt>
                <c:pt idx="10">
                  <c:v>2573.2800000000002</c:v>
                </c:pt>
                <c:pt idx="11">
                  <c:v>2738.53</c:v>
                </c:pt>
                <c:pt idx="12">
                  <c:v>2313.31</c:v>
                </c:pt>
                <c:pt idx="13">
                  <c:v>2671.2700000000004</c:v>
                </c:pt>
                <c:pt idx="14">
                  <c:v>2752.87</c:v>
                </c:pt>
                <c:pt idx="15">
                  <c:v>2809.02</c:v>
                </c:pt>
                <c:pt idx="16">
                  <c:v>2919.01</c:v>
                </c:pt>
                <c:pt idx="17">
                  <c:v>2432.5700000000002</c:v>
                </c:pt>
                <c:pt idx="18">
                  <c:v>1933.4700000000003</c:v>
                </c:pt>
                <c:pt idx="19">
                  <c:v>2980.93</c:v>
                </c:pt>
                <c:pt idx="20">
                  <c:v>2434.21</c:v>
                </c:pt>
                <c:pt idx="21">
                  <c:v>2305.4900000000002</c:v>
                </c:pt>
                <c:pt idx="22">
                  <c:v>2459.64</c:v>
                </c:pt>
                <c:pt idx="23">
                  <c:v>2493.9699999999998</c:v>
                </c:pt>
                <c:pt idx="24">
                  <c:v>2377.8900000000003</c:v>
                </c:pt>
                <c:pt idx="25">
                  <c:v>2866.8</c:v>
                </c:pt>
                <c:pt idx="26">
                  <c:v>2604.37</c:v>
                </c:pt>
                <c:pt idx="27">
                  <c:v>2708.12</c:v>
                </c:pt>
                <c:pt idx="28">
                  <c:v>2252.0699999999997</c:v>
                </c:pt>
                <c:pt idx="29">
                  <c:v>2059.2600000000002</c:v>
                </c:pt>
                <c:pt idx="30">
                  <c:v>2660.08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1970176"/>
        <c:axId val="131971712"/>
      </c:lineChart>
      <c:catAx>
        <c:axId val="13197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71712"/>
        <c:crosses val="autoZero"/>
        <c:auto val="1"/>
        <c:lblAlgn val="ctr"/>
        <c:lblOffset val="200"/>
        <c:tickLblSkip val="1"/>
      </c:catAx>
      <c:valAx>
        <c:axId val="1319717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7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0.41599999999999998</c:v>
                </c:pt>
                <c:pt idx="29">
                  <c:v>0.42899999999999999</c:v>
                </c:pt>
                <c:pt idx="30">
                  <c:v>0.32500000000000001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1017344"/>
        <c:axId val="131039616"/>
      </c:lineChart>
      <c:catAx>
        <c:axId val="13101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39616"/>
        <c:crosses val="autoZero"/>
        <c:auto val="1"/>
        <c:lblAlgn val="ctr"/>
        <c:lblOffset val="100"/>
      </c:catAx>
      <c:valAx>
        <c:axId val="1310396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1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5125</c:v>
                </c:pt>
                <c:pt idx="28">
                  <c:v>3443</c:v>
                </c:pt>
                <c:pt idx="29">
                  <c:v>5192</c:v>
                </c:pt>
                <c:pt idx="30">
                  <c:v>5234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2718976"/>
        <c:axId val="132720896"/>
      </c:lineChart>
      <c:catAx>
        <c:axId val="132718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20896"/>
        <c:crosses val="autoZero"/>
        <c:auto val="1"/>
        <c:lblAlgn val="ctr"/>
        <c:lblOffset val="100"/>
      </c:catAx>
      <c:valAx>
        <c:axId val="1327208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18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130</c:v>
                </c:pt>
                <c:pt idx="1">
                  <c:v>128</c:v>
                </c:pt>
                <c:pt idx="2">
                  <c:v>120</c:v>
                </c:pt>
                <c:pt idx="3">
                  <c:v>120</c:v>
                </c:pt>
                <c:pt idx="4">
                  <c:v>114</c:v>
                </c:pt>
                <c:pt idx="5">
                  <c:v>126</c:v>
                </c:pt>
                <c:pt idx="6">
                  <c:v>116</c:v>
                </c:pt>
                <c:pt idx="7">
                  <c:v>120</c:v>
                </c:pt>
                <c:pt idx="8">
                  <c:v>107</c:v>
                </c:pt>
                <c:pt idx="9">
                  <c:v>123</c:v>
                </c:pt>
                <c:pt idx="10">
                  <c:v>112</c:v>
                </c:pt>
                <c:pt idx="11">
                  <c:v>128</c:v>
                </c:pt>
                <c:pt idx="12">
                  <c:v>114</c:v>
                </c:pt>
                <c:pt idx="13">
                  <c:v>119</c:v>
                </c:pt>
                <c:pt idx="14">
                  <c:v>128</c:v>
                </c:pt>
                <c:pt idx="15">
                  <c:v>127</c:v>
                </c:pt>
                <c:pt idx="16">
                  <c:v>122</c:v>
                </c:pt>
                <c:pt idx="17">
                  <c:v>105</c:v>
                </c:pt>
                <c:pt idx="18">
                  <c:v>104</c:v>
                </c:pt>
                <c:pt idx="19">
                  <c:v>100</c:v>
                </c:pt>
                <c:pt idx="20">
                  <c:v>116</c:v>
                </c:pt>
                <c:pt idx="21">
                  <c:v>114</c:v>
                </c:pt>
                <c:pt idx="22">
                  <c:v>113</c:v>
                </c:pt>
                <c:pt idx="23">
                  <c:v>99</c:v>
                </c:pt>
                <c:pt idx="24">
                  <c:v>111</c:v>
                </c:pt>
                <c:pt idx="25">
                  <c:v>130</c:v>
                </c:pt>
                <c:pt idx="26">
                  <c:v>114</c:v>
                </c:pt>
                <c:pt idx="27">
                  <c:v>111</c:v>
                </c:pt>
                <c:pt idx="28">
                  <c:v>100</c:v>
                </c:pt>
                <c:pt idx="29">
                  <c:v>99</c:v>
                </c:pt>
                <c:pt idx="30">
                  <c:v>111</c:v>
                </c:pt>
                <c:pt idx="31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1664512"/>
        <c:axId val="131674880"/>
      </c:lineChart>
      <c:catAx>
        <c:axId val="131664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74880"/>
        <c:crosses val="autoZero"/>
        <c:auto val="1"/>
        <c:lblAlgn val="ctr"/>
        <c:lblOffset val="100"/>
      </c:catAx>
      <c:valAx>
        <c:axId val="1316748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645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95.963999999989767</c:v>
                </c:pt>
                <c:pt idx="1">
                  <c:v>112.59599999998464</c:v>
                </c:pt>
                <c:pt idx="2">
                  <c:v>116.1599999999744</c:v>
                </c:pt>
                <c:pt idx="3">
                  <c:v>117.92000000001282</c:v>
                </c:pt>
                <c:pt idx="4">
                  <c:v>121.44000000002562</c:v>
                </c:pt>
                <c:pt idx="5">
                  <c:v>120.55999999997439</c:v>
                </c:pt>
                <c:pt idx="6">
                  <c:v>119.6799999999872</c:v>
                </c:pt>
                <c:pt idx="7">
                  <c:v>118.36000000003843</c:v>
                </c:pt>
                <c:pt idx="8">
                  <c:v>117.03999999996159</c:v>
                </c:pt>
                <c:pt idx="9">
                  <c:v>116.16000000003842</c:v>
                </c:pt>
                <c:pt idx="10">
                  <c:v>110.87999999998721</c:v>
                </c:pt>
                <c:pt idx="11">
                  <c:v>108.24000000002562</c:v>
                </c:pt>
                <c:pt idx="12">
                  <c:v>104.2799999999872</c:v>
                </c:pt>
                <c:pt idx="13">
                  <c:v>106.92000000001282</c:v>
                </c:pt>
                <c:pt idx="14">
                  <c:v>105.1599999999744</c:v>
                </c:pt>
                <c:pt idx="15">
                  <c:v>103.4</c:v>
                </c:pt>
                <c:pt idx="16">
                  <c:v>99.44000000002562</c:v>
                </c:pt>
                <c:pt idx="17">
                  <c:v>94.600000000000009</c:v>
                </c:pt>
                <c:pt idx="18">
                  <c:v>104.71999999994878</c:v>
                </c:pt>
                <c:pt idx="19">
                  <c:v>118.36000000003843</c:v>
                </c:pt>
                <c:pt idx="20">
                  <c:v>117.92000000001282</c:v>
                </c:pt>
                <c:pt idx="21">
                  <c:v>116.1599999999744</c:v>
                </c:pt>
                <c:pt idx="22">
                  <c:v>108.24000000002562</c:v>
                </c:pt>
                <c:pt idx="23">
                  <c:v>107.80000000000001</c:v>
                </c:pt>
                <c:pt idx="24">
                  <c:v>111.31999999994879</c:v>
                </c:pt>
                <c:pt idx="25">
                  <c:v>117.92000000001282</c:v>
                </c:pt>
                <c:pt idx="26">
                  <c:v>115.2799999999872</c:v>
                </c:pt>
                <c:pt idx="27">
                  <c:v>110.44000000002562</c:v>
                </c:pt>
                <c:pt idx="28">
                  <c:v>109.55999999997439</c:v>
                </c:pt>
                <c:pt idx="29">
                  <c:v>106.92000000001282</c:v>
                </c:pt>
                <c:pt idx="30">
                  <c:v>119.6799999999872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1699840"/>
        <c:axId val="131701376"/>
      </c:lineChart>
      <c:catAx>
        <c:axId val="13169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01376"/>
        <c:crosses val="autoZero"/>
        <c:auto val="1"/>
        <c:lblAlgn val="ctr"/>
        <c:lblOffset val="100"/>
      </c:catAx>
      <c:valAx>
        <c:axId val="131701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9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6700032"/>
        <c:axId val="156710016"/>
      </c:lineChart>
      <c:catAx>
        <c:axId val="15670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10016"/>
        <c:crosses val="autoZero"/>
        <c:auto val="1"/>
        <c:lblAlgn val="ctr"/>
        <c:lblOffset val="100"/>
      </c:catAx>
      <c:valAx>
        <c:axId val="156710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0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2179.4799999999996</c:v>
                </c:pt>
                <c:pt idx="1">
                  <c:v>2472.85</c:v>
                </c:pt>
                <c:pt idx="2">
                  <c:v>2554.3900000000003</c:v>
                </c:pt>
                <c:pt idx="3">
                  <c:v>2441.42</c:v>
                </c:pt>
                <c:pt idx="4">
                  <c:v>2338.3599999999997</c:v>
                </c:pt>
                <c:pt idx="5">
                  <c:v>2478.9</c:v>
                </c:pt>
                <c:pt idx="6">
                  <c:v>2276.44</c:v>
                </c:pt>
                <c:pt idx="7">
                  <c:v>2242.4</c:v>
                </c:pt>
                <c:pt idx="8">
                  <c:v>2430.2700000000004</c:v>
                </c:pt>
                <c:pt idx="9">
                  <c:v>2463.77</c:v>
                </c:pt>
                <c:pt idx="10">
                  <c:v>2310.19</c:v>
                </c:pt>
                <c:pt idx="11">
                  <c:v>2429.17</c:v>
                </c:pt>
                <c:pt idx="12">
                  <c:v>2249.5299999999997</c:v>
                </c:pt>
                <c:pt idx="13">
                  <c:v>2424.4700000000003</c:v>
                </c:pt>
                <c:pt idx="14">
                  <c:v>2672.31</c:v>
                </c:pt>
                <c:pt idx="15">
                  <c:v>2741.7</c:v>
                </c:pt>
                <c:pt idx="16">
                  <c:v>2321.11</c:v>
                </c:pt>
                <c:pt idx="17">
                  <c:v>2204.84</c:v>
                </c:pt>
                <c:pt idx="18">
                  <c:v>1845.1800000000003</c:v>
                </c:pt>
                <c:pt idx="19">
                  <c:v>2797.0099999999998</c:v>
                </c:pt>
                <c:pt idx="20">
                  <c:v>2262.16</c:v>
                </c:pt>
                <c:pt idx="21">
                  <c:v>2286.86</c:v>
                </c:pt>
                <c:pt idx="22">
                  <c:v>2148.2999999999997</c:v>
                </c:pt>
                <c:pt idx="23">
                  <c:v>2113.27</c:v>
                </c:pt>
                <c:pt idx="24">
                  <c:v>2104.5200000000004</c:v>
                </c:pt>
                <c:pt idx="25">
                  <c:v>2470.2400000000002</c:v>
                </c:pt>
                <c:pt idx="26">
                  <c:v>2323.7399999999998</c:v>
                </c:pt>
                <c:pt idx="27">
                  <c:v>2031.83</c:v>
                </c:pt>
                <c:pt idx="28">
                  <c:v>2131.37</c:v>
                </c:pt>
                <c:pt idx="29">
                  <c:v>2033.74</c:v>
                </c:pt>
                <c:pt idx="30">
                  <c:v>2126.42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6742400"/>
        <c:axId val="156743936"/>
      </c:lineChart>
      <c:catAx>
        <c:axId val="15674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43936"/>
        <c:crosses val="autoZero"/>
        <c:auto val="1"/>
        <c:lblAlgn val="ctr"/>
        <c:lblOffset val="100"/>
      </c:catAx>
      <c:valAx>
        <c:axId val="156743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4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3837"/>
          <c:y val="7.471324705109767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313280"/>
        <c:axId val="157319168"/>
      </c:lineChart>
      <c:catAx>
        <c:axId val="15731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19168"/>
        <c:crosses val="autoZero"/>
        <c:auto val="1"/>
        <c:lblAlgn val="ctr"/>
        <c:lblOffset val="200"/>
        <c:tickLblSkip val="1"/>
      </c:catAx>
      <c:valAx>
        <c:axId val="1573191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1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348224"/>
        <c:axId val="157349760"/>
      </c:lineChart>
      <c:catAx>
        <c:axId val="15734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49760"/>
        <c:crosses val="autoZero"/>
        <c:auto val="1"/>
        <c:lblAlgn val="ctr"/>
        <c:lblOffset val="100"/>
      </c:catAx>
      <c:valAx>
        <c:axId val="157349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4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7505408"/>
        <c:axId val="157544448"/>
      </c:lineChart>
      <c:catAx>
        <c:axId val="157505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44448"/>
        <c:crosses val="autoZero"/>
        <c:auto val="1"/>
        <c:lblAlgn val="ctr"/>
        <c:lblOffset val="100"/>
      </c:catAx>
      <c:valAx>
        <c:axId val="157544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054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7835648"/>
        <c:axId val="157837568"/>
      </c:lineChart>
      <c:catAx>
        <c:axId val="157835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37568"/>
        <c:crosses val="autoZero"/>
        <c:auto val="1"/>
        <c:lblAlgn val="ctr"/>
        <c:lblOffset val="100"/>
      </c:catAx>
      <c:valAx>
        <c:axId val="1578375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356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009984"/>
        <c:axId val="158011776"/>
      </c:lineChart>
      <c:catAx>
        <c:axId val="15800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1776"/>
        <c:crosses val="autoZero"/>
        <c:auto val="1"/>
        <c:lblAlgn val="ctr"/>
        <c:lblOffset val="100"/>
      </c:catAx>
      <c:valAx>
        <c:axId val="15801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0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tx>
            <c:strRef>
              <c:f>'Summery Report'!#REF!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dLbl>
              <c:idx val="1"/>
              <c:dLblPos val="b"/>
              <c:showVal val="1"/>
            </c:dLbl>
            <c:dLbl>
              <c:idx val="5"/>
              <c:dLblPos val="b"/>
              <c:showVal val="1"/>
            </c:dLbl>
            <c:dLbl>
              <c:idx val="7"/>
              <c:dLblPos val="b"/>
              <c:showVal val="1"/>
            </c:dLbl>
            <c:dLbl>
              <c:idx val="10"/>
              <c:dLblPos val="b"/>
              <c:showVal val="1"/>
            </c:dLbl>
            <c:dLbl>
              <c:idx val="12"/>
              <c:dLblPos val="b"/>
              <c:showVal val="1"/>
            </c:dLbl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'Summery Report'!#REF!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marker val="1"/>
        <c:axId val="158045312"/>
        <c:axId val="158046848"/>
      </c:lineChart>
      <c:catAx>
        <c:axId val="15804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6848"/>
        <c:crosses val="autoZero"/>
        <c:auto val="1"/>
        <c:lblAlgn val="ctr"/>
        <c:lblOffset val="100"/>
      </c:catAx>
      <c:valAx>
        <c:axId val="158046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542080"/>
        <c:axId val="158552064"/>
      </c:lineChart>
      <c:catAx>
        <c:axId val="15854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52064"/>
        <c:crosses val="autoZero"/>
        <c:auto val="1"/>
        <c:lblAlgn val="ctr"/>
        <c:lblOffset val="100"/>
      </c:catAx>
      <c:valAx>
        <c:axId val="15855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4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4059"/>
          <c:y val="7.471324705109799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8397184"/>
        <c:axId val="15839872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7672320"/>
        <c:axId val="127673856"/>
      </c:lineChart>
      <c:catAx>
        <c:axId val="1583971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98720"/>
        <c:crosses val="autoZero"/>
        <c:lblAlgn val="ctr"/>
        <c:lblOffset val="100"/>
        <c:tickMarkSkip val="1"/>
      </c:catAx>
      <c:valAx>
        <c:axId val="158398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97184"/>
        <c:crosses val="autoZero"/>
        <c:crossBetween val="between"/>
      </c:valAx>
      <c:catAx>
        <c:axId val="127672320"/>
        <c:scaling>
          <c:orientation val="minMax"/>
        </c:scaling>
        <c:delete val="1"/>
        <c:axPos val="b"/>
        <c:numFmt formatCode="[$-409]d\-mmm\-yy;@" sourceLinked="1"/>
        <c:tickLblPos val="none"/>
        <c:crossAx val="127673856"/>
        <c:crosses val="autoZero"/>
        <c:lblAlgn val="ctr"/>
        <c:lblOffset val="100"/>
      </c:catAx>
      <c:valAx>
        <c:axId val="12767385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723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7710720"/>
        <c:axId val="127712256"/>
      </c:lineChart>
      <c:catAx>
        <c:axId val="12771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12256"/>
        <c:crosses val="autoZero"/>
        <c:auto val="1"/>
        <c:lblAlgn val="ctr"/>
        <c:lblOffset val="100"/>
      </c:catAx>
      <c:valAx>
        <c:axId val="1277122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1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8143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0762880"/>
        <c:axId val="160772864"/>
      </c:lineChart>
      <c:catAx>
        <c:axId val="16076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72864"/>
        <c:crosses val="autoZero"/>
        <c:auto val="1"/>
        <c:lblAlgn val="ctr"/>
        <c:lblOffset val="100"/>
      </c:catAx>
      <c:valAx>
        <c:axId val="1607728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6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312320"/>
        <c:axId val="1603141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</c:dLbl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315648"/>
        <c:axId val="160333824"/>
      </c:lineChart>
      <c:catAx>
        <c:axId val="1603123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4112"/>
        <c:crosses val="autoZero"/>
        <c:lblAlgn val="ctr"/>
        <c:lblOffset val="100"/>
        <c:tickMarkSkip val="1"/>
      </c:catAx>
      <c:valAx>
        <c:axId val="160314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2320"/>
        <c:crosses val="autoZero"/>
        <c:crossBetween val="between"/>
      </c:valAx>
      <c:catAx>
        <c:axId val="160315648"/>
        <c:scaling>
          <c:orientation val="minMax"/>
        </c:scaling>
        <c:delete val="1"/>
        <c:axPos val="b"/>
        <c:numFmt formatCode="General" sourceLinked="1"/>
        <c:tickLblPos val="none"/>
        <c:crossAx val="160333824"/>
        <c:crosses val="autoZero"/>
        <c:lblAlgn val="ctr"/>
        <c:lblOffset val="100"/>
      </c:catAx>
      <c:valAx>
        <c:axId val="160333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5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</c:dLbl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357760"/>
        <c:axId val="160359552"/>
      </c:lineChart>
      <c:catAx>
        <c:axId val="16035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59552"/>
        <c:crosses val="autoZero"/>
        <c:auto val="1"/>
        <c:lblAlgn val="ctr"/>
        <c:lblOffset val="100"/>
      </c:catAx>
      <c:valAx>
        <c:axId val="16035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5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820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1371264"/>
        <c:axId val="161372800"/>
      </c:lineChart>
      <c:catAx>
        <c:axId val="16137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72800"/>
        <c:crosses val="autoZero"/>
        <c:auto val="1"/>
        <c:lblAlgn val="ctr"/>
        <c:lblOffset val="100"/>
      </c:catAx>
      <c:valAx>
        <c:axId val="161372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7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1782784"/>
        <c:axId val="16178457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1786112"/>
        <c:axId val="161796096"/>
      </c:lineChart>
      <c:catAx>
        <c:axId val="1617827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84576"/>
        <c:crosses val="autoZero"/>
        <c:lblAlgn val="ctr"/>
        <c:lblOffset val="100"/>
        <c:tickMarkSkip val="1"/>
      </c:catAx>
      <c:valAx>
        <c:axId val="1617845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82784"/>
        <c:crosses val="autoZero"/>
        <c:crossBetween val="between"/>
      </c:valAx>
      <c:catAx>
        <c:axId val="161786112"/>
        <c:scaling>
          <c:orientation val="minMax"/>
        </c:scaling>
        <c:delete val="1"/>
        <c:axPos val="b"/>
        <c:numFmt formatCode="[$-409]d\-mmm\-yy;@" sourceLinked="1"/>
        <c:tickLblPos val="none"/>
        <c:crossAx val="161796096"/>
        <c:crosses val="autoZero"/>
        <c:lblAlgn val="ctr"/>
        <c:lblOffset val="100"/>
      </c:catAx>
      <c:valAx>
        <c:axId val="1617960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861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944512"/>
        <c:axId val="1629460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956032"/>
        <c:axId val="162957568"/>
      </c:lineChart>
      <c:catAx>
        <c:axId val="1629445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46048"/>
        <c:crosses val="autoZero"/>
        <c:lblAlgn val="ctr"/>
        <c:lblOffset val="100"/>
        <c:tickMarkSkip val="1"/>
      </c:catAx>
      <c:valAx>
        <c:axId val="16294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44512"/>
        <c:crosses val="autoZero"/>
        <c:crossBetween val="between"/>
      </c:valAx>
      <c:catAx>
        <c:axId val="162956032"/>
        <c:scaling>
          <c:orientation val="minMax"/>
        </c:scaling>
        <c:delete val="1"/>
        <c:axPos val="b"/>
        <c:numFmt formatCode="General" sourceLinked="1"/>
        <c:tickLblPos val="none"/>
        <c:crossAx val="162957568"/>
        <c:crosses val="autoZero"/>
        <c:lblAlgn val="ctr"/>
        <c:lblOffset val="100"/>
      </c:catAx>
      <c:valAx>
        <c:axId val="1629575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56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8966528"/>
        <c:axId val="15896806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8973952"/>
        <c:axId val="158975488"/>
      </c:lineChart>
      <c:catAx>
        <c:axId val="1589665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68064"/>
        <c:crosses val="autoZero"/>
        <c:lblAlgn val="ctr"/>
        <c:lblOffset val="100"/>
        <c:tickMarkSkip val="1"/>
      </c:catAx>
      <c:valAx>
        <c:axId val="158968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66528"/>
        <c:crosses val="autoZero"/>
        <c:crossBetween val="between"/>
      </c:valAx>
      <c:catAx>
        <c:axId val="158973952"/>
        <c:scaling>
          <c:orientation val="minMax"/>
        </c:scaling>
        <c:delete val="1"/>
        <c:axPos val="b"/>
        <c:numFmt formatCode="[$-409]d\-mmm\-yy;@" sourceLinked="1"/>
        <c:tickLblPos val="none"/>
        <c:crossAx val="158975488"/>
        <c:crosses val="autoZero"/>
        <c:lblAlgn val="ctr"/>
        <c:lblOffset val="100"/>
      </c:catAx>
      <c:valAx>
        <c:axId val="1589754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73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240960"/>
        <c:axId val="1632427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244288"/>
        <c:axId val="163258368"/>
      </c:lineChart>
      <c:catAx>
        <c:axId val="1632409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42752"/>
        <c:crosses val="autoZero"/>
        <c:lblAlgn val="ctr"/>
        <c:lblOffset val="100"/>
        <c:tickMarkSkip val="1"/>
      </c:catAx>
      <c:valAx>
        <c:axId val="16324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40960"/>
        <c:crosses val="autoZero"/>
        <c:crossBetween val="between"/>
      </c:valAx>
      <c:catAx>
        <c:axId val="163244288"/>
        <c:scaling>
          <c:orientation val="minMax"/>
        </c:scaling>
        <c:delete val="1"/>
        <c:axPos val="b"/>
        <c:numFmt formatCode="General" sourceLinked="1"/>
        <c:tickLblPos val="none"/>
        <c:crossAx val="163258368"/>
        <c:crosses val="autoZero"/>
        <c:lblAlgn val="ctr"/>
        <c:lblOffset val="100"/>
      </c:catAx>
      <c:valAx>
        <c:axId val="1632583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5125</c:v>
                </c:pt>
                <c:pt idx="28">
                  <c:v>3443</c:v>
                </c:pt>
                <c:pt idx="29">
                  <c:v>5192</c:v>
                </c:pt>
                <c:pt idx="30">
                  <c:v>5234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4594048"/>
        <c:axId val="164595968"/>
      </c:lineChart>
      <c:catAx>
        <c:axId val="164594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95968"/>
        <c:crosses val="autoZero"/>
        <c:auto val="1"/>
        <c:lblAlgn val="ctr"/>
        <c:lblOffset val="100"/>
      </c:catAx>
      <c:valAx>
        <c:axId val="1645959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940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130</c:v>
                </c:pt>
                <c:pt idx="1">
                  <c:v>128</c:v>
                </c:pt>
                <c:pt idx="2">
                  <c:v>120</c:v>
                </c:pt>
                <c:pt idx="3">
                  <c:v>120</c:v>
                </c:pt>
                <c:pt idx="4">
                  <c:v>114</c:v>
                </c:pt>
                <c:pt idx="5">
                  <c:v>126</c:v>
                </c:pt>
                <c:pt idx="6">
                  <c:v>116</c:v>
                </c:pt>
                <c:pt idx="7">
                  <c:v>120</c:v>
                </c:pt>
                <c:pt idx="8">
                  <c:v>107</c:v>
                </c:pt>
                <c:pt idx="9">
                  <c:v>123</c:v>
                </c:pt>
                <c:pt idx="10">
                  <c:v>112</c:v>
                </c:pt>
                <c:pt idx="11">
                  <c:v>128</c:v>
                </c:pt>
                <c:pt idx="12">
                  <c:v>114</c:v>
                </c:pt>
                <c:pt idx="13">
                  <c:v>119</c:v>
                </c:pt>
                <c:pt idx="14">
                  <c:v>128</c:v>
                </c:pt>
                <c:pt idx="15">
                  <c:v>127</c:v>
                </c:pt>
                <c:pt idx="16">
                  <c:v>122</c:v>
                </c:pt>
                <c:pt idx="17">
                  <c:v>105</c:v>
                </c:pt>
                <c:pt idx="18">
                  <c:v>104</c:v>
                </c:pt>
                <c:pt idx="19">
                  <c:v>100</c:v>
                </c:pt>
                <c:pt idx="20">
                  <c:v>116</c:v>
                </c:pt>
                <c:pt idx="21">
                  <c:v>114</c:v>
                </c:pt>
                <c:pt idx="22">
                  <c:v>113</c:v>
                </c:pt>
                <c:pt idx="23">
                  <c:v>99</c:v>
                </c:pt>
                <c:pt idx="24">
                  <c:v>111</c:v>
                </c:pt>
                <c:pt idx="25">
                  <c:v>130</c:v>
                </c:pt>
                <c:pt idx="26">
                  <c:v>114</c:v>
                </c:pt>
                <c:pt idx="27">
                  <c:v>111</c:v>
                </c:pt>
                <c:pt idx="28">
                  <c:v>100</c:v>
                </c:pt>
                <c:pt idx="29">
                  <c:v>99</c:v>
                </c:pt>
                <c:pt idx="30">
                  <c:v>111</c:v>
                </c:pt>
                <c:pt idx="31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4567680"/>
        <c:axId val="164500224"/>
      </c:lineChart>
      <c:catAx>
        <c:axId val="164567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00224"/>
        <c:crosses val="autoZero"/>
        <c:auto val="1"/>
        <c:lblAlgn val="ctr"/>
        <c:lblOffset val="100"/>
      </c:catAx>
      <c:valAx>
        <c:axId val="1645002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676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2382.7599999999993</c:v>
                </c:pt>
                <c:pt idx="1">
                  <c:v>2504.2999999999997</c:v>
                </c:pt>
                <c:pt idx="2">
                  <c:v>2660.6500000000005</c:v>
                </c:pt>
                <c:pt idx="3">
                  <c:v>2733.73</c:v>
                </c:pt>
                <c:pt idx="4">
                  <c:v>2417.5199999999995</c:v>
                </c:pt>
                <c:pt idx="5">
                  <c:v>2594.5500000000002</c:v>
                </c:pt>
                <c:pt idx="6">
                  <c:v>2351.25</c:v>
                </c:pt>
                <c:pt idx="7">
                  <c:v>2336.4100000000003</c:v>
                </c:pt>
                <c:pt idx="8">
                  <c:v>2715.1000000000004</c:v>
                </c:pt>
                <c:pt idx="9">
                  <c:v>2569.81</c:v>
                </c:pt>
                <c:pt idx="10">
                  <c:v>2573.2800000000002</c:v>
                </c:pt>
                <c:pt idx="11">
                  <c:v>2738.53</c:v>
                </c:pt>
                <c:pt idx="12">
                  <c:v>2313.31</c:v>
                </c:pt>
                <c:pt idx="13">
                  <c:v>2671.2700000000004</c:v>
                </c:pt>
                <c:pt idx="14">
                  <c:v>2752.87</c:v>
                </c:pt>
                <c:pt idx="15">
                  <c:v>2809.02</c:v>
                </c:pt>
                <c:pt idx="16">
                  <c:v>2919.01</c:v>
                </c:pt>
                <c:pt idx="17">
                  <c:v>2432.5700000000002</c:v>
                </c:pt>
                <c:pt idx="18">
                  <c:v>1933.4700000000003</c:v>
                </c:pt>
                <c:pt idx="19">
                  <c:v>2980.93</c:v>
                </c:pt>
                <c:pt idx="20">
                  <c:v>2434.21</c:v>
                </c:pt>
                <c:pt idx="21">
                  <c:v>2305.4900000000002</c:v>
                </c:pt>
                <c:pt idx="22">
                  <c:v>2459.64</c:v>
                </c:pt>
                <c:pt idx="23">
                  <c:v>2493.9699999999998</c:v>
                </c:pt>
                <c:pt idx="24">
                  <c:v>2377.8900000000003</c:v>
                </c:pt>
                <c:pt idx="25">
                  <c:v>2866.8</c:v>
                </c:pt>
                <c:pt idx="26">
                  <c:v>2604.37</c:v>
                </c:pt>
                <c:pt idx="27">
                  <c:v>2708.12</c:v>
                </c:pt>
                <c:pt idx="28">
                  <c:v>2252.0699999999997</c:v>
                </c:pt>
                <c:pt idx="29">
                  <c:v>2059.2600000000002</c:v>
                </c:pt>
                <c:pt idx="30">
                  <c:v>2660.08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4549760"/>
        <c:axId val="164551296"/>
      </c:lineChart>
      <c:catAx>
        <c:axId val="16454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51296"/>
        <c:crosses val="autoZero"/>
        <c:auto val="1"/>
        <c:lblAlgn val="ctr"/>
        <c:lblOffset val="200"/>
        <c:tickLblSkip val="1"/>
      </c:catAx>
      <c:valAx>
        <c:axId val="1645512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0.41599999999999998</c:v>
                </c:pt>
                <c:pt idx="29">
                  <c:v>0.42899999999999999</c:v>
                </c:pt>
                <c:pt idx="30">
                  <c:v>0.32500000000000001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5243520"/>
        <c:axId val="165253504"/>
      </c:lineChart>
      <c:catAx>
        <c:axId val="16524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53504"/>
        <c:crosses val="autoZero"/>
        <c:auto val="1"/>
        <c:lblAlgn val="ctr"/>
        <c:lblOffset val="100"/>
      </c:catAx>
      <c:valAx>
        <c:axId val="1652535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4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43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72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95.963999999989767</c:v>
                </c:pt>
                <c:pt idx="1">
                  <c:v>112.59599999998464</c:v>
                </c:pt>
                <c:pt idx="2">
                  <c:v>116.1599999999744</c:v>
                </c:pt>
                <c:pt idx="3">
                  <c:v>117.92000000001282</c:v>
                </c:pt>
                <c:pt idx="4">
                  <c:v>121.44000000002562</c:v>
                </c:pt>
                <c:pt idx="5">
                  <c:v>120.55999999997439</c:v>
                </c:pt>
                <c:pt idx="6">
                  <c:v>119.6799999999872</c:v>
                </c:pt>
                <c:pt idx="7">
                  <c:v>118.36000000003843</c:v>
                </c:pt>
                <c:pt idx="8">
                  <c:v>117.03999999996159</c:v>
                </c:pt>
                <c:pt idx="9">
                  <c:v>116.16000000003842</c:v>
                </c:pt>
                <c:pt idx="10">
                  <c:v>110.87999999998721</c:v>
                </c:pt>
                <c:pt idx="11">
                  <c:v>108.24000000002562</c:v>
                </c:pt>
                <c:pt idx="12">
                  <c:v>104.2799999999872</c:v>
                </c:pt>
                <c:pt idx="13">
                  <c:v>106.92000000001282</c:v>
                </c:pt>
                <c:pt idx="14">
                  <c:v>105.1599999999744</c:v>
                </c:pt>
                <c:pt idx="15">
                  <c:v>103.4</c:v>
                </c:pt>
                <c:pt idx="16">
                  <c:v>99.44000000002562</c:v>
                </c:pt>
                <c:pt idx="17">
                  <c:v>94.600000000000009</c:v>
                </c:pt>
                <c:pt idx="18">
                  <c:v>104.71999999994878</c:v>
                </c:pt>
                <c:pt idx="19">
                  <c:v>118.36000000003843</c:v>
                </c:pt>
                <c:pt idx="20">
                  <c:v>117.92000000001282</c:v>
                </c:pt>
                <c:pt idx="21">
                  <c:v>116.1599999999744</c:v>
                </c:pt>
                <c:pt idx="22">
                  <c:v>108.24000000002562</c:v>
                </c:pt>
                <c:pt idx="23">
                  <c:v>107.80000000000001</c:v>
                </c:pt>
                <c:pt idx="24">
                  <c:v>111.31999999994879</c:v>
                </c:pt>
                <c:pt idx="25">
                  <c:v>117.92000000001282</c:v>
                </c:pt>
                <c:pt idx="26">
                  <c:v>115.2799999999872</c:v>
                </c:pt>
                <c:pt idx="27">
                  <c:v>110.44000000002562</c:v>
                </c:pt>
                <c:pt idx="28">
                  <c:v>109.55999999997439</c:v>
                </c:pt>
                <c:pt idx="29">
                  <c:v>106.92000000001282</c:v>
                </c:pt>
                <c:pt idx="30">
                  <c:v>119.6799999999872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5278080"/>
        <c:axId val="165279616"/>
      </c:lineChart>
      <c:catAx>
        <c:axId val="16527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79616"/>
        <c:crosses val="autoZero"/>
        <c:auto val="1"/>
        <c:lblAlgn val="ctr"/>
        <c:lblOffset val="100"/>
      </c:catAx>
      <c:valAx>
        <c:axId val="165279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7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5125</c:v>
                </c:pt>
                <c:pt idx="28">
                  <c:v>3443</c:v>
                </c:pt>
                <c:pt idx="29">
                  <c:v>5192</c:v>
                </c:pt>
                <c:pt idx="30">
                  <c:v>5234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5472128"/>
        <c:axId val="166268928"/>
      </c:lineChart>
      <c:catAx>
        <c:axId val="165472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68928"/>
        <c:crosses val="autoZero"/>
        <c:auto val="1"/>
        <c:lblAlgn val="ctr"/>
        <c:lblOffset val="100"/>
      </c:catAx>
      <c:valAx>
        <c:axId val="1662689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721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130</c:v>
                </c:pt>
                <c:pt idx="1">
                  <c:v>128</c:v>
                </c:pt>
                <c:pt idx="2">
                  <c:v>120</c:v>
                </c:pt>
                <c:pt idx="3">
                  <c:v>120</c:v>
                </c:pt>
                <c:pt idx="4">
                  <c:v>114</c:v>
                </c:pt>
                <c:pt idx="5">
                  <c:v>126</c:v>
                </c:pt>
                <c:pt idx="6">
                  <c:v>116</c:v>
                </c:pt>
                <c:pt idx="7">
                  <c:v>120</c:v>
                </c:pt>
                <c:pt idx="8">
                  <c:v>107</c:v>
                </c:pt>
                <c:pt idx="9">
                  <c:v>123</c:v>
                </c:pt>
                <c:pt idx="10">
                  <c:v>112</c:v>
                </c:pt>
                <c:pt idx="11">
                  <c:v>128</c:v>
                </c:pt>
                <c:pt idx="12">
                  <c:v>114</c:v>
                </c:pt>
                <c:pt idx="13">
                  <c:v>119</c:v>
                </c:pt>
                <c:pt idx="14">
                  <c:v>128</c:v>
                </c:pt>
                <c:pt idx="15">
                  <c:v>127</c:v>
                </c:pt>
                <c:pt idx="16">
                  <c:v>122</c:v>
                </c:pt>
                <c:pt idx="17">
                  <c:v>105</c:v>
                </c:pt>
                <c:pt idx="18">
                  <c:v>104</c:v>
                </c:pt>
                <c:pt idx="19">
                  <c:v>100</c:v>
                </c:pt>
                <c:pt idx="20">
                  <c:v>116</c:v>
                </c:pt>
                <c:pt idx="21">
                  <c:v>114</c:v>
                </c:pt>
                <c:pt idx="22">
                  <c:v>113</c:v>
                </c:pt>
                <c:pt idx="23">
                  <c:v>99</c:v>
                </c:pt>
                <c:pt idx="24">
                  <c:v>111</c:v>
                </c:pt>
                <c:pt idx="25">
                  <c:v>130</c:v>
                </c:pt>
                <c:pt idx="26">
                  <c:v>114</c:v>
                </c:pt>
                <c:pt idx="27">
                  <c:v>111</c:v>
                </c:pt>
                <c:pt idx="28">
                  <c:v>100</c:v>
                </c:pt>
                <c:pt idx="29">
                  <c:v>99</c:v>
                </c:pt>
                <c:pt idx="30">
                  <c:v>111</c:v>
                </c:pt>
                <c:pt idx="31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6302080"/>
        <c:axId val="166304000"/>
      </c:lineChart>
      <c:catAx>
        <c:axId val="166302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04000"/>
        <c:crosses val="autoZero"/>
        <c:auto val="1"/>
        <c:lblAlgn val="ctr"/>
        <c:lblOffset val="100"/>
      </c:catAx>
      <c:valAx>
        <c:axId val="1663040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02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2382.7599999999993</c:v>
                </c:pt>
                <c:pt idx="1">
                  <c:v>2504.2999999999997</c:v>
                </c:pt>
                <c:pt idx="2">
                  <c:v>2660.6500000000005</c:v>
                </c:pt>
                <c:pt idx="3">
                  <c:v>2733.73</c:v>
                </c:pt>
                <c:pt idx="4">
                  <c:v>2417.5199999999995</c:v>
                </c:pt>
                <c:pt idx="5">
                  <c:v>2594.5500000000002</c:v>
                </c:pt>
                <c:pt idx="6">
                  <c:v>2351.25</c:v>
                </c:pt>
                <c:pt idx="7">
                  <c:v>2336.4100000000003</c:v>
                </c:pt>
                <c:pt idx="8">
                  <c:v>2715.1000000000004</c:v>
                </c:pt>
                <c:pt idx="9">
                  <c:v>2569.81</c:v>
                </c:pt>
                <c:pt idx="10">
                  <c:v>2573.2800000000002</c:v>
                </c:pt>
                <c:pt idx="11">
                  <c:v>2738.53</c:v>
                </c:pt>
                <c:pt idx="12">
                  <c:v>2313.31</c:v>
                </c:pt>
                <c:pt idx="13">
                  <c:v>2671.2700000000004</c:v>
                </c:pt>
                <c:pt idx="14">
                  <c:v>2752.87</c:v>
                </c:pt>
                <c:pt idx="15">
                  <c:v>2809.02</c:v>
                </c:pt>
                <c:pt idx="16">
                  <c:v>2919.01</c:v>
                </c:pt>
                <c:pt idx="17">
                  <c:v>2432.5700000000002</c:v>
                </c:pt>
                <c:pt idx="18">
                  <c:v>1933.4700000000003</c:v>
                </c:pt>
                <c:pt idx="19">
                  <c:v>2980.93</c:v>
                </c:pt>
                <c:pt idx="20">
                  <c:v>2434.21</c:v>
                </c:pt>
                <c:pt idx="21">
                  <c:v>2305.4900000000002</c:v>
                </c:pt>
                <c:pt idx="22">
                  <c:v>2459.64</c:v>
                </c:pt>
                <c:pt idx="23">
                  <c:v>2493.9699999999998</c:v>
                </c:pt>
                <c:pt idx="24">
                  <c:v>2377.8900000000003</c:v>
                </c:pt>
                <c:pt idx="25">
                  <c:v>2866.8</c:v>
                </c:pt>
                <c:pt idx="26">
                  <c:v>2604.37</c:v>
                </c:pt>
                <c:pt idx="27">
                  <c:v>2708.12</c:v>
                </c:pt>
                <c:pt idx="28">
                  <c:v>2252.0699999999997</c:v>
                </c:pt>
                <c:pt idx="29">
                  <c:v>2059.2600000000002</c:v>
                </c:pt>
                <c:pt idx="30">
                  <c:v>2660.08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6296192"/>
        <c:axId val="166990208"/>
      </c:lineChart>
      <c:catAx>
        <c:axId val="16629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90208"/>
        <c:crosses val="autoZero"/>
        <c:auto val="1"/>
        <c:lblAlgn val="ctr"/>
        <c:lblOffset val="200"/>
        <c:tickLblSkip val="1"/>
      </c:catAx>
      <c:valAx>
        <c:axId val="166990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9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0.41599999999999998</c:v>
                </c:pt>
                <c:pt idx="29">
                  <c:v>0.42899999999999999</c:v>
                </c:pt>
                <c:pt idx="30">
                  <c:v>0.32500000000000001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7031168"/>
        <c:axId val="167032704"/>
      </c:lineChart>
      <c:catAx>
        <c:axId val="16703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32704"/>
        <c:crosses val="autoZero"/>
        <c:auto val="1"/>
        <c:lblAlgn val="ctr"/>
        <c:lblOffset val="100"/>
      </c:catAx>
      <c:valAx>
        <c:axId val="1670327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3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43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72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95.963999999989767</c:v>
                </c:pt>
                <c:pt idx="1">
                  <c:v>112.59599999998464</c:v>
                </c:pt>
                <c:pt idx="2">
                  <c:v>116.1599999999744</c:v>
                </c:pt>
                <c:pt idx="3">
                  <c:v>117.92000000001282</c:v>
                </c:pt>
                <c:pt idx="4">
                  <c:v>121.44000000002562</c:v>
                </c:pt>
                <c:pt idx="5">
                  <c:v>120.55999999997439</c:v>
                </c:pt>
                <c:pt idx="6">
                  <c:v>119.6799999999872</c:v>
                </c:pt>
                <c:pt idx="7">
                  <c:v>118.36000000003843</c:v>
                </c:pt>
                <c:pt idx="8">
                  <c:v>117.03999999996159</c:v>
                </c:pt>
                <c:pt idx="9">
                  <c:v>116.16000000003842</c:v>
                </c:pt>
                <c:pt idx="10">
                  <c:v>110.87999999998721</c:v>
                </c:pt>
                <c:pt idx="11">
                  <c:v>108.24000000002562</c:v>
                </c:pt>
                <c:pt idx="12">
                  <c:v>104.2799999999872</c:v>
                </c:pt>
                <c:pt idx="13">
                  <c:v>106.92000000001282</c:v>
                </c:pt>
                <c:pt idx="14">
                  <c:v>105.1599999999744</c:v>
                </c:pt>
                <c:pt idx="15">
                  <c:v>103.4</c:v>
                </c:pt>
                <c:pt idx="16">
                  <c:v>99.44000000002562</c:v>
                </c:pt>
                <c:pt idx="17">
                  <c:v>94.600000000000009</c:v>
                </c:pt>
                <c:pt idx="18">
                  <c:v>104.71999999994878</c:v>
                </c:pt>
                <c:pt idx="19">
                  <c:v>118.36000000003843</c:v>
                </c:pt>
                <c:pt idx="20">
                  <c:v>117.92000000001282</c:v>
                </c:pt>
                <c:pt idx="21">
                  <c:v>116.1599999999744</c:v>
                </c:pt>
                <c:pt idx="22">
                  <c:v>108.24000000002562</c:v>
                </c:pt>
                <c:pt idx="23">
                  <c:v>107.80000000000001</c:v>
                </c:pt>
                <c:pt idx="24">
                  <c:v>111.31999999994879</c:v>
                </c:pt>
                <c:pt idx="25">
                  <c:v>117.92000000001282</c:v>
                </c:pt>
                <c:pt idx="26">
                  <c:v>115.2799999999872</c:v>
                </c:pt>
                <c:pt idx="27">
                  <c:v>110.44000000002562</c:v>
                </c:pt>
                <c:pt idx="28">
                  <c:v>109.55999999997439</c:v>
                </c:pt>
                <c:pt idx="29">
                  <c:v>106.92000000001282</c:v>
                </c:pt>
                <c:pt idx="30">
                  <c:v>119.6799999999872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6537088"/>
        <c:axId val="166538624"/>
      </c:lineChart>
      <c:catAx>
        <c:axId val="16653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38624"/>
        <c:crosses val="autoZero"/>
        <c:auto val="1"/>
        <c:lblAlgn val="ctr"/>
        <c:lblOffset val="100"/>
      </c:catAx>
      <c:valAx>
        <c:axId val="166538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3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6567296"/>
        <c:axId val="167577088"/>
      </c:lineChart>
      <c:catAx>
        <c:axId val="166567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77088"/>
        <c:crosses val="autoZero"/>
        <c:auto val="1"/>
        <c:lblAlgn val="ctr"/>
        <c:lblOffset val="100"/>
      </c:catAx>
      <c:valAx>
        <c:axId val="1675770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72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7618432"/>
        <c:axId val="167624704"/>
      </c:lineChart>
      <c:catAx>
        <c:axId val="167618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24704"/>
        <c:crosses val="autoZero"/>
        <c:auto val="1"/>
        <c:lblAlgn val="ctr"/>
        <c:lblOffset val="100"/>
      </c:catAx>
      <c:valAx>
        <c:axId val="1676247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184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8251776"/>
        <c:axId val="168253312"/>
      </c:lineChart>
      <c:catAx>
        <c:axId val="16825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53312"/>
        <c:crosses val="autoZero"/>
        <c:auto val="1"/>
        <c:lblAlgn val="ctr"/>
        <c:lblOffset val="200"/>
        <c:tickLblSkip val="1"/>
      </c:catAx>
      <c:valAx>
        <c:axId val="168253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5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8281984"/>
        <c:axId val="168283520"/>
      </c:lineChart>
      <c:catAx>
        <c:axId val="16828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83520"/>
        <c:crosses val="autoZero"/>
        <c:auto val="1"/>
        <c:lblAlgn val="ctr"/>
        <c:lblOffset val="100"/>
      </c:catAx>
      <c:valAx>
        <c:axId val="16828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8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47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751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8295808"/>
        <c:axId val="168772736"/>
      </c:lineChart>
      <c:catAx>
        <c:axId val="16829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72736"/>
        <c:crosses val="autoZero"/>
        <c:auto val="1"/>
        <c:lblAlgn val="ctr"/>
        <c:lblOffset val="100"/>
      </c:catAx>
      <c:valAx>
        <c:axId val="16877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9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8969344"/>
        <c:axId val="168971264"/>
      </c:lineChart>
      <c:catAx>
        <c:axId val="168969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71264"/>
        <c:crosses val="autoZero"/>
        <c:auto val="1"/>
        <c:lblAlgn val="ctr"/>
        <c:lblOffset val="100"/>
      </c:catAx>
      <c:valAx>
        <c:axId val="1689712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693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8996224"/>
        <c:axId val="169006592"/>
      </c:lineChart>
      <c:catAx>
        <c:axId val="168996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06592"/>
        <c:crosses val="autoZero"/>
        <c:auto val="1"/>
        <c:lblAlgn val="ctr"/>
        <c:lblOffset val="100"/>
      </c:catAx>
      <c:valAx>
        <c:axId val="1690065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962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8441728"/>
        <c:axId val="168443264"/>
      </c:lineChart>
      <c:catAx>
        <c:axId val="16844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3264"/>
        <c:crosses val="autoZero"/>
        <c:auto val="1"/>
        <c:lblAlgn val="ctr"/>
        <c:lblOffset val="200"/>
        <c:tickLblSkip val="1"/>
      </c:catAx>
      <c:valAx>
        <c:axId val="1684432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8480128"/>
        <c:axId val="168957056"/>
      </c:lineChart>
      <c:catAx>
        <c:axId val="16848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57056"/>
        <c:crosses val="autoZero"/>
        <c:auto val="1"/>
        <c:lblAlgn val="ctr"/>
        <c:lblOffset val="100"/>
      </c:catAx>
      <c:valAx>
        <c:axId val="168957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8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47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751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9305216"/>
        <c:axId val="169306752"/>
      </c:lineChart>
      <c:catAx>
        <c:axId val="16930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06752"/>
        <c:crosses val="autoZero"/>
        <c:auto val="1"/>
        <c:lblAlgn val="ctr"/>
        <c:lblOffset val="100"/>
      </c:catAx>
      <c:valAx>
        <c:axId val="169306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0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204107</xdr:colOff>
      <xdr:row>48</xdr:row>
      <xdr:rowOff>0</xdr:rowOff>
    </xdr:from>
    <xdr:to>
      <xdr:col>5</xdr:col>
      <xdr:colOff>1088571</xdr:colOff>
      <xdr:row>64</xdr:row>
      <xdr:rowOff>145596</xdr:rowOff>
    </xdr:to>
    <xdr:pic>
      <xdr:nvPicPr>
        <xdr:cNvPr id="4" name="Picture 3" descr="C:\Users\john.japhet\Desktop\6003.jpg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43000" y="10885714"/>
          <a:ext cx="3061607" cy="27581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367393</xdr:colOff>
      <xdr:row>47</xdr:row>
      <xdr:rowOff>136071</xdr:rowOff>
    </xdr:from>
    <xdr:to>
      <xdr:col>9</xdr:col>
      <xdr:colOff>658586</xdr:colOff>
      <xdr:row>64</xdr:row>
      <xdr:rowOff>141514</xdr:rowOff>
    </xdr:to>
    <xdr:pic>
      <xdr:nvPicPr>
        <xdr:cNvPr id="5" name="Picture 4" descr="C:\Users\JOHN~1.JAP\AppData\Local\Temp\notes9CB204\~8169615.JPG"/>
        <xdr:cNvPicPr/>
      </xdr:nvPicPr>
      <xdr:blipFill>
        <a:blip xmlns:r="http://schemas.openxmlformats.org/officeDocument/2006/relationships" r:embed="rId3"/>
        <a:srcRect l="21314" t="40144" r="25641" b="14423"/>
        <a:stretch>
          <a:fillRect/>
        </a:stretch>
      </xdr:blipFill>
      <xdr:spPr bwMode="auto">
        <a:xfrm rot="10800000">
          <a:off x="5946322" y="10858500"/>
          <a:ext cx="2590800" cy="278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340179</xdr:colOff>
      <xdr:row>47</xdr:row>
      <xdr:rowOff>122464</xdr:rowOff>
    </xdr:from>
    <xdr:to>
      <xdr:col>16</xdr:col>
      <xdr:colOff>299357</xdr:colOff>
      <xdr:row>64</xdr:row>
      <xdr:rowOff>122464</xdr:rowOff>
    </xdr:to>
    <xdr:pic>
      <xdr:nvPicPr>
        <xdr:cNvPr id="6" name="Picture 5" descr="C:\Users\JOHN~1.JAP\AppData\Local\Temp\notes9CB204\~4646213.JPG"/>
        <xdr:cNvPicPr/>
      </xdr:nvPicPr>
      <xdr:blipFill>
        <a:blip xmlns:r="http://schemas.openxmlformats.org/officeDocument/2006/relationships" r:embed="rId4"/>
        <a:srcRect l="31731" t="34255" r="26442" b="32332"/>
        <a:stretch>
          <a:fillRect/>
        </a:stretch>
      </xdr:blipFill>
      <xdr:spPr bwMode="auto">
        <a:xfrm>
          <a:off x="10069286" y="10844893"/>
          <a:ext cx="3020785" cy="27758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8%20AUG.%20%202019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9%20SEPT.%20%202019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  <row r="36">
          <cell r="C36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C11">
            <v>47806.650000000031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Sheet2"/>
    </sheetNames>
    <sheetDataSet>
      <sheetData sheetId="0"/>
      <sheetData sheetId="1"/>
      <sheetData sheetId="2"/>
      <sheetData sheetId="3"/>
      <sheetData sheetId="4">
        <row r="36">
          <cell r="L36">
            <v>33001</v>
          </cell>
        </row>
        <row r="37">
          <cell r="L37">
            <v>0</v>
          </cell>
        </row>
      </sheetData>
      <sheetData sheetId="5">
        <row r="43">
          <cell r="C43">
            <v>43345.180000000022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3">
          <cell r="C43">
            <v>35806.650000000031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G33" sqref="G33"/>
    </sheetView>
  </sheetViews>
  <sheetFormatPr defaultColWidth="11.5703125" defaultRowHeight="12.75"/>
  <cols>
    <col min="1" max="1" width="12.42578125" style="12" customWidth="1"/>
    <col min="2" max="3" width="11.5703125" style="613"/>
    <col min="4" max="4" width="13.42578125" style="614" customWidth="1"/>
    <col min="5" max="5" width="12.5703125" style="615" customWidth="1"/>
    <col min="6" max="6" width="12.5703125" style="12" customWidth="1"/>
    <col min="7" max="7" width="11.5703125" style="12"/>
    <col min="8" max="8" width="11.5703125" style="637"/>
    <col min="9" max="9" width="11.5703125" style="12"/>
    <col min="10" max="10" width="11.5703125" style="637"/>
    <col min="11" max="11" width="11.5703125" style="61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611" customFormat="1" ht="60.75" thickBot="1">
      <c r="A1" s="605" t="s">
        <v>315</v>
      </c>
      <c r="B1" s="606" t="s">
        <v>316</v>
      </c>
      <c r="C1" s="606" t="s">
        <v>317</v>
      </c>
      <c r="D1" s="607" t="s">
        <v>318</v>
      </c>
      <c r="E1" s="608" t="s">
        <v>319</v>
      </c>
      <c r="F1" s="609" t="s">
        <v>320</v>
      </c>
      <c r="G1" s="609" t="s">
        <v>321</v>
      </c>
      <c r="H1" s="635" t="s">
        <v>322</v>
      </c>
      <c r="I1" s="609" t="s">
        <v>323</v>
      </c>
      <c r="J1" s="635" t="s">
        <v>324</v>
      </c>
      <c r="K1" s="608" t="s">
        <v>325</v>
      </c>
      <c r="L1" s="610" t="s">
        <v>326</v>
      </c>
    </row>
    <row r="2" spans="1:12">
      <c r="A2" s="612" t="s">
        <v>327</v>
      </c>
      <c r="B2" s="613">
        <v>1</v>
      </c>
      <c r="C2" s="613">
        <v>10</v>
      </c>
      <c r="D2" s="614">
        <v>2019</v>
      </c>
      <c r="E2" s="615">
        <f>'UTILITY REPORT 1'!F3</f>
        <v>5669</v>
      </c>
      <c r="F2" s="616">
        <f>('UTILITY REPORT 1'!E3*'UTILITY REPORT 1'!D3)/'UTILITY REPORT 1'!F3</f>
        <v>0.38445581231257708</v>
      </c>
      <c r="G2" s="616">
        <f>IF('Utility summery'!M6&lt;0,"0",'Utility summery'!M6)</f>
        <v>95.963999999989767</v>
      </c>
      <c r="H2" s="636">
        <v>0</v>
      </c>
      <c r="I2" s="616">
        <f>IF('UTILITY REPORT 1'!G3&lt;0,"0",'UTILITY REPORT 1'!G3)</f>
        <v>130</v>
      </c>
      <c r="J2" s="636">
        <v>0</v>
      </c>
      <c r="K2" s="615">
        <f>'UTILITY REPORT 1'!C3</f>
        <v>48</v>
      </c>
      <c r="L2" s="617" t="e">
        <f>E2*F2+G2*H2+#REF!*#REF!+I2*J2</f>
        <v>#REF!</v>
      </c>
    </row>
    <row r="3" spans="1:12">
      <c r="A3" s="612" t="s">
        <v>327</v>
      </c>
      <c r="B3" s="613">
        <f>B2+1</f>
        <v>2</v>
      </c>
      <c r="C3" s="613">
        <v>10</v>
      </c>
      <c r="D3" s="614">
        <v>2019</v>
      </c>
      <c r="E3" s="615">
        <f>'UTILITY REPORT 1'!F4</f>
        <v>6159</v>
      </c>
      <c r="F3" s="616">
        <f>('UTILITY REPORT 1'!E4*'UTILITY REPORT 1'!D4)/'UTILITY REPORT 1'!F4</f>
        <v>0.40150186718623154</v>
      </c>
      <c r="G3" s="616">
        <f>IF('Utility summery'!M7&lt;0,"0",'Utility summery'!M7)</f>
        <v>112.59599999998464</v>
      </c>
      <c r="H3" s="636">
        <v>0</v>
      </c>
      <c r="I3" s="616">
        <f>IF('UTILITY REPORT 1'!G4&lt;0,"0",'UTILITY REPORT 1'!G4)</f>
        <v>128</v>
      </c>
      <c r="J3" s="636">
        <v>0</v>
      </c>
      <c r="K3" s="615">
        <f>'UTILITY REPORT 1'!C4</f>
        <v>62</v>
      </c>
      <c r="L3" s="617" t="e">
        <f>E3*F3+G3*H3+#REF!*#REF!+I3*J3</f>
        <v>#REF!</v>
      </c>
    </row>
    <row r="4" spans="1:12">
      <c r="A4" s="612" t="s">
        <v>327</v>
      </c>
      <c r="B4" s="613">
        <f t="shared" ref="B4:B32" si="0">B3+1</f>
        <v>3</v>
      </c>
      <c r="C4" s="613">
        <v>10</v>
      </c>
      <c r="D4" s="614">
        <v>2019</v>
      </c>
      <c r="E4" s="615">
        <f>'UTILITY REPORT 1'!F5</f>
        <v>6580</v>
      </c>
      <c r="F4" s="616">
        <f>('UTILITY REPORT 1'!E5*'UTILITY REPORT 1'!D5)/'UTILITY REPORT 1'!F5</f>
        <v>0.38820516717325232</v>
      </c>
      <c r="G4" s="616">
        <f>IF('Utility summery'!M8&lt;0,"0",'Utility summery'!M8)</f>
        <v>116.1599999999744</v>
      </c>
      <c r="H4" s="636">
        <v>0</v>
      </c>
      <c r="I4" s="616">
        <f>IF('UTILITY REPORT 1'!G5&lt;0,"0",'UTILITY REPORT 1'!G5)</f>
        <v>120</v>
      </c>
      <c r="J4" s="636">
        <v>0</v>
      </c>
      <c r="K4" s="615">
        <f>'UTILITY REPORT 1'!C5</f>
        <v>41</v>
      </c>
      <c r="L4" s="617" t="e">
        <f>E4*F4+G4*H4+#REF!*#REF!+I4*J4</f>
        <v>#REF!</v>
      </c>
    </row>
    <row r="5" spans="1:12">
      <c r="A5" s="612" t="s">
        <v>327</v>
      </c>
      <c r="B5" s="613">
        <f t="shared" si="0"/>
        <v>4</v>
      </c>
      <c r="C5" s="613">
        <v>10</v>
      </c>
      <c r="D5" s="614">
        <v>2019</v>
      </c>
      <c r="E5" s="615">
        <f>'UTILITY REPORT 1'!F6</f>
        <v>6223</v>
      </c>
      <c r="F5" s="616">
        <f>('UTILITY REPORT 1'!E6*'UTILITY REPORT 1'!D6)/'UTILITY REPORT 1'!F6</f>
        <v>0.39232203117467462</v>
      </c>
      <c r="G5" s="616">
        <f>IF('Utility summery'!M9&lt;0,"0",'Utility summery'!M9)</f>
        <v>117.92000000001282</v>
      </c>
      <c r="H5" s="636">
        <v>0</v>
      </c>
      <c r="I5" s="616">
        <f>IF('UTILITY REPORT 1'!G6&lt;0,"0",'UTILITY REPORT 1'!G6)</f>
        <v>120</v>
      </c>
      <c r="J5" s="636">
        <v>0</v>
      </c>
      <c r="K5" s="615">
        <f>'UTILITY REPORT 1'!C6</f>
        <v>47</v>
      </c>
      <c r="L5" s="617" t="e">
        <f>E5*F5+G5*H5+#REF!*#REF!+I5*J5</f>
        <v>#REF!</v>
      </c>
    </row>
    <row r="6" spans="1:12">
      <c r="A6" s="612" t="s">
        <v>327</v>
      </c>
      <c r="B6" s="613">
        <f t="shared" si="0"/>
        <v>5</v>
      </c>
      <c r="C6" s="613">
        <v>10</v>
      </c>
      <c r="D6" s="614">
        <v>2019</v>
      </c>
      <c r="E6" s="615">
        <f>'UTILITY REPORT 1'!F7</f>
        <v>5984</v>
      </c>
      <c r="F6" s="616">
        <f>('UTILITY REPORT 1'!E7*'UTILITY REPORT 1'!D7)/'UTILITY REPORT 1'!F7</f>
        <v>0.39076871657754003</v>
      </c>
      <c r="G6" s="616">
        <f>IF('Utility summery'!M10&lt;0,"0",'Utility summery'!M10)</f>
        <v>121.44000000002562</v>
      </c>
      <c r="H6" s="636">
        <v>0</v>
      </c>
      <c r="I6" s="616">
        <f>IF('UTILITY REPORT 1'!G7&lt;0,"0",'UTILITY REPORT 1'!G7)</f>
        <v>114</v>
      </c>
      <c r="J6" s="636">
        <v>0</v>
      </c>
      <c r="K6" s="615">
        <f>'UTILITY REPORT 1'!C7</f>
        <v>53</v>
      </c>
      <c r="L6" s="617" t="e">
        <f>E6*F6+G6*H6+#REF!*#REF!+I6*J6</f>
        <v>#REF!</v>
      </c>
    </row>
    <row r="7" spans="1:12">
      <c r="A7" s="612" t="s">
        <v>327</v>
      </c>
      <c r="B7" s="613">
        <f t="shared" si="0"/>
        <v>6</v>
      </c>
      <c r="C7" s="613">
        <v>10</v>
      </c>
      <c r="D7" s="614">
        <v>2019</v>
      </c>
      <c r="E7" s="615">
        <f>'UTILITY REPORT 1'!F8</f>
        <v>6103</v>
      </c>
      <c r="F7" s="616">
        <f>('UTILITY REPORT 1'!E8*'UTILITY REPORT 1'!D8)/'UTILITY REPORT 1'!F8</f>
        <v>0.40617728985744717</v>
      </c>
      <c r="G7" s="616">
        <f>IF('Utility summery'!M11&lt;0,"0",'Utility summery'!M11)</f>
        <v>120.55999999997439</v>
      </c>
      <c r="H7" s="636">
        <v>0</v>
      </c>
      <c r="I7" s="616">
        <f>IF('UTILITY REPORT 1'!G8&lt;0,"0",'UTILITY REPORT 1'!G8)</f>
        <v>126</v>
      </c>
      <c r="J7" s="636">
        <v>0</v>
      </c>
      <c r="K7" s="615">
        <f>'UTILITY REPORT 1'!C8</f>
        <v>41</v>
      </c>
      <c r="L7" s="617" t="e">
        <f>E7*F7+G7*H7+#REF!*#REF!+I7*J7</f>
        <v>#REF!</v>
      </c>
    </row>
    <row r="8" spans="1:12">
      <c r="A8" s="612" t="s">
        <v>327</v>
      </c>
      <c r="B8" s="613">
        <f t="shared" si="0"/>
        <v>7</v>
      </c>
      <c r="C8" s="613">
        <v>10</v>
      </c>
      <c r="D8" s="614">
        <v>2019</v>
      </c>
      <c r="E8" s="615">
        <f>'UTILITY REPORT 1'!F9</f>
        <v>5576</v>
      </c>
      <c r="F8" s="616">
        <f>('UTILITY REPORT 1'!E9*'UTILITY REPORT 1'!D9)/'UTILITY REPORT 1'!F9</f>
        <v>0.40825681492109039</v>
      </c>
      <c r="G8" s="616">
        <f>IF('Utility summery'!M12&lt;0,"0",'Utility summery'!M12)</f>
        <v>119.6799999999872</v>
      </c>
      <c r="H8" s="636">
        <v>0</v>
      </c>
      <c r="I8" s="616">
        <f>IF('UTILITY REPORT 1'!G9&lt;0,"0",'UTILITY REPORT 1'!G9)</f>
        <v>116</v>
      </c>
      <c r="J8" s="636">
        <v>0</v>
      </c>
      <c r="K8" s="615">
        <f>'UTILITY REPORT 1'!C9</f>
        <v>58</v>
      </c>
      <c r="L8" s="617" t="e">
        <f>E8*F8+G8*H8+#REF!*#REF!+I8*J8</f>
        <v>#REF!</v>
      </c>
    </row>
    <row r="9" spans="1:12">
      <c r="A9" s="612" t="s">
        <v>327</v>
      </c>
      <c r="B9" s="613">
        <f t="shared" si="0"/>
        <v>8</v>
      </c>
      <c r="C9" s="613">
        <v>10</v>
      </c>
      <c r="D9" s="614">
        <v>2019</v>
      </c>
      <c r="E9" s="615">
        <f>'UTILITY REPORT 1'!F10</f>
        <v>5532</v>
      </c>
      <c r="F9" s="616">
        <f>('UTILITY REPORT 1'!E10*'UTILITY REPORT 1'!D10)/'UTILITY REPORT 1'!F10</f>
        <v>0.40535068691250903</v>
      </c>
      <c r="G9" s="616">
        <f>IF('Utility summery'!M13&lt;0,"0",'Utility summery'!M13)</f>
        <v>118.36000000003843</v>
      </c>
      <c r="H9" s="636">
        <v>0</v>
      </c>
      <c r="I9" s="616">
        <f>IF('UTILITY REPORT 1'!G10&lt;0,"0",'UTILITY REPORT 1'!G10)</f>
        <v>120</v>
      </c>
      <c r="J9" s="636">
        <v>0</v>
      </c>
      <c r="K9" s="615">
        <f>'UTILITY REPORT 1'!C10</f>
        <v>12</v>
      </c>
      <c r="L9" s="617" t="e">
        <f>E9*F9+G9*H9+#REF!*#REF!+I9*J9</f>
        <v>#REF!</v>
      </c>
    </row>
    <row r="10" spans="1:12">
      <c r="A10" s="612" t="s">
        <v>327</v>
      </c>
      <c r="B10" s="613">
        <f t="shared" si="0"/>
        <v>9</v>
      </c>
      <c r="C10" s="613">
        <v>10</v>
      </c>
      <c r="D10" s="614">
        <v>2019</v>
      </c>
      <c r="E10" s="615">
        <f>'UTILITY REPORT 1'!F11</f>
        <v>6233</v>
      </c>
      <c r="F10" s="616">
        <f>('UTILITY REPORT 1'!E11*'UTILITY REPORT 1'!D11)/'UTILITY REPORT 1'!F11</f>
        <v>0.38990373816781654</v>
      </c>
      <c r="G10" s="616">
        <f>IF('Utility summery'!M14&lt;0,"0",'Utility summery'!M14)</f>
        <v>117.03999999996159</v>
      </c>
      <c r="H10" s="636">
        <v>0</v>
      </c>
      <c r="I10" s="616">
        <f>IF('UTILITY REPORT 1'!G11&lt;0,"0",'UTILITY REPORT 1'!G11)</f>
        <v>107</v>
      </c>
      <c r="J10" s="636">
        <v>0</v>
      </c>
      <c r="K10" s="615">
        <f>'UTILITY REPORT 1'!C11</f>
        <v>34</v>
      </c>
      <c r="L10" s="617" t="e">
        <f>E10*F10+G10*H10+#REF!*#REF!+I10*J10</f>
        <v>#REF!</v>
      </c>
    </row>
    <row r="11" spans="1:12">
      <c r="A11" s="612" t="s">
        <v>327</v>
      </c>
      <c r="B11" s="613">
        <f t="shared" si="0"/>
        <v>10</v>
      </c>
      <c r="C11" s="613">
        <v>10</v>
      </c>
      <c r="D11" s="614">
        <v>2019</v>
      </c>
      <c r="E11" s="615">
        <f>'UTILITY REPORT 1'!F12</f>
        <v>6063</v>
      </c>
      <c r="F11" s="616">
        <f>('UTILITY REPORT 1'!E12*'UTILITY REPORT 1'!D12)/'UTILITY REPORT 1'!F12</f>
        <v>0.40636153719280882</v>
      </c>
      <c r="G11" s="616">
        <f>IF('Utility summery'!M15&lt;0,"0",'Utility summery'!M15)</f>
        <v>116.16000000003842</v>
      </c>
      <c r="H11" s="636">
        <v>0</v>
      </c>
      <c r="I11" s="616">
        <f>IF('UTILITY REPORT 1'!G12&lt;0,"0",'UTILITY REPORT 1'!G12)</f>
        <v>123</v>
      </c>
      <c r="J11" s="636">
        <v>0</v>
      </c>
      <c r="K11" s="615">
        <f>'UTILITY REPORT 1'!C12</f>
        <v>25</v>
      </c>
      <c r="L11" s="617" t="e">
        <f>E11*F11+G11*H11+#REF!*#REF!+I11*J11</f>
        <v>#REF!</v>
      </c>
    </row>
    <row r="12" spans="1:12">
      <c r="A12" s="612" t="s">
        <v>327</v>
      </c>
      <c r="B12" s="613">
        <f t="shared" si="0"/>
        <v>11</v>
      </c>
      <c r="C12" s="613">
        <v>10</v>
      </c>
      <c r="D12" s="614">
        <v>2019</v>
      </c>
      <c r="E12" s="615">
        <f>'UTILITY REPORT 1'!F13</f>
        <v>5967</v>
      </c>
      <c r="F12" s="616">
        <f>('UTILITY REPORT 1'!E13*'UTILITY REPORT 1'!D13)/'UTILITY REPORT 1'!F13</f>
        <v>0.38716105245517013</v>
      </c>
      <c r="G12" s="616">
        <f>IF('Utility summery'!M16&lt;0,"0",'Utility summery'!M16)</f>
        <v>110.87999999998721</v>
      </c>
      <c r="H12" s="636">
        <v>0</v>
      </c>
      <c r="I12" s="616">
        <f>IF('UTILITY REPORT 1'!G13&lt;0,"0",'UTILITY REPORT 1'!G13)</f>
        <v>112</v>
      </c>
      <c r="J12" s="636">
        <v>0</v>
      </c>
      <c r="K12" s="615">
        <f>'UTILITY REPORT 1'!C13</f>
        <v>35</v>
      </c>
      <c r="L12" s="617" t="e">
        <f>E12*F12+G12*H12+#REF!*#REF!+I12*J12</f>
        <v>#REF!</v>
      </c>
    </row>
    <row r="13" spans="1:12">
      <c r="A13" s="612" t="s">
        <v>327</v>
      </c>
      <c r="B13" s="613">
        <f t="shared" si="0"/>
        <v>12</v>
      </c>
      <c r="C13" s="613">
        <v>10</v>
      </c>
      <c r="D13" s="614">
        <v>2019</v>
      </c>
      <c r="E13" s="615">
        <f>'UTILITY REPORT 1'!F14</f>
        <v>5863</v>
      </c>
      <c r="F13" s="616">
        <f>('UTILITY REPORT 1'!E14*'UTILITY REPORT 1'!D14)/'UTILITY REPORT 1'!F14</f>
        <v>0.41432201944397068</v>
      </c>
      <c r="G13" s="616">
        <f>IF('Utility summery'!M17&lt;0,"0",'Utility summery'!M17)</f>
        <v>108.24000000002562</v>
      </c>
      <c r="H13" s="636">
        <v>0</v>
      </c>
      <c r="I13" s="616">
        <f>IF('UTILITY REPORT 1'!G14&lt;0,"0",'UTILITY REPORT 1'!G14)</f>
        <v>128</v>
      </c>
      <c r="J13" s="636">
        <v>0</v>
      </c>
      <c r="K13" s="615">
        <f>'UTILITY REPORT 1'!C14</f>
        <v>32</v>
      </c>
      <c r="L13" s="617" t="e">
        <f>E13*F13+G13*H13+#REF!*#REF!+I13*J13</f>
        <v>#REF!</v>
      </c>
    </row>
    <row r="14" spans="1:12">
      <c r="A14" s="612" t="s">
        <v>327</v>
      </c>
      <c r="B14" s="613">
        <f t="shared" si="0"/>
        <v>13</v>
      </c>
      <c r="C14" s="613">
        <v>10</v>
      </c>
      <c r="D14" s="614">
        <v>2019</v>
      </c>
      <c r="E14" s="615">
        <f>'UTILITY REPORT 1'!F15</f>
        <v>5720</v>
      </c>
      <c r="F14" s="616">
        <f>('UTILITY REPORT 1'!E15*'UTILITY REPORT 1'!D15)/'UTILITY REPORT 1'!F15</f>
        <v>0.39327447552447548</v>
      </c>
      <c r="G14" s="616">
        <f>IF('Utility summery'!M18&lt;0,"0",'Utility summery'!M18)</f>
        <v>104.2799999999872</v>
      </c>
      <c r="H14" s="636">
        <v>0</v>
      </c>
      <c r="I14" s="616">
        <f>IF('UTILITY REPORT 1'!G15&lt;0,"0",'UTILITY REPORT 1'!G15)</f>
        <v>114</v>
      </c>
      <c r="J14" s="636">
        <v>0</v>
      </c>
      <c r="K14" s="615">
        <f>'UTILITY REPORT 1'!C15</f>
        <v>30</v>
      </c>
      <c r="L14" s="617" t="e">
        <f>E14*F14+G14*H14+#REF!*#REF!+I14*J14</f>
        <v>#REF!</v>
      </c>
    </row>
    <row r="15" spans="1:12">
      <c r="A15" s="612" t="s">
        <v>327</v>
      </c>
      <c r="B15" s="613">
        <f t="shared" si="0"/>
        <v>14</v>
      </c>
      <c r="C15" s="613">
        <v>10</v>
      </c>
      <c r="D15" s="614">
        <v>2019</v>
      </c>
      <c r="E15" s="615">
        <f>'UTILITY REPORT 1'!F16</f>
        <v>6195</v>
      </c>
      <c r="F15" s="616">
        <f>('UTILITY REPORT 1'!E16*'UTILITY REPORT 1'!D16)/'UTILITY REPORT 1'!F16</f>
        <v>0.39135916061339793</v>
      </c>
      <c r="G15" s="616">
        <f>IF('Utility summery'!M19&lt;0,"0",'Utility summery'!M19)</f>
        <v>106.92000000001282</v>
      </c>
      <c r="H15" s="636">
        <v>0</v>
      </c>
      <c r="I15" s="616">
        <f>IF('UTILITY REPORT 1'!G16&lt;0,"0",'UTILITY REPORT 1'!G16)</f>
        <v>119</v>
      </c>
      <c r="J15" s="636">
        <v>0</v>
      </c>
      <c r="K15" s="615">
        <f>'UTILITY REPORT 1'!C16</f>
        <v>49</v>
      </c>
      <c r="L15" s="617" t="e">
        <f>E15*F15+G15*H15+#REF!*#REF!+I15*J15</f>
        <v>#REF!</v>
      </c>
    </row>
    <row r="16" spans="1:12">
      <c r="A16" s="612" t="s">
        <v>327</v>
      </c>
      <c r="B16" s="613">
        <f t="shared" si="0"/>
        <v>15</v>
      </c>
      <c r="C16" s="613">
        <v>10</v>
      </c>
      <c r="D16" s="614">
        <v>2019</v>
      </c>
      <c r="E16" s="615">
        <f>'UTILITY REPORT 1'!F17</f>
        <v>6450</v>
      </c>
      <c r="F16" s="616">
        <f>('UTILITY REPORT 1'!E17*'UTILITY REPORT 1'!D17)/'UTILITY REPORT 1'!F17</f>
        <v>0.41431162790697673</v>
      </c>
      <c r="G16" s="616">
        <f>IF('Utility summery'!M20&lt;0,"0",'Utility summery'!M20)</f>
        <v>105.1599999999744</v>
      </c>
      <c r="H16" s="636">
        <v>0</v>
      </c>
      <c r="I16" s="616">
        <f>IF('UTILITY REPORT 1'!G17&lt;0,"0",'UTILITY REPORT 1'!G17)</f>
        <v>128</v>
      </c>
      <c r="J16" s="636">
        <v>0</v>
      </c>
      <c r="K16" s="615">
        <f>'UTILITY REPORT 1'!C17</f>
        <v>66</v>
      </c>
      <c r="L16" s="617" t="e">
        <f>E16*F16+G16*H16+#REF!*#REF!+I16*J16</f>
        <v>#REF!</v>
      </c>
    </row>
    <row r="17" spans="1:12">
      <c r="A17" s="612" t="s">
        <v>327</v>
      </c>
      <c r="B17" s="613">
        <f t="shared" si="0"/>
        <v>16</v>
      </c>
      <c r="C17" s="613">
        <v>10</v>
      </c>
      <c r="D17" s="614">
        <v>2019</v>
      </c>
      <c r="E17" s="615">
        <f>'UTILITY REPORT 1'!F18</f>
        <v>6915</v>
      </c>
      <c r="F17" s="616">
        <f>('UTILITY REPORT 1'!E18*'UTILITY REPORT 1'!D18)/'UTILITY REPORT 1'!F18</f>
        <v>0.39648590021691971</v>
      </c>
      <c r="G17" s="616">
        <f>IF('Utility summery'!M21&lt;0,"0",'Utility summery'!M21)</f>
        <v>103.4</v>
      </c>
      <c r="H17" s="636">
        <v>0</v>
      </c>
      <c r="I17" s="616">
        <f>IF('UTILITY REPORT 1'!G18&lt;0,"0",'UTILITY REPORT 1'!G18)</f>
        <v>127</v>
      </c>
      <c r="J17" s="636">
        <v>0</v>
      </c>
      <c r="K17" s="615">
        <f>'UTILITY REPORT 1'!C18</f>
        <v>63</v>
      </c>
      <c r="L17" s="617" t="e">
        <f>E17*F17+G17*H17+#REF!*#REF!+I17*J17</f>
        <v>#REF!</v>
      </c>
    </row>
    <row r="18" spans="1:12">
      <c r="A18" s="612" t="s">
        <v>327</v>
      </c>
      <c r="B18" s="613">
        <f t="shared" si="0"/>
        <v>17</v>
      </c>
      <c r="C18" s="613">
        <v>10</v>
      </c>
      <c r="D18" s="614">
        <v>2019</v>
      </c>
      <c r="E18" s="615">
        <f>'UTILITY REPORT 1'!F19</f>
        <v>5962</v>
      </c>
      <c r="F18" s="616">
        <f>('UTILITY REPORT 1'!E19*'UTILITY REPORT 1'!D19)/'UTILITY REPORT 1'!F19</f>
        <v>0.38931734317343175</v>
      </c>
      <c r="G18" s="616">
        <f>IF('Utility summery'!M22&lt;0,"0",'Utility summery'!M22)</f>
        <v>99.44000000002562</v>
      </c>
      <c r="H18" s="636">
        <v>0</v>
      </c>
      <c r="I18" s="616">
        <f>IF('UTILITY REPORT 1'!G19&lt;0,"0",'UTILITY REPORT 1'!G19)</f>
        <v>122</v>
      </c>
      <c r="J18" s="636">
        <v>0</v>
      </c>
      <c r="K18" s="615">
        <f>'UTILITY REPORT 1'!C19</f>
        <v>16</v>
      </c>
      <c r="L18" s="617" t="e">
        <f>E18*F18+G18*H18+#REF!*#REF!+I18*J18</f>
        <v>#REF!</v>
      </c>
    </row>
    <row r="19" spans="1:12">
      <c r="A19" s="612" t="s">
        <v>327</v>
      </c>
      <c r="B19" s="613">
        <f t="shared" si="0"/>
        <v>18</v>
      </c>
      <c r="C19" s="613">
        <v>10</v>
      </c>
      <c r="D19" s="614">
        <v>2019</v>
      </c>
      <c r="E19" s="615">
        <f>'UTILITY REPORT 1'!F20</f>
        <v>5257</v>
      </c>
      <c r="F19" s="616">
        <f>('UTILITY REPORT 1'!E20*'UTILITY REPORT 1'!D20)/'UTILITY REPORT 1'!F20</f>
        <v>0.41941031006277346</v>
      </c>
      <c r="G19" s="616">
        <f>IF('Utility summery'!M23&lt;0,"0",'Utility summery'!M23)</f>
        <v>94.600000000000009</v>
      </c>
      <c r="H19" s="636">
        <v>0</v>
      </c>
      <c r="I19" s="616">
        <f>IF('UTILITY REPORT 1'!G20&lt;0,"0",'UTILITY REPORT 1'!G20)</f>
        <v>105</v>
      </c>
      <c r="J19" s="636">
        <v>0</v>
      </c>
      <c r="K19" s="615">
        <f>'UTILITY REPORT 1'!C20</f>
        <v>17</v>
      </c>
      <c r="L19" s="617" t="e">
        <f>E19*F19+G19*H19+#REF!*#REF!+I19*J19</f>
        <v>#REF!</v>
      </c>
    </row>
    <row r="20" spans="1:12">
      <c r="A20" s="612" t="s">
        <v>327</v>
      </c>
      <c r="B20" s="613">
        <f t="shared" si="0"/>
        <v>19</v>
      </c>
      <c r="C20" s="613">
        <v>10</v>
      </c>
      <c r="D20" s="614">
        <v>2019</v>
      </c>
      <c r="E20" s="615">
        <f>'UTILITY REPORT 1'!F21</f>
        <v>4691</v>
      </c>
      <c r="F20" s="616">
        <f>('UTILITY REPORT 1'!E21*'UTILITY REPORT 1'!D21)/'UTILITY REPORT 1'!F21</f>
        <v>0.3933447026220423</v>
      </c>
      <c r="G20" s="616">
        <f>IF('Utility summery'!M24&lt;0,"0",'Utility summery'!M24)</f>
        <v>104.71999999994878</v>
      </c>
      <c r="H20" s="636">
        <v>0</v>
      </c>
      <c r="I20" s="616">
        <f>IF('UTILITY REPORT 1'!G21&lt;0,"0",'UTILITY REPORT 1'!G21)</f>
        <v>104</v>
      </c>
      <c r="J20" s="636">
        <v>0</v>
      </c>
      <c r="K20" s="615">
        <f>'UTILITY REPORT 1'!C21</f>
        <v>9</v>
      </c>
      <c r="L20" s="617" t="e">
        <f>E20*F20+G20*H20+#REF!*#REF!+I20*J20</f>
        <v>#REF!</v>
      </c>
    </row>
    <row r="21" spans="1:12">
      <c r="A21" s="612" t="s">
        <v>327</v>
      </c>
      <c r="B21" s="613">
        <f t="shared" si="0"/>
        <v>20</v>
      </c>
      <c r="C21" s="613">
        <v>10</v>
      </c>
      <c r="D21" s="614">
        <v>2019</v>
      </c>
      <c r="E21" s="615">
        <f>'UTILITY REPORT 1'!F22</f>
        <v>5712</v>
      </c>
      <c r="F21" s="616">
        <f>('UTILITY REPORT 1'!E22*'UTILITY REPORT 1'!D22)/'UTILITY REPORT 1'!F22</f>
        <v>0.489672619047619</v>
      </c>
      <c r="G21" s="616">
        <f>IF('Utility summery'!M25&lt;0,"0",'Utility summery'!M25)</f>
        <v>118.36000000003843</v>
      </c>
      <c r="H21" s="636">
        <v>0</v>
      </c>
      <c r="I21" s="616">
        <f>IF('UTILITY REPORT 1'!G22&lt;0,"0",'UTILITY REPORT 1'!G22)</f>
        <v>100</v>
      </c>
      <c r="J21" s="636">
        <v>0</v>
      </c>
      <c r="K21" s="615">
        <f>'UTILITY REPORT 1'!C22</f>
        <v>44</v>
      </c>
      <c r="L21" s="617" t="e">
        <f>E21*F21+G21*H21+#REF!*#REF!+I21*J21</f>
        <v>#REF!</v>
      </c>
    </row>
    <row r="22" spans="1:12">
      <c r="A22" s="612" t="s">
        <v>327</v>
      </c>
      <c r="B22" s="613">
        <f t="shared" si="0"/>
        <v>21</v>
      </c>
      <c r="C22" s="613">
        <v>10</v>
      </c>
      <c r="D22" s="614">
        <v>2019</v>
      </c>
      <c r="E22" s="615">
        <f>'UTILITY REPORT 1'!F23</f>
        <v>5941</v>
      </c>
      <c r="F22" s="616">
        <f>('UTILITY REPORT 1'!E23*'UTILITY REPORT 1'!D23)/'UTILITY REPORT 1'!F23</f>
        <v>0.38077091398754415</v>
      </c>
      <c r="G22" s="616">
        <f>IF('Utility summery'!M26&lt;0,"0",'Utility summery'!M26)</f>
        <v>117.92000000001282</v>
      </c>
      <c r="H22" s="636">
        <v>0</v>
      </c>
      <c r="I22" s="616">
        <f>IF('UTILITY REPORT 1'!G23&lt;0,"0",'UTILITY REPORT 1'!G23)</f>
        <v>116</v>
      </c>
      <c r="J22" s="636">
        <v>0</v>
      </c>
      <c r="K22" s="615">
        <f>'UTILITY REPORT 1'!C23</f>
        <v>43</v>
      </c>
      <c r="L22" s="617" t="e">
        <f>E22*F22+G22*H22+#REF!*#REF!+I22*J22</f>
        <v>#REF!</v>
      </c>
    </row>
    <row r="23" spans="1:12">
      <c r="A23" s="612" t="s">
        <v>327</v>
      </c>
      <c r="B23" s="613">
        <f t="shared" si="0"/>
        <v>22</v>
      </c>
      <c r="C23" s="613">
        <v>10</v>
      </c>
      <c r="D23" s="614">
        <v>2019</v>
      </c>
      <c r="E23" s="615">
        <f>'UTILITY REPORT 1'!F24</f>
        <v>5400</v>
      </c>
      <c r="F23" s="616">
        <f>('UTILITY REPORT 1'!E24*'UTILITY REPORT 1'!D24)/'UTILITY REPORT 1'!F24</f>
        <v>0.42349259259259264</v>
      </c>
      <c r="G23" s="616">
        <f>IF('Utility summery'!M27&lt;0,"0",'Utility summery'!M27)</f>
        <v>116.1599999999744</v>
      </c>
      <c r="H23" s="636">
        <v>0</v>
      </c>
      <c r="I23" s="616">
        <f>IF('UTILITY REPORT 1'!G24&lt;0,"0",'UTILITY REPORT 1'!G24)</f>
        <v>114</v>
      </c>
      <c r="J23" s="636">
        <v>0</v>
      </c>
      <c r="K23" s="615">
        <f>'UTILITY REPORT 1'!C24</f>
        <v>31</v>
      </c>
      <c r="L23" s="617" t="e">
        <f>E23*F23+G23*H23+#REF!*#REF!+I23*J23</f>
        <v>#REF!</v>
      </c>
    </row>
    <row r="24" spans="1:12">
      <c r="A24" s="612" t="s">
        <v>327</v>
      </c>
      <c r="B24" s="613">
        <f t="shared" si="0"/>
        <v>23</v>
      </c>
      <c r="C24" s="613">
        <v>10</v>
      </c>
      <c r="D24" s="614">
        <v>2019</v>
      </c>
      <c r="E24" s="615">
        <f>'UTILITY REPORT 1'!F25</f>
        <v>5371</v>
      </c>
      <c r="F24" s="616">
        <f>('UTILITY REPORT 1'!E25*'UTILITY REPORT 1'!D25)/'UTILITY REPORT 1'!F25</f>
        <v>0.39998138149320417</v>
      </c>
      <c r="G24" s="616">
        <f>IF('Utility summery'!M28&lt;0,"0",'Utility summery'!M28)</f>
        <v>108.24000000002562</v>
      </c>
      <c r="H24" s="636">
        <v>0</v>
      </c>
      <c r="I24" s="616">
        <f>IF('UTILITY REPORT 1'!G25&lt;0,"0",'UTILITY REPORT 1'!G25)</f>
        <v>113</v>
      </c>
      <c r="J24" s="636">
        <v>0</v>
      </c>
      <c r="K24" s="615">
        <f>'UTILITY REPORT 1'!C25</f>
        <v>19</v>
      </c>
      <c r="L24" s="617" t="e">
        <f>E24*F24+G24*H24+#REF!*#REF!+I24*J24</f>
        <v>#REF!</v>
      </c>
    </row>
    <row r="25" spans="1:12">
      <c r="A25" s="612" t="s">
        <v>327</v>
      </c>
      <c r="B25" s="613">
        <f t="shared" si="0"/>
        <v>24</v>
      </c>
      <c r="C25" s="613">
        <v>10</v>
      </c>
      <c r="D25" s="614">
        <v>2019</v>
      </c>
      <c r="E25" s="615">
        <f>'UTILITY REPORT 1'!F26</f>
        <v>5296</v>
      </c>
      <c r="F25" s="616">
        <f>('UTILITY REPORT 1'!E26*'UTILITY REPORT 1'!D26)/'UTILITY REPORT 1'!F26</f>
        <v>0.39903134441087612</v>
      </c>
      <c r="G25" s="616">
        <f>IF('Utility summery'!M29&lt;0,"0",'Utility summery'!M29)</f>
        <v>107.80000000000001</v>
      </c>
      <c r="H25" s="636">
        <v>0</v>
      </c>
      <c r="I25" s="616">
        <f>IF('UTILITY REPORT 1'!G26&lt;0,"0",'UTILITY REPORT 1'!G26)</f>
        <v>99</v>
      </c>
      <c r="J25" s="636">
        <v>0</v>
      </c>
      <c r="K25" s="615">
        <f>'UTILITY REPORT 1'!C26</f>
        <v>7</v>
      </c>
      <c r="L25" s="617" t="e">
        <f>E25*F25+G25*H25+#REF!*#REF!+I25*J25</f>
        <v>#REF!</v>
      </c>
    </row>
    <row r="26" spans="1:12">
      <c r="A26" s="612" t="s">
        <v>327</v>
      </c>
      <c r="B26" s="613">
        <f>B25+1</f>
        <v>25</v>
      </c>
      <c r="C26" s="613">
        <v>10</v>
      </c>
      <c r="D26" s="614">
        <v>2019</v>
      </c>
      <c r="E26" s="615">
        <f>'UTILITY REPORT 1'!F27</f>
        <v>5221</v>
      </c>
      <c r="F26" s="616">
        <f>('UTILITY REPORT 1'!E27*'UTILITY REPORT 1'!D27)/'UTILITY REPORT 1'!F27</f>
        <v>0.40308753112430579</v>
      </c>
      <c r="G26" s="616">
        <f>IF('Utility summery'!M30&lt;0,"0",'Utility summery'!M30)</f>
        <v>111.31999999994879</v>
      </c>
      <c r="H26" s="636">
        <v>0</v>
      </c>
      <c r="I26" s="616">
        <f>IF('UTILITY REPORT 1'!G27&lt;0,"0",'UTILITY REPORT 1'!G27)</f>
        <v>111</v>
      </c>
      <c r="J26" s="636">
        <v>0</v>
      </c>
      <c r="K26" s="615">
        <f>'UTILITY REPORT 1'!C27</f>
        <v>19</v>
      </c>
      <c r="L26" s="617" t="e">
        <f>E26*F26+G26*H26+#REF!*#REF!+I26*J26</f>
        <v>#REF!</v>
      </c>
    </row>
    <row r="27" spans="1:12">
      <c r="A27" s="612" t="s">
        <v>327</v>
      </c>
      <c r="B27" s="613">
        <f t="shared" si="0"/>
        <v>26</v>
      </c>
      <c r="C27" s="613">
        <v>10</v>
      </c>
      <c r="D27" s="614">
        <v>2019</v>
      </c>
      <c r="E27" s="615">
        <f>'UTILITY REPORT 1'!F28</f>
        <v>5665</v>
      </c>
      <c r="F27" s="616">
        <f>('UTILITY REPORT 1'!E28*'UTILITY REPORT 1'!D28)/'UTILITY REPORT 1'!F28</f>
        <v>0.43605295675198591</v>
      </c>
      <c r="G27" s="616">
        <f>IF('Utility summery'!M31&lt;0,"0",'Utility summery'!M31)</f>
        <v>117.92000000001282</v>
      </c>
      <c r="H27" s="636">
        <v>0</v>
      </c>
      <c r="I27" s="616">
        <f>IF('UTILITY REPORT 1'!G28&lt;0,"0",'UTILITY REPORT 1'!G28)</f>
        <v>130</v>
      </c>
      <c r="J27" s="636">
        <v>0</v>
      </c>
      <c r="K27" s="615">
        <f>'UTILITY REPORT 1'!C28</f>
        <v>42</v>
      </c>
      <c r="L27" s="617" t="e">
        <f>E27*F27+G27*H27+#REF!*#REF!+I27*J27</f>
        <v>#REF!</v>
      </c>
    </row>
    <row r="28" spans="1:12">
      <c r="A28" s="612" t="s">
        <v>327</v>
      </c>
      <c r="B28" s="613">
        <f t="shared" si="0"/>
        <v>27</v>
      </c>
      <c r="C28" s="613">
        <v>10</v>
      </c>
      <c r="D28" s="614">
        <v>2019</v>
      </c>
      <c r="E28" s="615">
        <f>'UTILITY REPORT 1'!F29</f>
        <v>6109</v>
      </c>
      <c r="F28" s="616">
        <f>('UTILITY REPORT 1'!E29*'UTILITY REPORT 1'!D29)/'UTILITY REPORT 1'!F29</f>
        <v>0.38037976755606479</v>
      </c>
      <c r="G28" s="616">
        <f>IF('Utility summery'!M32&lt;0,"0",'Utility summery'!M32)</f>
        <v>115.2799999999872</v>
      </c>
      <c r="H28" s="636">
        <v>0</v>
      </c>
      <c r="I28" s="616">
        <f>IF('UTILITY REPORT 1'!G29&lt;0,"0",'UTILITY REPORT 1'!G29)</f>
        <v>114</v>
      </c>
      <c r="J28" s="636">
        <v>0</v>
      </c>
      <c r="K28" s="615">
        <f>'UTILITY REPORT 1'!C29</f>
        <v>52</v>
      </c>
      <c r="L28" s="617" t="e">
        <f>E28*F28+G28*H28+#REF!*#REF!+I28*J28</f>
        <v>#REF!</v>
      </c>
    </row>
    <row r="29" spans="1:12">
      <c r="A29" s="612" t="s">
        <v>327</v>
      </c>
      <c r="B29" s="613">
        <f t="shared" si="0"/>
        <v>28</v>
      </c>
      <c r="C29" s="613">
        <v>10</v>
      </c>
      <c r="D29" s="614">
        <v>2019</v>
      </c>
      <c r="E29" s="615">
        <f>'UTILITY REPORT 1'!F30</f>
        <v>5125</v>
      </c>
      <c r="F29" s="616">
        <f>('UTILITY REPORT 1'!E30*'UTILITY REPORT 1'!D30)/'UTILITY REPORT 1'!F30</f>
        <v>0.39645463414634147</v>
      </c>
      <c r="G29" s="616">
        <f>IF('Utility summery'!M33&lt;0,"0",'Utility summery'!M33)</f>
        <v>110.44000000002562</v>
      </c>
      <c r="H29" s="636">
        <v>0</v>
      </c>
      <c r="I29" s="616">
        <f>IF('UTILITY REPORT 1'!G30&lt;0,"0",'UTILITY REPORT 1'!G30)</f>
        <v>111</v>
      </c>
      <c r="J29" s="636">
        <v>0</v>
      </c>
      <c r="K29" s="615">
        <f>'UTILITY REPORT 1'!C30</f>
        <v>21</v>
      </c>
      <c r="L29" s="617" t="e">
        <f>E29*F29+G29*H29+#REF!*#REF!+I29*J29</f>
        <v>#REF!</v>
      </c>
    </row>
    <row r="30" spans="1:12">
      <c r="A30" s="612" t="s">
        <v>327</v>
      </c>
      <c r="B30" s="613">
        <f t="shared" si="0"/>
        <v>29</v>
      </c>
      <c r="C30" s="613">
        <v>10</v>
      </c>
      <c r="D30" s="614">
        <v>2019</v>
      </c>
      <c r="E30" s="615">
        <f>'UTILITY REPORT 1'!F31</f>
        <v>3443</v>
      </c>
      <c r="F30" s="616">
        <f>('UTILITY REPORT 1'!E31*'UTILITY REPORT 1'!D31)/'UTILITY REPORT 1'!F31</f>
        <v>0.61904443799012487</v>
      </c>
      <c r="G30" s="616">
        <f>IF('Utility summery'!M34&lt;0,"0",'Utility summery'!M34)</f>
        <v>109.55999999997439</v>
      </c>
      <c r="H30" s="636">
        <v>0</v>
      </c>
      <c r="I30" s="616">
        <f>IF('UTILITY REPORT 1'!G31&lt;0,"0",'UTILITY REPORT 1'!G31)</f>
        <v>100</v>
      </c>
      <c r="J30" s="636">
        <v>0</v>
      </c>
      <c r="K30" s="615">
        <f>'UTILITY REPORT 1'!C31</f>
        <v>32</v>
      </c>
      <c r="L30" s="617" t="e">
        <f>E30*F30+G30*H30+#REF!*#REF!+I30*J30</f>
        <v>#REF!</v>
      </c>
    </row>
    <row r="31" spans="1:12">
      <c r="A31" s="612" t="s">
        <v>327</v>
      </c>
      <c r="B31" s="613">
        <f t="shared" si="0"/>
        <v>30</v>
      </c>
      <c r="C31" s="613">
        <v>10</v>
      </c>
      <c r="D31" s="614">
        <v>2019</v>
      </c>
      <c r="E31" s="615">
        <f>'UTILITY REPORT 1'!F32</f>
        <v>5192</v>
      </c>
      <c r="F31" s="616">
        <f>('UTILITY REPORT 1'!E32*'UTILITY REPORT 1'!D32)/'UTILITY REPORT 1'!F32</f>
        <v>0.39170647149460708</v>
      </c>
      <c r="G31" s="616">
        <f>IF('Utility summery'!M35&lt;0,"0",'Utility summery'!M35)</f>
        <v>106.92000000001282</v>
      </c>
      <c r="H31" s="636">
        <v>0</v>
      </c>
      <c r="I31" s="616">
        <f>IF('UTILITY REPORT 1'!G32&lt;0,"0",'UTILITY REPORT 1'!G32)</f>
        <v>99</v>
      </c>
      <c r="J31" s="636">
        <v>0</v>
      </c>
      <c r="K31" s="615">
        <f>'UTILITY REPORT 1'!C32</f>
        <v>32</v>
      </c>
      <c r="L31" s="617" t="e">
        <f>E31*F31+G31*H31+#REF!*#REF!+I31*J31</f>
        <v>#REF!</v>
      </c>
    </row>
    <row r="32" spans="1:12">
      <c r="A32" s="612" t="s">
        <v>327</v>
      </c>
      <c r="B32" s="613">
        <f t="shared" si="0"/>
        <v>31</v>
      </c>
      <c r="C32" s="613">
        <v>10</v>
      </c>
      <c r="D32" s="614">
        <v>2019</v>
      </c>
      <c r="E32" s="615">
        <f>'UTILITY REPORT 1'!F33</f>
        <v>5234</v>
      </c>
      <c r="F32" s="616">
        <f>('UTILITY REPORT 1'!E33*'UTILITY REPORT 1'!D33)/'UTILITY REPORT 1'!F33</f>
        <v>0.40627053878486818</v>
      </c>
      <c r="G32" s="616">
        <f>IF('Utility summery'!M36&lt;0,"0",'Utility summery'!M36)</f>
        <v>119.6799999999872</v>
      </c>
      <c r="H32" s="636">
        <v>0</v>
      </c>
      <c r="I32" s="616">
        <f>IF('UTILITY REPORT 1'!G33&lt;0,"0",'UTILITY REPORT 1'!G33)</f>
        <v>111</v>
      </c>
      <c r="J32" s="636">
        <v>0</v>
      </c>
      <c r="K32" s="615">
        <f>'UTILITY REPORT 1'!C33</f>
        <v>25</v>
      </c>
    </row>
    <row r="33" spans="6:10">
      <c r="F33" s="616"/>
      <c r="G33" s="616"/>
      <c r="H33" s="636"/>
      <c r="I33" s="616" t="s">
        <v>260</v>
      </c>
      <c r="J33" s="636"/>
    </row>
    <row r="34" spans="6:10">
      <c r="F34" s="616"/>
      <c r="G34" s="616"/>
      <c r="H34" s="636"/>
      <c r="I34" s="616"/>
      <c r="J34" s="636"/>
    </row>
    <row r="35" spans="6:10">
      <c r="F35" s="616"/>
      <c r="G35" s="616"/>
      <c r="H35" s="636"/>
      <c r="I35" s="616"/>
      <c r="J35" s="636"/>
    </row>
    <row r="36" spans="6:10">
      <c r="F36" s="616"/>
      <c r="G36" s="616"/>
      <c r="H36" s="636"/>
      <c r="I36" s="616"/>
      <c r="J36" s="636"/>
    </row>
    <row r="37" spans="6:10">
      <c r="F37" s="616"/>
      <c r="G37" s="616"/>
      <c r="H37" s="636"/>
      <c r="I37" s="616"/>
      <c r="J37" s="636"/>
    </row>
    <row r="38" spans="6:10">
      <c r="F38" s="616"/>
      <c r="G38" s="616"/>
      <c r="H38" s="636"/>
      <c r="I38" s="616"/>
      <c r="J38" s="636"/>
    </row>
    <row r="39" spans="6:10">
      <c r="F39" s="616"/>
      <c r="G39" s="616"/>
      <c r="H39" s="636"/>
      <c r="I39" s="616"/>
      <c r="J39" s="6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W39"/>
  <sheetViews>
    <sheetView topLeftCell="C1" workbookViewId="0">
      <selection activeCell="Z14" sqref="Z14"/>
    </sheetView>
  </sheetViews>
  <sheetFormatPr defaultColWidth="11.5703125" defaultRowHeight="12.75"/>
  <cols>
    <col min="1" max="1" width="12.42578125" style="12" customWidth="1"/>
    <col min="2" max="3" width="11.5703125" style="613"/>
    <col min="4" max="4" width="13.42578125" style="614" customWidth="1"/>
    <col min="5" max="6" width="12.5703125" style="12" customWidth="1"/>
    <col min="7" max="7" width="12.5703125" style="615" customWidth="1"/>
    <col min="8" max="10" width="11.5703125" style="12"/>
    <col min="11" max="11" width="12.5703125" style="615" customWidth="1"/>
    <col min="12" max="12" width="11.5703125" style="12"/>
    <col min="13" max="14" width="11.5703125" style="615"/>
    <col min="15" max="15" width="0" style="12" hidden="1" customWidth="1"/>
    <col min="16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3" s="611" customFormat="1" ht="60.75" thickBot="1">
      <c r="A1" s="605" t="s">
        <v>315</v>
      </c>
      <c r="B1" s="606" t="s">
        <v>316</v>
      </c>
      <c r="C1" s="606" t="s">
        <v>317</v>
      </c>
      <c r="D1" s="607" t="s">
        <v>318</v>
      </c>
      <c r="E1" s="609" t="s">
        <v>331</v>
      </c>
      <c r="F1" s="609" t="s">
        <v>330</v>
      </c>
      <c r="G1" s="608" t="s">
        <v>319</v>
      </c>
      <c r="H1" s="609" t="s">
        <v>328</v>
      </c>
      <c r="I1" s="609" t="s">
        <v>329</v>
      </c>
      <c r="J1" s="609" t="s">
        <v>332</v>
      </c>
      <c r="K1" s="608" t="s">
        <v>309</v>
      </c>
      <c r="L1" s="609" t="s">
        <v>333</v>
      </c>
      <c r="M1" s="608" t="s">
        <v>334</v>
      </c>
      <c r="N1" s="608" t="s">
        <v>335</v>
      </c>
      <c r="O1" s="608" t="s">
        <v>335</v>
      </c>
      <c r="P1" s="608" t="s">
        <v>360</v>
      </c>
      <c r="Q1" s="608" t="s">
        <v>336</v>
      </c>
      <c r="R1" s="608" t="s">
        <v>337</v>
      </c>
      <c r="S1" s="608" t="s">
        <v>338</v>
      </c>
      <c r="T1" s="608" t="s">
        <v>339</v>
      </c>
      <c r="U1" s="608" t="s">
        <v>340</v>
      </c>
      <c r="V1" s="608" t="s">
        <v>341</v>
      </c>
      <c r="W1" s="700" t="s">
        <v>361</v>
      </c>
    </row>
    <row r="2" spans="1:23">
      <c r="A2" s="612" t="s">
        <v>327</v>
      </c>
      <c r="B2" s="613">
        <v>1</v>
      </c>
      <c r="C2" s="613">
        <v>10</v>
      </c>
      <c r="D2" s="614">
        <v>2019</v>
      </c>
      <c r="E2" s="616">
        <f>'UTILITY REPORT 1'!I3</f>
        <v>203.27999999999997</v>
      </c>
      <c r="F2" s="616">
        <f>'UTILITY REPORT 1'!E3</f>
        <v>2179.4799999999996</v>
      </c>
      <c r="G2" s="615">
        <f>'UTILITY REPORT 1'!F3</f>
        <v>5669</v>
      </c>
      <c r="H2" s="616">
        <f>IF('Kit report'!F4&lt;0,"0",'Kit report'!F4)</f>
        <v>420</v>
      </c>
      <c r="I2" s="616">
        <f>IF('Kit report'!X4&lt;0,"0",'Kit report'!X4)</f>
        <v>740.00000000014552</v>
      </c>
      <c r="J2" s="616">
        <f>IF('Utility summery'!H6&lt;0,"0",'Utility summery'!H6)</f>
        <v>41</v>
      </c>
      <c r="K2" s="615">
        <f>IF('UTILITY REPORT 1'!H3&lt;0,"0",'UTILITY REPORT 1'!H3)</f>
        <v>26</v>
      </c>
      <c r="L2" s="616">
        <f>IF('Kit report'!Q4&lt;0,"0",'Kit report'!Q4)</f>
        <v>2</v>
      </c>
      <c r="M2" s="615">
        <f>IF('Kit report'!L4&lt;0,"0",'Kit report'!L4)</f>
        <v>11</v>
      </c>
      <c r="N2" s="615">
        <f>IF('Kit report'!AC4&lt;0,"0",'Kit report'!AC4)</f>
        <v>15149.1</v>
      </c>
      <c r="O2" s="616" t="e">
        <f>K2*E2+H2*I2+#REF!*#REF!+J2*L2</f>
        <v>#REF!</v>
      </c>
      <c r="P2" s="616">
        <f>'Water-Meter'!E6</f>
        <v>130</v>
      </c>
      <c r="Q2" s="12">
        <f>IF('Water-Meter'!U6&lt;0,"0",'Water-Meter'!U6)</f>
        <v>25</v>
      </c>
      <c r="R2" s="12">
        <f>IF('Water-Meter'!X6&lt;0,"0",'Water-Meter'!X6)</f>
        <v>51</v>
      </c>
      <c r="S2" s="12">
        <f>IF('Water-Meter'!AA6&lt;0,"0",'Water-Meter'!AA6)</f>
        <v>50</v>
      </c>
      <c r="T2" s="12">
        <f>IF('Water-Meter'!AD6&lt;0,"0",'Water-Meter'!AD6)</f>
        <v>0</v>
      </c>
      <c r="U2" s="12">
        <f>IF('Water-Meter'!AG6&lt;0,"0",'Water-Meter'!AG6)</f>
        <v>13</v>
      </c>
      <c r="V2" s="12">
        <f>IF('Water-Meter'!AJ6&lt;0,"0",'Water-Meter'!AJ6)</f>
        <v>21</v>
      </c>
      <c r="W2">
        <f>'Water-Meter'!AN6</f>
        <v>160</v>
      </c>
    </row>
    <row r="3" spans="1:23">
      <c r="A3" s="612" t="s">
        <v>327</v>
      </c>
      <c r="B3" s="613">
        <f>B2+1</f>
        <v>2</v>
      </c>
      <c r="C3" s="613">
        <v>10</v>
      </c>
      <c r="D3" s="614">
        <v>2019</v>
      </c>
      <c r="E3" s="616">
        <f>'UTILITY REPORT 1'!I4</f>
        <v>31.450000000000003</v>
      </c>
      <c r="F3" s="616">
        <f>'UTILITY REPORT 1'!E4</f>
        <v>2472.85</v>
      </c>
      <c r="G3" s="615">
        <f>'UTILITY REPORT 1'!F4</f>
        <v>6159</v>
      </c>
      <c r="H3" s="616">
        <f>IF('Kit report'!F5&lt;0,"0",'Kit report'!F5)</f>
        <v>480</v>
      </c>
      <c r="I3" s="616">
        <f>IF('Kit report'!X5&lt;0,"0",'Kit report'!X5)</f>
        <v>900</v>
      </c>
      <c r="J3" s="616">
        <f>IF('Utility summery'!H7&lt;0,"0",'Utility summery'!H7)</f>
        <v>44</v>
      </c>
      <c r="K3" s="615">
        <f>IF('UTILITY REPORT 1'!H4&lt;0,"0",'UTILITY REPORT 1'!H4)</f>
        <v>177</v>
      </c>
      <c r="L3" s="616">
        <f>IF('Kit report'!Q5&lt;0,"0",'Kit report'!Q5)</f>
        <v>4</v>
      </c>
      <c r="M3" s="615">
        <f>IF('Kit report'!L5&lt;0,"0",'Kit report'!L5)</f>
        <v>20</v>
      </c>
      <c r="N3" s="615">
        <f>IF('Kit report'!AC5&lt;0,"0",'Kit report'!AC5)</f>
        <v>7</v>
      </c>
      <c r="O3" s="616" t="e">
        <f>K3*E3+H3*I3+#REF!*#REF!+J3*L3</f>
        <v>#REF!</v>
      </c>
      <c r="P3" s="616">
        <f>'Water-Meter'!E7</f>
        <v>128</v>
      </c>
      <c r="Q3" s="12">
        <f>IF('Water-Meter'!U7&lt;0,"0",'Water-Meter'!U7)</f>
        <v>29</v>
      </c>
      <c r="R3" s="12">
        <f>IF('Water-Meter'!X7&lt;0,"0",'Water-Meter'!X7)</f>
        <v>54</v>
      </c>
      <c r="S3" s="12">
        <f>IF('Water-Meter'!AA7&lt;0,"0",'Water-Meter'!AA7)</f>
        <v>52</v>
      </c>
      <c r="T3" s="12">
        <f>IF('Water-Meter'!AD7&lt;0,"0",'Water-Meter'!AD7)</f>
        <v>0</v>
      </c>
      <c r="U3" s="12">
        <f>IF('Water-Meter'!AG7&lt;0,"0",'Water-Meter'!AG7)</f>
        <v>13</v>
      </c>
      <c r="V3" s="12">
        <f>IF('Water-Meter'!AJ7&lt;0,"0",'Water-Meter'!AJ7)</f>
        <v>20</v>
      </c>
      <c r="W3">
        <f>'Water-Meter'!AN7</f>
        <v>168</v>
      </c>
    </row>
    <row r="4" spans="1:23">
      <c r="A4" s="612" t="s">
        <v>327</v>
      </c>
      <c r="B4" s="613">
        <f t="shared" ref="B4:B32" si="0">B3+1</f>
        <v>3</v>
      </c>
      <c r="C4" s="613">
        <v>10</v>
      </c>
      <c r="D4" s="614">
        <v>2019</v>
      </c>
      <c r="E4" s="616">
        <f>'UTILITY REPORT 1'!I5</f>
        <v>106.26</v>
      </c>
      <c r="F4" s="616">
        <f>'UTILITY REPORT 1'!E5</f>
        <v>2554.3900000000003</v>
      </c>
      <c r="G4" s="615">
        <f>'UTILITY REPORT 1'!F5</f>
        <v>6580</v>
      </c>
      <c r="H4" s="616">
        <f>IF('Kit report'!F6&lt;0,"0",'Kit report'!F6)</f>
        <v>503.99999999997817</v>
      </c>
      <c r="I4" s="616">
        <f>IF('Kit report'!X6&lt;0,"0",'Kit report'!X6)</f>
        <v>939.99999999996362</v>
      </c>
      <c r="J4" s="616">
        <f>IF('Utility summery'!H8&lt;0,"0",'Utility summery'!H8)</f>
        <v>41</v>
      </c>
      <c r="K4" s="615">
        <f>IF('UTILITY REPORT 1'!H5&lt;0,"0",'UTILITY REPORT 1'!H5)</f>
        <v>128</v>
      </c>
      <c r="L4" s="616">
        <f>IF('Kit report'!Q6&lt;0,"0",'Kit report'!Q6)</f>
        <v>3</v>
      </c>
      <c r="M4" s="615">
        <f>IF('Kit report'!L6&lt;0,"0",'Kit report'!L6)</f>
        <v>18</v>
      </c>
      <c r="N4" s="615">
        <f>IF('Kit report'!AC6&lt;0,"0",'Kit report'!AC6)</f>
        <v>9</v>
      </c>
      <c r="O4" s="616" t="e">
        <f>K4*E4+H4*I4+#REF!*#REF!+J4*L4</f>
        <v>#REF!</v>
      </c>
      <c r="P4" s="616">
        <f>'Water-Meter'!E8</f>
        <v>120</v>
      </c>
      <c r="Q4" s="12">
        <f>IF('Water-Meter'!U8&lt;0,"0",'Water-Meter'!U8)</f>
        <v>30</v>
      </c>
      <c r="R4" s="12">
        <f>IF('Water-Meter'!X8&lt;0,"0",'Water-Meter'!X8)</f>
        <v>52</v>
      </c>
      <c r="S4" s="12">
        <f>IF('Water-Meter'!AA8&lt;0,"0",'Water-Meter'!AA8)</f>
        <v>51</v>
      </c>
      <c r="T4" s="12">
        <f>IF('Water-Meter'!AD8&lt;0,"0",'Water-Meter'!AD8)</f>
        <v>0</v>
      </c>
      <c r="U4" s="12">
        <f>IF('Water-Meter'!AG8&lt;0,"0",'Water-Meter'!AG8)</f>
        <v>12</v>
      </c>
      <c r="V4" s="12">
        <f>IF('Water-Meter'!AJ8&lt;0,"0",'Water-Meter'!AJ8)</f>
        <v>22</v>
      </c>
      <c r="W4">
        <f>'Water-Meter'!AN8</f>
        <v>167</v>
      </c>
    </row>
    <row r="5" spans="1:23">
      <c r="A5" s="612" t="s">
        <v>327</v>
      </c>
      <c r="B5" s="613">
        <f t="shared" si="0"/>
        <v>4</v>
      </c>
      <c r="C5" s="613">
        <v>10</v>
      </c>
      <c r="D5" s="614">
        <v>2019</v>
      </c>
      <c r="E5" s="616">
        <f>'UTILITY REPORT 1'!I6</f>
        <v>292.31</v>
      </c>
      <c r="F5" s="616">
        <f>'UTILITY REPORT 1'!E6</f>
        <v>2441.42</v>
      </c>
      <c r="G5" s="615">
        <f>'UTILITY REPORT 1'!F6</f>
        <v>6223</v>
      </c>
      <c r="H5" s="616">
        <f>IF('Kit report'!F7&lt;0,"0",'Kit report'!F7)</f>
        <v>516.00000000002183</v>
      </c>
      <c r="I5" s="616">
        <f>IF('Kit report'!X7&lt;0,"0",'Kit report'!X7)</f>
        <v>919.99999999989086</v>
      </c>
      <c r="J5" s="616">
        <f>IF('Utility summery'!H9&lt;0,"0",'Utility summery'!H9)</f>
        <v>69</v>
      </c>
      <c r="K5" s="615">
        <f>IF('UTILITY REPORT 1'!H6&lt;0,"0",'UTILITY REPORT 1'!H6)</f>
        <v>115</v>
      </c>
      <c r="L5" s="616">
        <f>IF('Kit report'!Q7&lt;0,"0",'Kit report'!Q7)</f>
        <v>4</v>
      </c>
      <c r="M5" s="615">
        <f>IF('Kit report'!L7&lt;0,"0",'Kit report'!L7)</f>
        <v>13</v>
      </c>
      <c r="N5" s="615">
        <f>IF('Kit report'!AC7&lt;0,"0",'Kit report'!AC7)</f>
        <v>12</v>
      </c>
      <c r="O5" s="616" t="e">
        <f>K5*E5+H5*I5+#REF!*#REF!+J5*L5</f>
        <v>#REF!</v>
      </c>
      <c r="P5" s="616">
        <f>'Water-Meter'!E9</f>
        <v>120</v>
      </c>
      <c r="Q5" s="12">
        <f>IF('Water-Meter'!U9&lt;0,"0",'Water-Meter'!U9)</f>
        <v>41</v>
      </c>
      <c r="R5" s="12">
        <f>IF('Water-Meter'!X9&lt;0,"0",'Water-Meter'!X9)</f>
        <v>48</v>
      </c>
      <c r="S5" s="12">
        <f>IF('Water-Meter'!AA9&lt;0,"0",'Water-Meter'!AA9)</f>
        <v>62</v>
      </c>
      <c r="T5" s="12">
        <f>IF('Water-Meter'!AD9&lt;0,"0",'Water-Meter'!AD9)</f>
        <v>15</v>
      </c>
      <c r="U5" s="12">
        <f>IF('Water-Meter'!AG9&lt;0,"0",'Water-Meter'!AG9)</f>
        <v>10</v>
      </c>
      <c r="V5" s="12">
        <f>IF('Water-Meter'!AJ9&lt;0,"0",'Water-Meter'!AJ9)</f>
        <v>18</v>
      </c>
      <c r="W5">
        <f>'Water-Meter'!AN9</f>
        <v>194</v>
      </c>
    </row>
    <row r="6" spans="1:23">
      <c r="A6" s="612" t="s">
        <v>327</v>
      </c>
      <c r="B6" s="613">
        <f t="shared" si="0"/>
        <v>5</v>
      </c>
      <c r="C6" s="613">
        <v>10</v>
      </c>
      <c r="D6" s="614">
        <v>2019</v>
      </c>
      <c r="E6" s="616">
        <f>'UTILITY REPORT 1'!I7</f>
        <v>79.16</v>
      </c>
      <c r="F6" s="616">
        <f>'UTILITY REPORT 1'!E7</f>
        <v>2338.3599999999997</v>
      </c>
      <c r="G6" s="615">
        <f>'UTILITY REPORT 1'!F7</f>
        <v>5984</v>
      </c>
      <c r="H6" s="616">
        <f>IF('Kit report'!F8&lt;0,"0",'Kit report'!F8)</f>
        <v>540</v>
      </c>
      <c r="I6" s="616">
        <f>IF('Kit report'!X8&lt;0,"0",'Kit report'!X8)</f>
        <v>1040.0000000001455</v>
      </c>
      <c r="J6" s="616">
        <f>IF('Utility summery'!H10&lt;0,"0",'Utility summery'!H10)</f>
        <v>44</v>
      </c>
      <c r="K6" s="615">
        <f>IF('UTILITY REPORT 1'!H7&lt;0,"0",'UTILITY REPORT 1'!H7)</f>
        <v>86</v>
      </c>
      <c r="L6" s="616">
        <f>IF('Kit report'!Q8&lt;0,"0",'Kit report'!Q8)</f>
        <v>3</v>
      </c>
      <c r="M6" s="615">
        <f>IF('Kit report'!L8&lt;0,"0",'Kit report'!L8)</f>
        <v>15</v>
      </c>
      <c r="N6" s="615">
        <f>IF('Kit report'!AC8&lt;0,"0",'Kit report'!AC8)</f>
        <v>11</v>
      </c>
      <c r="O6" s="616" t="e">
        <f>K6*E6+H6*I6+#REF!*#REF!+J6*L6</f>
        <v>#REF!</v>
      </c>
      <c r="P6" s="616">
        <f>'Water-Meter'!E10</f>
        <v>114</v>
      </c>
      <c r="Q6" s="12">
        <f>IF('Water-Meter'!U10&lt;0,"0",'Water-Meter'!U10)</f>
        <v>29</v>
      </c>
      <c r="R6" s="12">
        <f>IF('Water-Meter'!X10&lt;0,"0",'Water-Meter'!X10)</f>
        <v>50</v>
      </c>
      <c r="S6" s="12">
        <f>IF('Water-Meter'!AA10&lt;0,"0",'Water-Meter'!AA10)</f>
        <v>63</v>
      </c>
      <c r="T6" s="12">
        <f>IF('Water-Meter'!AD10&lt;0,"0",'Water-Meter'!AD10)</f>
        <v>9</v>
      </c>
      <c r="U6" s="12">
        <f>IF('Water-Meter'!AG10&lt;0,"0",'Water-Meter'!AG10)</f>
        <v>11</v>
      </c>
      <c r="V6" s="12">
        <f>IF('Water-Meter'!AJ10&lt;0,"0",'Water-Meter'!AJ10)</f>
        <v>20</v>
      </c>
      <c r="W6">
        <f>'Water-Meter'!AN10</f>
        <v>182</v>
      </c>
    </row>
    <row r="7" spans="1:23">
      <c r="A7" s="612" t="s">
        <v>327</v>
      </c>
      <c r="B7" s="613">
        <f t="shared" si="0"/>
        <v>6</v>
      </c>
      <c r="C7" s="613">
        <v>10</v>
      </c>
      <c r="D7" s="614">
        <v>2019</v>
      </c>
      <c r="E7" s="616">
        <f>'UTILITY REPORT 1'!I8</f>
        <v>115.65</v>
      </c>
      <c r="F7" s="616">
        <f>'UTILITY REPORT 1'!E8</f>
        <v>2478.9</v>
      </c>
      <c r="G7" s="615">
        <f>'UTILITY REPORT 1'!F8</f>
        <v>6103</v>
      </c>
      <c r="H7" s="616">
        <f>IF('Kit report'!F9&lt;0,"0",'Kit report'!F9)</f>
        <v>443.99999999997817</v>
      </c>
      <c r="I7" s="616">
        <f>IF('Kit report'!X9&lt;0,"0",'Kit report'!X9)</f>
        <v>1059.9999999998545</v>
      </c>
      <c r="J7" s="616">
        <f>IF('Utility summery'!H11&lt;0,"0",'Utility summery'!H11)</f>
        <v>48</v>
      </c>
      <c r="K7" s="615">
        <f>IF('UTILITY REPORT 1'!H8&lt;0,"0",'UTILITY REPORT 1'!H8)</f>
        <v>114</v>
      </c>
      <c r="L7" s="616">
        <f>IF('Kit report'!Q9&lt;0,"0",'Kit report'!Q9)</f>
        <v>2</v>
      </c>
      <c r="M7" s="615">
        <f>IF('Kit report'!L9&lt;0,"0",'Kit report'!L9)</f>
        <v>16</v>
      </c>
      <c r="N7" s="615">
        <f>IF('Kit report'!AC9&lt;0,"0",'Kit report'!AC9)</f>
        <v>7</v>
      </c>
      <c r="O7" s="616" t="e">
        <f>K7*E7+H7*I7+#REF!*#REF!+J7*L7</f>
        <v>#REF!</v>
      </c>
      <c r="P7" s="616">
        <f>'Water-Meter'!E11</f>
        <v>126</v>
      </c>
      <c r="Q7" s="12">
        <f>IF('Water-Meter'!U11&lt;0,"0",'Water-Meter'!U11)</f>
        <v>30</v>
      </c>
      <c r="R7" s="12">
        <f>IF('Water-Meter'!X11&lt;0,"0",'Water-Meter'!X11)</f>
        <v>51</v>
      </c>
      <c r="S7" s="12">
        <f>IF('Water-Meter'!AA11&lt;0,"0",'Water-Meter'!AA11)</f>
        <v>68</v>
      </c>
      <c r="T7" s="12">
        <f>IF('Water-Meter'!AD11&lt;0,"0",'Water-Meter'!AD11)</f>
        <v>8</v>
      </c>
      <c r="U7" s="12">
        <f>IF('Water-Meter'!AG11&lt;0,"0",'Water-Meter'!AG11)</f>
        <v>11</v>
      </c>
      <c r="V7" s="12">
        <f>IF('Water-Meter'!AJ11&lt;0,"0",'Water-Meter'!AJ11)</f>
        <v>21</v>
      </c>
      <c r="W7">
        <f>'Water-Meter'!AN11</f>
        <v>189</v>
      </c>
    </row>
    <row r="8" spans="1:23">
      <c r="A8" s="612" t="s">
        <v>327</v>
      </c>
      <c r="B8" s="613">
        <f t="shared" si="0"/>
        <v>7</v>
      </c>
      <c r="C8" s="613">
        <v>10</v>
      </c>
      <c r="D8" s="614">
        <v>2019</v>
      </c>
      <c r="E8" s="616">
        <f>'UTILITY REPORT 1'!I9</f>
        <v>74.81</v>
      </c>
      <c r="F8" s="616">
        <f>'UTILITY REPORT 1'!E9</f>
        <v>2276.44</v>
      </c>
      <c r="G8" s="615">
        <f>'UTILITY REPORT 1'!F9</f>
        <v>5576</v>
      </c>
      <c r="H8" s="616">
        <f>IF('Kit report'!F10&lt;0,"0",'Kit report'!F10)</f>
        <v>527.99999999995634</v>
      </c>
      <c r="I8" s="616">
        <f>IF('Kit report'!X10&lt;0,"0",'Kit report'!X10)</f>
        <v>1120.0000000000728</v>
      </c>
      <c r="J8" s="616">
        <f>IF('Utility summery'!H12&lt;0,"0",'Utility summery'!H12)</f>
        <v>45</v>
      </c>
      <c r="K8" s="615">
        <f>IF('UTILITY REPORT 1'!H9&lt;0,"0",'UTILITY REPORT 1'!H9)</f>
        <v>107</v>
      </c>
      <c r="L8" s="616">
        <f>IF('Kit report'!Q10&lt;0,"0",'Kit report'!Q10)</f>
        <v>3</v>
      </c>
      <c r="M8" s="615">
        <f>IF('Kit report'!L10&lt;0,"0",'Kit report'!L10)</f>
        <v>13</v>
      </c>
      <c r="N8" s="615">
        <f>IF('Kit report'!AC10&lt;0,"0",'Kit report'!AC10)</f>
        <v>13</v>
      </c>
      <c r="O8" s="616" t="e">
        <f>K8*E8+H8*I8+#REF!*#REF!+J8*L8</f>
        <v>#REF!</v>
      </c>
      <c r="P8" s="616">
        <f>'Water-Meter'!E12</f>
        <v>116</v>
      </c>
      <c r="Q8" s="12">
        <f>IF('Water-Meter'!U12&lt;0,"0",'Water-Meter'!U12)</f>
        <v>30</v>
      </c>
      <c r="R8" s="12">
        <f>IF('Water-Meter'!X12&lt;0,"0",'Water-Meter'!X12)</f>
        <v>49</v>
      </c>
      <c r="S8" s="12">
        <f>IF('Water-Meter'!AA12&lt;0,"0",'Water-Meter'!AA12)</f>
        <v>56</v>
      </c>
      <c r="T8" s="12">
        <f>IF('Water-Meter'!AD12&lt;0,"0",'Water-Meter'!AD12)</f>
        <v>8</v>
      </c>
      <c r="U8" s="12">
        <f>IF('Water-Meter'!AG12&lt;0,"0",'Water-Meter'!AG12)</f>
        <v>6</v>
      </c>
      <c r="V8" s="12">
        <f>IF('Water-Meter'!AJ12&lt;0,"0",'Water-Meter'!AJ12)</f>
        <v>19</v>
      </c>
      <c r="W8">
        <f>'Water-Meter'!AN12</f>
        <v>168</v>
      </c>
    </row>
    <row r="9" spans="1:23">
      <c r="A9" s="612" t="s">
        <v>327</v>
      </c>
      <c r="B9" s="613">
        <f t="shared" si="0"/>
        <v>8</v>
      </c>
      <c r="C9" s="613">
        <v>10</v>
      </c>
      <c r="D9" s="614">
        <v>2019</v>
      </c>
      <c r="E9" s="616">
        <f>'UTILITY REPORT 1'!I10</f>
        <v>94.01</v>
      </c>
      <c r="F9" s="616">
        <f>'UTILITY REPORT 1'!E10</f>
        <v>2242.4</v>
      </c>
      <c r="G9" s="615">
        <f>'UTILITY REPORT 1'!F10</f>
        <v>5532</v>
      </c>
      <c r="H9" s="616">
        <f>IF('Kit report'!F11&lt;0,"0",'Kit report'!F11)</f>
        <v>492.00000000004366</v>
      </c>
      <c r="I9" s="616">
        <f>IF('Kit report'!X11&lt;0,"0",'Kit report'!X11)</f>
        <v>900</v>
      </c>
      <c r="J9" s="616">
        <f>IF('Utility summery'!H13&lt;0,"0",'Utility summery'!H13)</f>
        <v>50</v>
      </c>
      <c r="K9" s="615">
        <f>IF('UTILITY REPORT 1'!H10&lt;0,"0",'UTILITY REPORT 1'!H10)</f>
        <v>52</v>
      </c>
      <c r="L9" s="616">
        <f>IF('Kit report'!Q11&lt;0,"0",'Kit report'!Q11)</f>
        <v>2</v>
      </c>
      <c r="M9" s="615">
        <f>IF('Kit report'!L11&lt;0,"0",'Kit report'!L11)</f>
        <v>14</v>
      </c>
      <c r="N9" s="615">
        <f>IF('Kit report'!AC11&lt;0,"0",'Kit report'!AC11)</f>
        <v>10</v>
      </c>
      <c r="O9" s="616" t="e">
        <f>K9*E9+H9*I9+#REF!*#REF!+J9*L9</f>
        <v>#REF!</v>
      </c>
      <c r="P9" s="616">
        <f>'Water-Meter'!E13</f>
        <v>120</v>
      </c>
      <c r="Q9" s="12">
        <f>IF('Water-Meter'!U13&lt;0,"0",'Water-Meter'!U13)</f>
        <v>32</v>
      </c>
      <c r="R9" s="12">
        <f>IF('Water-Meter'!X13&lt;0,"0",'Water-Meter'!X13)</f>
        <v>50</v>
      </c>
      <c r="S9" s="12">
        <f>IF('Water-Meter'!AA13&lt;0,"0",'Water-Meter'!AA13)</f>
        <v>58</v>
      </c>
      <c r="T9" s="12">
        <f>IF('Water-Meter'!AD13&lt;0,"0",'Water-Meter'!AD13)</f>
        <v>8</v>
      </c>
      <c r="U9" s="12">
        <f>IF('Water-Meter'!AG13&lt;0,"0",'Water-Meter'!AG13)</f>
        <v>14</v>
      </c>
      <c r="V9" s="12">
        <f>IF('Water-Meter'!AJ13&lt;0,"0",'Water-Meter'!AJ13)</f>
        <v>20</v>
      </c>
      <c r="W9">
        <f>'Water-Meter'!AN13</f>
        <v>182</v>
      </c>
    </row>
    <row r="10" spans="1:23">
      <c r="A10" s="612" t="s">
        <v>327</v>
      </c>
      <c r="B10" s="613">
        <f t="shared" si="0"/>
        <v>9</v>
      </c>
      <c r="C10" s="613">
        <v>10</v>
      </c>
      <c r="D10" s="614">
        <v>2019</v>
      </c>
      <c r="E10" s="616">
        <f>'UTILITY REPORT 1'!I11</f>
        <v>284.83</v>
      </c>
      <c r="F10" s="616">
        <f>'UTILITY REPORT 1'!E11</f>
        <v>2430.2700000000004</v>
      </c>
      <c r="G10" s="615">
        <f>'UTILITY REPORT 1'!F11</f>
        <v>6233</v>
      </c>
      <c r="H10" s="616">
        <f>IF('Kit report'!F12&lt;0,"0",'Kit report'!F12)</f>
        <v>527.99999999995634</v>
      </c>
      <c r="I10" s="616">
        <f>IF('Kit report'!X12&lt;0,"0",'Kit report'!X12)</f>
        <v>860.00000000003638</v>
      </c>
      <c r="J10" s="616">
        <f>IF('Utility summery'!H14&lt;0,"0",'Utility summery'!H14)</f>
        <v>48</v>
      </c>
      <c r="K10" s="615">
        <f>IF('UTILITY REPORT 1'!H11&lt;0,"0",'UTILITY REPORT 1'!H11)</f>
        <v>33</v>
      </c>
      <c r="L10" s="616">
        <f>IF('Kit report'!Q12&lt;0,"0",'Kit report'!Q12)</f>
        <v>3</v>
      </c>
      <c r="M10" s="615">
        <f>IF('Kit report'!L12&lt;0,"0",'Kit report'!L12)</f>
        <v>17</v>
      </c>
      <c r="N10" s="615">
        <f>IF('Kit report'!AC12&lt;0,"0",'Kit report'!AC12)</f>
        <v>7</v>
      </c>
      <c r="O10" s="616" t="e">
        <f>K10*E10+H10*I10+#REF!*#REF!+J10*L10</f>
        <v>#REF!</v>
      </c>
      <c r="P10" s="616">
        <f>'Water-Meter'!E14</f>
        <v>107</v>
      </c>
      <c r="Q10" s="12">
        <f>IF('Water-Meter'!U14&lt;0,"0",'Water-Meter'!U14)</f>
        <v>31</v>
      </c>
      <c r="R10" s="12">
        <f>IF('Water-Meter'!X14&lt;0,"0",'Water-Meter'!X14)</f>
        <v>49</v>
      </c>
      <c r="S10" s="12">
        <f>IF('Water-Meter'!AA14&lt;0,"0",'Water-Meter'!AA14)</f>
        <v>58</v>
      </c>
      <c r="T10" s="12">
        <f>IF('Water-Meter'!AD14&lt;0,"0",'Water-Meter'!AD14)</f>
        <v>8</v>
      </c>
      <c r="U10" s="12">
        <f>IF('Water-Meter'!AG14&lt;0,"0",'Water-Meter'!AG14)</f>
        <v>10</v>
      </c>
      <c r="V10" s="12">
        <f>IF('Water-Meter'!AJ14&lt;0,"0",'Water-Meter'!AJ14)</f>
        <v>20</v>
      </c>
      <c r="W10">
        <f>'Water-Meter'!AN14</f>
        <v>176</v>
      </c>
    </row>
    <row r="11" spans="1:23">
      <c r="A11" s="612" t="s">
        <v>327</v>
      </c>
      <c r="B11" s="613">
        <f t="shared" si="0"/>
        <v>10</v>
      </c>
      <c r="C11" s="613">
        <v>10</v>
      </c>
      <c r="D11" s="614">
        <v>2019</v>
      </c>
      <c r="E11" s="616">
        <f>'UTILITY REPORT 1'!I12</f>
        <v>106.04</v>
      </c>
      <c r="F11" s="616">
        <f>'UTILITY REPORT 1'!E12</f>
        <v>2463.77</v>
      </c>
      <c r="G11" s="615">
        <f>'UTILITY REPORT 1'!F12</f>
        <v>6063</v>
      </c>
      <c r="H11" s="616">
        <f>IF('Kit report'!F13&lt;0,"0",'Kit report'!F13)</f>
        <v>528.00000000006548</v>
      </c>
      <c r="I11" s="616">
        <f>IF('Kit report'!X13&lt;0,"0",'Kit report'!X13)</f>
        <v>779.99999999992724</v>
      </c>
      <c r="J11" s="616">
        <f>IF('Utility summery'!H15&lt;0,"0",'Utility summery'!H15)</f>
        <v>47</v>
      </c>
      <c r="K11" s="615">
        <f>IF('UTILITY REPORT 1'!H12&lt;0,"0",'UTILITY REPORT 1'!H12)</f>
        <v>82</v>
      </c>
      <c r="L11" s="616">
        <f>IF('Kit report'!Q13&lt;0,"0",'Kit report'!Q13)</f>
        <v>4</v>
      </c>
      <c r="M11" s="615">
        <f>IF('Kit report'!L13&lt;0,"0",'Kit report'!L13)</f>
        <v>14</v>
      </c>
      <c r="N11" s="615">
        <f>IF('Kit report'!AC13&lt;0,"0",'Kit report'!AC13)</f>
        <v>11</v>
      </c>
      <c r="O11" s="616" t="e">
        <f>K11*E11+H11*I11+#REF!*#REF!+J11*L11</f>
        <v>#REF!</v>
      </c>
      <c r="P11" s="616">
        <f>'Water-Meter'!E15</f>
        <v>123</v>
      </c>
      <c r="Q11" s="12">
        <f>IF('Water-Meter'!U15&lt;0,"0",'Water-Meter'!U15)</f>
        <v>30</v>
      </c>
      <c r="R11" s="12">
        <f>IF('Water-Meter'!X15&lt;0,"0",'Water-Meter'!X15)</f>
        <v>50</v>
      </c>
      <c r="S11" s="12">
        <f>IF('Water-Meter'!AA15&lt;0,"0",'Water-Meter'!AA15)</f>
        <v>56</v>
      </c>
      <c r="T11" s="12">
        <f>IF('Water-Meter'!AD15&lt;0,"0",'Water-Meter'!AD15)</f>
        <v>8</v>
      </c>
      <c r="U11" s="12">
        <f>IF('Water-Meter'!AG15&lt;0,"0",'Water-Meter'!AG15)</f>
        <v>0</v>
      </c>
      <c r="V11" s="12">
        <f>IF('Water-Meter'!AJ15&lt;0,"0",'Water-Meter'!AJ15)</f>
        <v>19</v>
      </c>
      <c r="W11">
        <f>'Water-Meter'!AN15</f>
        <v>163</v>
      </c>
    </row>
    <row r="12" spans="1:23">
      <c r="A12" s="612" t="s">
        <v>327</v>
      </c>
      <c r="B12" s="613">
        <f t="shared" si="0"/>
        <v>11</v>
      </c>
      <c r="C12" s="613">
        <v>10</v>
      </c>
      <c r="D12" s="614">
        <v>2019</v>
      </c>
      <c r="E12" s="616">
        <f>'UTILITY REPORT 1'!I13</f>
        <v>263.09000000000003</v>
      </c>
      <c r="F12" s="616">
        <f>'UTILITY REPORT 1'!E13</f>
        <v>2310.19</v>
      </c>
      <c r="G12" s="615">
        <f>'UTILITY REPORT 1'!F13</f>
        <v>5967</v>
      </c>
      <c r="H12" s="616">
        <f>IF('Kit report'!F14&lt;0,"0",'Kit report'!F14)</f>
        <v>527.99999999995634</v>
      </c>
      <c r="I12" s="616">
        <f>IF('Kit report'!X14&lt;0,"0",'Kit report'!X14)</f>
        <v>900</v>
      </c>
      <c r="J12" s="616">
        <f>IF('Utility summery'!H16&lt;0,"0",'Utility summery'!H16)</f>
        <v>47</v>
      </c>
      <c r="K12" s="615">
        <f>IF('UTILITY REPORT 1'!H13&lt;0,"0",'UTILITY REPORT 1'!H13)</f>
        <v>115</v>
      </c>
      <c r="L12" s="616">
        <f>IF('Kit report'!Q14&lt;0,"0",'Kit report'!Q14)</f>
        <v>4</v>
      </c>
      <c r="M12" s="615">
        <f>IF('Kit report'!L14&lt;0,"0",'Kit report'!L14)</f>
        <v>17</v>
      </c>
      <c r="N12" s="615">
        <f>IF('Kit report'!AC14&lt;0,"0",'Kit report'!AC14)</f>
        <v>9</v>
      </c>
      <c r="O12" s="616" t="e">
        <f>K12*E12+H12*I12+#REF!*#REF!+J12*L12</f>
        <v>#REF!</v>
      </c>
      <c r="P12" s="616">
        <f>'Water-Meter'!E16</f>
        <v>112</v>
      </c>
      <c r="Q12" s="12">
        <f>IF('Water-Meter'!U16&lt;0,"0",'Water-Meter'!U16)</f>
        <v>29</v>
      </c>
      <c r="R12" s="12">
        <f>IF('Water-Meter'!X16&lt;0,"0",'Water-Meter'!X16)</f>
        <v>52</v>
      </c>
      <c r="S12" s="12">
        <f>IF('Water-Meter'!AA16&lt;0,"0",'Water-Meter'!AA16)</f>
        <v>63</v>
      </c>
      <c r="T12" s="12">
        <f>IF('Water-Meter'!AD16&lt;0,"0",'Water-Meter'!AD16)</f>
        <v>8</v>
      </c>
      <c r="U12" s="12">
        <f>IF('Water-Meter'!AG16&lt;0,"0",'Water-Meter'!AG16)</f>
        <v>0</v>
      </c>
      <c r="V12" s="12">
        <f>IF('Water-Meter'!AJ16&lt;0,"0",'Water-Meter'!AJ16)</f>
        <v>23</v>
      </c>
      <c r="W12">
        <f>'Water-Meter'!AN16</f>
        <v>175</v>
      </c>
    </row>
    <row r="13" spans="1:23">
      <c r="A13" s="612" t="s">
        <v>327</v>
      </c>
      <c r="B13" s="613">
        <f t="shared" si="0"/>
        <v>12</v>
      </c>
      <c r="C13" s="613">
        <v>10</v>
      </c>
      <c r="D13" s="614">
        <v>2019</v>
      </c>
      <c r="E13" s="616">
        <f>'UTILITY REPORT 1'!I14</f>
        <v>309.36</v>
      </c>
      <c r="F13" s="616">
        <f>'UTILITY REPORT 1'!E14</f>
        <v>2429.17</v>
      </c>
      <c r="G13" s="615">
        <f>'UTILITY REPORT 1'!F14</f>
        <v>5863</v>
      </c>
      <c r="H13" s="616">
        <f>IF('Kit report'!F15&lt;0,"0",'Kit report'!F15)</f>
        <v>552.00000000004366</v>
      </c>
      <c r="I13" s="616">
        <f>IF('Kit report'!X15&lt;0,"0",'Kit report'!X15)</f>
        <v>860.00000000003638</v>
      </c>
      <c r="J13" s="616">
        <f>IF('Utility summery'!H17&lt;0,"0",'Utility summery'!H17)</f>
        <v>46</v>
      </c>
      <c r="K13" s="615">
        <f>IF('UTILITY REPORT 1'!H14&lt;0,"0",'UTILITY REPORT 1'!H14)</f>
        <v>21</v>
      </c>
      <c r="L13" s="616">
        <f>IF('Kit report'!Q15&lt;0,"0",'Kit report'!Q15)</f>
        <v>3</v>
      </c>
      <c r="M13" s="615">
        <f>IF('Kit report'!L15&lt;0,"0",'Kit report'!L15)</f>
        <v>14</v>
      </c>
      <c r="N13" s="615">
        <f>IF('Kit report'!AC15&lt;0,"0",'Kit report'!AC15)</f>
        <v>9</v>
      </c>
      <c r="O13" s="616" t="e">
        <f>K13*E13+H13*I13+#REF!*#REF!+J13*L13</f>
        <v>#REF!</v>
      </c>
      <c r="P13" s="616">
        <f>'Water-Meter'!E17</f>
        <v>128</v>
      </c>
      <c r="Q13" s="12">
        <f>IF('Water-Meter'!U17&lt;0,"0",'Water-Meter'!U17)</f>
        <v>30</v>
      </c>
      <c r="R13" s="12">
        <f>IF('Water-Meter'!X17&lt;0,"0",'Water-Meter'!X17)</f>
        <v>51</v>
      </c>
      <c r="S13" s="12">
        <f>IF('Water-Meter'!AA17&lt;0,"0",'Water-Meter'!AA17)</f>
        <v>57</v>
      </c>
      <c r="T13" s="12">
        <f>IF('Water-Meter'!AD17&lt;0,"0",'Water-Meter'!AD17)</f>
        <v>8</v>
      </c>
      <c r="U13" s="12">
        <f>IF('Water-Meter'!AG17&lt;0,"0",'Water-Meter'!AG17)</f>
        <v>0</v>
      </c>
      <c r="V13" s="12">
        <f>IF('Water-Meter'!AJ17&lt;0,"0",'Water-Meter'!AJ17)</f>
        <v>19</v>
      </c>
      <c r="W13">
        <f>'Water-Meter'!AN17</f>
        <v>165</v>
      </c>
    </row>
    <row r="14" spans="1:23">
      <c r="A14" s="612" t="s">
        <v>327</v>
      </c>
      <c r="B14" s="613">
        <f t="shared" si="0"/>
        <v>13</v>
      </c>
      <c r="C14" s="613">
        <v>10</v>
      </c>
      <c r="D14" s="614">
        <v>2019</v>
      </c>
      <c r="E14" s="616">
        <f>'UTILITY REPORT 1'!I15</f>
        <v>63.78</v>
      </c>
      <c r="F14" s="616">
        <f>'UTILITY REPORT 1'!E15</f>
        <v>2249.5299999999997</v>
      </c>
      <c r="G14" s="615">
        <f>'UTILITY REPORT 1'!F15</f>
        <v>5720</v>
      </c>
      <c r="H14" s="616">
        <f>IF('Kit report'!F16&lt;0,"0",'Kit report'!F16)</f>
        <v>480</v>
      </c>
      <c r="I14" s="616">
        <f>IF('Kit report'!X16&lt;0,"0",'Kit report'!X16)</f>
        <v>1039.9999999999636</v>
      </c>
      <c r="J14" s="616">
        <f>IF('Utility summery'!H18&lt;0,"0",'Utility summery'!H18)</f>
        <v>51</v>
      </c>
      <c r="K14" s="615">
        <f>IF('UTILITY REPORT 1'!H15&lt;0,"0",'UTILITY REPORT 1'!H15)</f>
        <v>102</v>
      </c>
      <c r="L14" s="616">
        <f>IF('Kit report'!Q16&lt;0,"0",'Kit report'!Q16)</f>
        <v>2</v>
      </c>
      <c r="M14" s="615">
        <f>IF('Kit report'!L16&lt;0,"0",'Kit report'!L16)</f>
        <v>14</v>
      </c>
      <c r="N14" s="615">
        <f>IF('Kit report'!AC16&lt;0,"0",'Kit report'!AC16)</f>
        <v>9</v>
      </c>
      <c r="O14" s="616" t="e">
        <f>K14*E14+H14*I14+#REF!*#REF!+J14*L14</f>
        <v>#REF!</v>
      </c>
      <c r="P14" s="616">
        <f>'Water-Meter'!E18</f>
        <v>114</v>
      </c>
      <c r="Q14" s="12">
        <f>IF('Water-Meter'!U18&lt;0,"0",'Water-Meter'!U18)</f>
        <v>30</v>
      </c>
      <c r="R14" s="12">
        <f>IF('Water-Meter'!X18&lt;0,"0",'Water-Meter'!X18)</f>
        <v>44</v>
      </c>
      <c r="S14" s="12">
        <f>IF('Water-Meter'!AA18&lt;0,"0",'Water-Meter'!AA18)</f>
        <v>52</v>
      </c>
      <c r="T14" s="12">
        <f>IF('Water-Meter'!AD18&lt;0,"0",'Water-Meter'!AD18)</f>
        <v>6</v>
      </c>
      <c r="U14" s="12">
        <f>IF('Water-Meter'!AG18&lt;0,"0",'Water-Meter'!AG18)</f>
        <v>12</v>
      </c>
      <c r="V14" s="12">
        <f>IF('Water-Meter'!AJ18&lt;0,"0",'Water-Meter'!AJ18)</f>
        <v>18</v>
      </c>
      <c r="W14">
        <f>'Water-Meter'!AN18</f>
        <v>162</v>
      </c>
    </row>
    <row r="15" spans="1:23">
      <c r="A15" s="612" t="s">
        <v>327</v>
      </c>
      <c r="B15" s="613">
        <f t="shared" si="0"/>
        <v>14</v>
      </c>
      <c r="C15" s="613">
        <v>10</v>
      </c>
      <c r="D15" s="614">
        <v>2019</v>
      </c>
      <c r="E15" s="616">
        <f>'UTILITY REPORT 1'!I16</f>
        <v>246.8</v>
      </c>
      <c r="F15" s="616">
        <f>'UTILITY REPORT 1'!E16</f>
        <v>2424.4700000000003</v>
      </c>
      <c r="G15" s="615">
        <f>'UTILITY REPORT 1'!F16</f>
        <v>6195</v>
      </c>
      <c r="H15" s="616">
        <f>IF('Kit report'!F17&lt;0,"0",'Kit report'!F17)</f>
        <v>540</v>
      </c>
      <c r="I15" s="616">
        <f>IF('Kit report'!X17&lt;0,"0",'Kit report'!X17)</f>
        <v>760.00000000003638</v>
      </c>
      <c r="J15" s="616">
        <f>IF('Utility summery'!H19&lt;0,"0",'Utility summery'!H19)</f>
        <v>50</v>
      </c>
      <c r="K15" s="615">
        <f>IF('UTILITY REPORT 1'!H16&lt;0,"0",'UTILITY REPORT 1'!H16)</f>
        <v>13</v>
      </c>
      <c r="L15" s="616">
        <f>IF('Kit report'!Q17&lt;0,"0",'Kit report'!Q17)</f>
        <v>3</v>
      </c>
      <c r="M15" s="615">
        <f>IF('Kit report'!L17&lt;0,"0",'Kit report'!L17)</f>
        <v>13</v>
      </c>
      <c r="N15" s="615">
        <f>IF('Kit report'!AC17&lt;0,"0",'Kit report'!AC17)</f>
        <v>11</v>
      </c>
      <c r="O15" s="616" t="e">
        <f>K15*E15+H15*I15+#REF!*#REF!+J15*L15</f>
        <v>#REF!</v>
      </c>
      <c r="P15" s="616">
        <f>'Water-Meter'!E19</f>
        <v>119</v>
      </c>
      <c r="Q15" s="12">
        <f>IF('Water-Meter'!U19&lt;0,"0",'Water-Meter'!U19)</f>
        <v>32</v>
      </c>
      <c r="R15" s="12">
        <f>IF('Water-Meter'!X19&lt;0,"0",'Water-Meter'!X19)</f>
        <v>49</v>
      </c>
      <c r="S15" s="12">
        <f>IF('Water-Meter'!AA19&lt;0,"0",'Water-Meter'!AA19)</f>
        <v>55</v>
      </c>
      <c r="T15" s="12">
        <f>IF('Water-Meter'!AD19&lt;0,"0",'Water-Meter'!AD19)</f>
        <v>8</v>
      </c>
      <c r="U15" s="12">
        <f>IF('Water-Meter'!AG19&lt;0,"0",'Water-Meter'!AG19)</f>
        <v>17</v>
      </c>
      <c r="V15" s="12">
        <f>IF('Water-Meter'!AJ19&lt;0,"0",'Water-Meter'!AJ19)</f>
        <v>20</v>
      </c>
      <c r="W15">
        <f>'Water-Meter'!AN19</f>
        <v>181</v>
      </c>
    </row>
    <row r="16" spans="1:23">
      <c r="A16" s="612" t="s">
        <v>327</v>
      </c>
      <c r="B16" s="613">
        <f t="shared" si="0"/>
        <v>15</v>
      </c>
      <c r="C16" s="613">
        <v>10</v>
      </c>
      <c r="D16" s="614">
        <v>2019</v>
      </c>
      <c r="E16" s="616">
        <f>'UTILITY REPORT 1'!I17</f>
        <v>80.56</v>
      </c>
      <c r="F16" s="616">
        <f>'UTILITY REPORT 1'!E17</f>
        <v>2672.31</v>
      </c>
      <c r="G16" s="615">
        <f>'UTILITY REPORT 1'!F17</f>
        <v>6450</v>
      </c>
      <c r="H16" s="616">
        <f>IF('Kit report'!F18&lt;0,"0",'Kit report'!F18)</f>
        <v>515.99999999991269</v>
      </c>
      <c r="I16" s="616">
        <f>IF('Kit report'!X18&lt;0,"0",'Kit report'!X18)</f>
        <v>1000</v>
      </c>
      <c r="J16" s="616">
        <f>IF('Utility summery'!H20&lt;0,"0",'Utility summery'!H20)</f>
        <v>51</v>
      </c>
      <c r="K16" s="615">
        <f>IF('UTILITY REPORT 1'!H17&lt;0,"0",'UTILITY REPORT 1'!H17)</f>
        <v>48</v>
      </c>
      <c r="L16" s="616">
        <f>IF('Kit report'!Q18&lt;0,"0",'Kit report'!Q18)</f>
        <v>3</v>
      </c>
      <c r="M16" s="615">
        <f>IF('Kit report'!L18&lt;0,"0",'Kit report'!L18)</f>
        <v>19</v>
      </c>
      <c r="N16" s="615">
        <f>IF('Kit report'!AC18&lt;0,"0",'Kit report'!AC18)</f>
        <v>8</v>
      </c>
      <c r="O16" s="616" t="e">
        <f>K16*E16+H16*I16+#REF!*#REF!+J16*L16</f>
        <v>#REF!</v>
      </c>
      <c r="P16" s="616">
        <f>'Water-Meter'!E20</f>
        <v>128</v>
      </c>
      <c r="Q16" s="12">
        <f>IF('Water-Meter'!U20&lt;0,"0",'Water-Meter'!U20)</f>
        <v>29</v>
      </c>
      <c r="R16" s="12">
        <f>IF('Water-Meter'!X20&lt;0,"0",'Water-Meter'!X20)</f>
        <v>49</v>
      </c>
      <c r="S16" s="12">
        <f>IF('Water-Meter'!AA20&lt;0,"0",'Water-Meter'!AA20)</f>
        <v>56</v>
      </c>
      <c r="T16" s="12">
        <f>IF('Water-Meter'!AD20&lt;0,"0",'Water-Meter'!AD20)</f>
        <v>7</v>
      </c>
      <c r="U16" s="12">
        <f>IF('Water-Meter'!AG20&lt;0,"0",'Water-Meter'!AG20)</f>
        <v>17</v>
      </c>
      <c r="V16" s="12">
        <f>IF('Water-Meter'!AJ20&lt;0,"0",'Water-Meter'!AJ20)</f>
        <v>19</v>
      </c>
      <c r="W16">
        <f>'Water-Meter'!AN20</f>
        <v>177</v>
      </c>
    </row>
    <row r="17" spans="1:23">
      <c r="A17" s="612" t="s">
        <v>327</v>
      </c>
      <c r="B17" s="613">
        <f t="shared" si="0"/>
        <v>16</v>
      </c>
      <c r="C17" s="613">
        <v>10</v>
      </c>
      <c r="D17" s="614">
        <v>2019</v>
      </c>
      <c r="E17" s="616">
        <f>'UTILITY REPORT 1'!I18</f>
        <v>67.319999999999993</v>
      </c>
      <c r="F17" s="616">
        <f>'UTILITY REPORT 1'!E18</f>
        <v>2741.7</v>
      </c>
      <c r="G17" s="615">
        <f>'UTILITY REPORT 1'!F18</f>
        <v>6915</v>
      </c>
      <c r="H17" s="616">
        <f>IF('Kit report'!F19&lt;0,"0",'Kit report'!F19)</f>
        <v>540</v>
      </c>
      <c r="I17" s="616">
        <f>IF('Kit report'!X19&lt;0,"0",'Kit report'!X19)</f>
        <v>820.00000000007276</v>
      </c>
      <c r="J17" s="616">
        <f>IF('Utility summery'!H21&lt;0,"0",'Utility summery'!H21)</f>
        <v>49</v>
      </c>
      <c r="K17" s="615">
        <f>IF('UTILITY REPORT 1'!H18&lt;0,"0",'UTILITY REPORT 1'!H18)</f>
        <v>119</v>
      </c>
      <c r="L17" s="616">
        <f>IF('Kit report'!Q19&lt;0,"0",'Kit report'!Q19)</f>
        <v>2</v>
      </c>
      <c r="M17" s="615">
        <f>IF('Kit report'!L19&lt;0,"0",'Kit report'!L19)</f>
        <v>17</v>
      </c>
      <c r="N17" s="615">
        <f>IF('Kit report'!AC19&lt;0,"0",'Kit report'!AC19)</f>
        <v>9</v>
      </c>
      <c r="O17" s="616" t="e">
        <f>K17*E17+H17*I17+#REF!*#REF!+J17*L17</f>
        <v>#REF!</v>
      </c>
      <c r="P17" s="616">
        <f>'Water-Meter'!E21</f>
        <v>127</v>
      </c>
      <c r="Q17" s="12">
        <f>IF('Water-Meter'!U21&lt;0,"0",'Water-Meter'!U21)</f>
        <v>31</v>
      </c>
      <c r="R17" s="12">
        <f>IF('Water-Meter'!X21&lt;0,"0",'Water-Meter'!X21)</f>
        <v>50</v>
      </c>
      <c r="S17" s="12">
        <f>IF('Water-Meter'!AA21&lt;0,"0",'Water-Meter'!AA21)</f>
        <v>55</v>
      </c>
      <c r="T17" s="12">
        <f>IF('Water-Meter'!AD21&lt;0,"0",'Water-Meter'!AD21)</f>
        <v>8</v>
      </c>
      <c r="U17" s="12">
        <f>IF('Water-Meter'!AG21&lt;0,"0",'Water-Meter'!AG21)</f>
        <v>15</v>
      </c>
      <c r="V17" s="12">
        <f>IF('Water-Meter'!AJ21&lt;0,"0",'Water-Meter'!AJ21)</f>
        <v>20</v>
      </c>
      <c r="W17">
        <f>'Water-Meter'!AN21</f>
        <v>179</v>
      </c>
    </row>
    <row r="18" spans="1:23">
      <c r="A18" s="612" t="s">
        <v>327</v>
      </c>
      <c r="B18" s="613">
        <f t="shared" si="0"/>
        <v>17</v>
      </c>
      <c r="C18" s="613">
        <v>10</v>
      </c>
      <c r="D18" s="614">
        <v>2019</v>
      </c>
      <c r="E18" s="616">
        <f>'UTILITY REPORT 1'!I19</f>
        <v>597.9</v>
      </c>
      <c r="F18" s="616">
        <f>'UTILITY REPORT 1'!E19</f>
        <v>2321.11</v>
      </c>
      <c r="G18" s="615">
        <f>'UTILITY REPORT 1'!F19</f>
        <v>5962</v>
      </c>
      <c r="H18" s="616">
        <f>IF('Kit report'!F20&lt;0,"0",'Kit report'!F20)</f>
        <v>576.00000000002183</v>
      </c>
      <c r="I18" s="616">
        <f>IF('Kit report'!X20&lt;0,"0",'Kit report'!X20)</f>
        <v>959.99999999985448</v>
      </c>
      <c r="J18" s="616">
        <f>IF('Utility summery'!H22&lt;0,"0",'Utility summery'!H22)</f>
        <v>41</v>
      </c>
      <c r="K18" s="615">
        <f>IF('UTILITY REPORT 1'!H19&lt;0,"0",'UTILITY REPORT 1'!H19)</f>
        <v>70</v>
      </c>
      <c r="L18" s="616">
        <f>IF('Kit report'!Q20&lt;0,"0",'Kit report'!Q20)</f>
        <v>4</v>
      </c>
      <c r="M18" s="615">
        <f>IF('Kit report'!L20&lt;0,"0",'Kit report'!L20)</f>
        <v>13</v>
      </c>
      <c r="N18" s="615">
        <f>IF('Kit report'!AC20&lt;0,"0",'Kit report'!AC20)</f>
        <v>12</v>
      </c>
      <c r="O18" s="616" t="e">
        <f>K18*E18+H18*I18+#REF!*#REF!+J18*L18</f>
        <v>#REF!</v>
      </c>
      <c r="P18" s="616">
        <f>'Water-Meter'!E22</f>
        <v>122</v>
      </c>
      <c r="Q18" s="12">
        <f>IF('Water-Meter'!U22&lt;0,"0",'Water-Meter'!U22)</f>
        <v>29</v>
      </c>
      <c r="R18" s="12">
        <f>IF('Water-Meter'!X22&lt;0,"0",'Water-Meter'!X22)</f>
        <v>50</v>
      </c>
      <c r="S18" s="12">
        <f>IF('Water-Meter'!AA22&lt;0,"0",'Water-Meter'!AA22)</f>
        <v>55</v>
      </c>
      <c r="T18" s="12">
        <f>IF('Water-Meter'!AD22&lt;0,"0",'Water-Meter'!AD22)</f>
        <v>5</v>
      </c>
      <c r="U18" s="12">
        <f>IF('Water-Meter'!AG22&lt;0,"0",'Water-Meter'!AG22)</f>
        <v>17</v>
      </c>
      <c r="V18" s="12">
        <f>IF('Water-Meter'!AJ22&lt;0,"0",'Water-Meter'!AJ22)</f>
        <v>19</v>
      </c>
      <c r="W18">
        <f>'Water-Meter'!AN22</f>
        <v>175</v>
      </c>
    </row>
    <row r="19" spans="1:23">
      <c r="A19" s="612" t="s">
        <v>327</v>
      </c>
      <c r="B19" s="613">
        <f t="shared" si="0"/>
        <v>18</v>
      </c>
      <c r="C19" s="613">
        <v>10</v>
      </c>
      <c r="D19" s="614">
        <v>2019</v>
      </c>
      <c r="E19" s="616">
        <f>'UTILITY REPORT 1'!I20</f>
        <v>227.73000000000002</v>
      </c>
      <c r="F19" s="616">
        <f>'UTILITY REPORT 1'!E20</f>
        <v>2204.84</v>
      </c>
      <c r="G19" s="615">
        <f>'UTILITY REPORT 1'!F20</f>
        <v>5257</v>
      </c>
      <c r="H19" s="616">
        <f>IF('Kit report'!F21&lt;0,"0",'Kit report'!F21)</f>
        <v>468.00000000006548</v>
      </c>
      <c r="I19" s="616">
        <f>IF('Kit report'!X21&lt;0,"0",'Kit report'!X21)</f>
        <v>1540.0000000001455</v>
      </c>
      <c r="J19" s="616">
        <f>IF('Utility summery'!H23&lt;0,"0",'Utility summery'!H23)</f>
        <v>10</v>
      </c>
      <c r="K19" s="615">
        <f>IF('UTILITY REPORT 1'!H20&lt;0,"0",'UTILITY REPORT 1'!H20)</f>
        <v>109</v>
      </c>
      <c r="L19" s="616">
        <f>IF('Kit report'!Q21&lt;0,"0",'Kit report'!Q21)</f>
        <v>2</v>
      </c>
      <c r="M19" s="615">
        <f>IF('Kit report'!L21&lt;0,"0",'Kit report'!L21)</f>
        <v>15</v>
      </c>
      <c r="N19" s="615">
        <f>IF('Kit report'!AC21&lt;0,"0",'Kit report'!AC21)</f>
        <v>11</v>
      </c>
      <c r="O19" s="616" t="e">
        <f>K19*E19+H19*I19+#REF!*#REF!+J19*L19</f>
        <v>#REF!</v>
      </c>
      <c r="P19" s="616">
        <f>'Water-Meter'!E23</f>
        <v>105</v>
      </c>
      <c r="Q19" s="12">
        <f>IF('Water-Meter'!U23&lt;0,"0",'Water-Meter'!U23)</f>
        <v>30</v>
      </c>
      <c r="R19" s="12">
        <f>IF('Water-Meter'!X23&lt;0,"0",'Water-Meter'!X23)</f>
        <v>52</v>
      </c>
      <c r="S19" s="12">
        <f>IF('Water-Meter'!AA23&lt;0,"0",'Water-Meter'!AA23)</f>
        <v>56</v>
      </c>
      <c r="T19" s="12">
        <f>IF('Water-Meter'!AD23&lt;0,"0",'Water-Meter'!AD23)</f>
        <v>8</v>
      </c>
      <c r="U19" s="12">
        <f>IF('Water-Meter'!AG23&lt;0,"0",'Water-Meter'!AG23)</f>
        <v>15</v>
      </c>
      <c r="V19" s="12">
        <f>IF('Water-Meter'!AJ23&lt;0,"0",'Water-Meter'!AJ23)</f>
        <v>20</v>
      </c>
      <c r="W19">
        <f>'Water-Meter'!AN23</f>
        <v>181</v>
      </c>
    </row>
    <row r="20" spans="1:23">
      <c r="A20" s="612" t="s">
        <v>327</v>
      </c>
      <c r="B20" s="613">
        <f t="shared" si="0"/>
        <v>19</v>
      </c>
      <c r="C20" s="613">
        <v>10</v>
      </c>
      <c r="D20" s="614">
        <v>2019</v>
      </c>
      <c r="E20" s="616">
        <f>'UTILITY REPORT 1'!I21</f>
        <v>88.289999999999992</v>
      </c>
      <c r="F20" s="616">
        <f>'UTILITY REPORT 1'!E21</f>
        <v>1845.1800000000003</v>
      </c>
      <c r="G20" s="615">
        <f>'UTILITY REPORT 1'!F21</f>
        <v>4691</v>
      </c>
      <c r="H20" s="616">
        <f>IF('Kit report'!F22&lt;0,"0",'Kit report'!F22)</f>
        <v>480</v>
      </c>
      <c r="I20" s="616">
        <f>IF('Kit report'!X22&lt;0,"0",'Kit report'!X22)</f>
        <v>600</v>
      </c>
      <c r="J20" s="616">
        <f>IF('Utility summery'!H24&lt;0,"0",'Utility summery'!H24)</f>
        <v>7</v>
      </c>
      <c r="K20" s="615">
        <f>IF('UTILITY REPORT 1'!H21&lt;0,"0",'UTILITY REPORT 1'!H21)</f>
        <v>109</v>
      </c>
      <c r="L20" s="616">
        <f>IF('Kit report'!Q22&lt;0,"0",'Kit report'!Q22)</f>
        <v>4</v>
      </c>
      <c r="M20" s="615">
        <f>IF('Kit report'!L22&lt;0,"0",'Kit report'!L22)</f>
        <v>12</v>
      </c>
      <c r="N20" s="615">
        <f>IF('Kit report'!AC22&lt;0,"0",'Kit report'!AC22)</f>
        <v>7</v>
      </c>
      <c r="O20" s="616" t="e">
        <f>K20*E20+H20*I20+#REF!*#REF!+J20*L20</f>
        <v>#REF!</v>
      </c>
      <c r="P20" s="616">
        <f>'Water-Meter'!E24</f>
        <v>104</v>
      </c>
      <c r="Q20" s="12">
        <f>IF('Water-Meter'!U24&lt;0,"0",'Water-Meter'!U24)</f>
        <v>31</v>
      </c>
      <c r="R20" s="12">
        <f>IF('Water-Meter'!X24&lt;0,"0",'Water-Meter'!X24)</f>
        <v>51</v>
      </c>
      <c r="S20" s="12">
        <f>IF('Water-Meter'!AA24&lt;0,"0",'Water-Meter'!AA24)</f>
        <v>54</v>
      </c>
      <c r="T20" s="12">
        <f>IF('Water-Meter'!AD24&lt;0,"0",'Water-Meter'!AD24)</f>
        <v>7</v>
      </c>
      <c r="U20" s="12">
        <f>IF('Water-Meter'!AG24&lt;0,"0",'Water-Meter'!AG24)</f>
        <v>15</v>
      </c>
      <c r="V20" s="12">
        <f>IF('Water-Meter'!AJ24&lt;0,"0",'Water-Meter'!AJ24)</f>
        <v>19</v>
      </c>
      <c r="W20">
        <f>'Water-Meter'!AN24</f>
        <v>177</v>
      </c>
    </row>
    <row r="21" spans="1:23">
      <c r="A21" s="612" t="s">
        <v>327</v>
      </c>
      <c r="B21" s="613">
        <f t="shared" si="0"/>
        <v>20</v>
      </c>
      <c r="C21" s="613">
        <v>10</v>
      </c>
      <c r="D21" s="614">
        <v>2019</v>
      </c>
      <c r="E21" s="616">
        <f>'UTILITY REPORT 1'!I22</f>
        <v>183.92000000000002</v>
      </c>
      <c r="F21" s="616">
        <f>'UTILITY REPORT 1'!E22</f>
        <v>2797.0099999999998</v>
      </c>
      <c r="G21" s="615">
        <f>'UTILITY REPORT 1'!F22</f>
        <v>5712</v>
      </c>
      <c r="H21" s="616">
        <f>IF('Kit report'!F23&lt;0,"0",'Kit report'!F23)</f>
        <v>455.99999999991269</v>
      </c>
      <c r="I21" s="616">
        <f>IF('Kit report'!X23&lt;0,"0",'Kit report'!X23)</f>
        <v>900</v>
      </c>
      <c r="J21" s="616">
        <f>IF('Utility summery'!H25&lt;0,"0",'Utility summery'!H25)</f>
        <v>50</v>
      </c>
      <c r="K21" s="615">
        <f>IF('UTILITY REPORT 1'!H22&lt;0,"0",'UTILITY REPORT 1'!H22)</f>
        <v>109</v>
      </c>
      <c r="L21" s="616">
        <f>IF('Kit report'!Q23&lt;0,"0",'Kit report'!Q23)</f>
        <v>4</v>
      </c>
      <c r="M21" s="615">
        <f>IF('Kit report'!L23&lt;0,"0",'Kit report'!L23)</f>
        <v>16</v>
      </c>
      <c r="N21" s="615">
        <f>IF('Kit report'!AC23&lt;0,"0",'Kit report'!AC23)</f>
        <v>9</v>
      </c>
      <c r="O21" s="616" t="e">
        <f>K21*E21+H21*I21+#REF!*#REF!+J21*L21</f>
        <v>#REF!</v>
      </c>
      <c r="P21" s="616">
        <f>'Water-Meter'!E25</f>
        <v>100</v>
      </c>
      <c r="Q21" s="12">
        <f>IF('Water-Meter'!U25&lt;0,"0",'Water-Meter'!U25)</f>
        <v>30</v>
      </c>
      <c r="R21" s="12">
        <f>IF('Water-Meter'!X25&lt;0,"0",'Water-Meter'!X25)</f>
        <v>50</v>
      </c>
      <c r="S21" s="12">
        <f>IF('Water-Meter'!AA25&lt;0,"0",'Water-Meter'!AA25)</f>
        <v>55</v>
      </c>
      <c r="T21" s="12">
        <f>IF('Water-Meter'!AD25&lt;0,"0",'Water-Meter'!AD25)</f>
        <v>6</v>
      </c>
      <c r="U21" s="12">
        <f>IF('Water-Meter'!AG25&lt;0,"0",'Water-Meter'!AG25)</f>
        <v>15</v>
      </c>
      <c r="V21" s="12">
        <f>IF('Water-Meter'!AJ25&lt;0,"0",'Water-Meter'!AJ25)</f>
        <v>19</v>
      </c>
      <c r="W21">
        <f>'Water-Meter'!AN25</f>
        <v>175</v>
      </c>
    </row>
    <row r="22" spans="1:23">
      <c r="A22" s="612" t="s">
        <v>327</v>
      </c>
      <c r="B22" s="613">
        <f t="shared" si="0"/>
        <v>21</v>
      </c>
      <c r="C22" s="613">
        <v>10</v>
      </c>
      <c r="D22" s="614">
        <v>2019</v>
      </c>
      <c r="E22" s="616">
        <f>'UTILITY REPORT 1'!I23</f>
        <v>172.05</v>
      </c>
      <c r="F22" s="616">
        <f>'UTILITY REPORT 1'!E23</f>
        <v>2262.16</v>
      </c>
      <c r="G22" s="615">
        <f>'UTILITY REPORT 1'!F23</f>
        <v>5941</v>
      </c>
      <c r="H22" s="616">
        <f>IF('Kit report'!F24&lt;0,"0",'Kit report'!F24)</f>
        <v>480</v>
      </c>
      <c r="I22" s="616">
        <f>IF('Kit report'!X24&lt;0,"0",'Kit report'!X24)</f>
        <v>700</v>
      </c>
      <c r="J22" s="616">
        <f>IF('Utility summery'!H26&lt;0,"0",'Utility summery'!H26)</f>
        <v>49</v>
      </c>
      <c r="K22" s="615">
        <f>IF('UTILITY REPORT 1'!H23&lt;0,"0",'UTILITY REPORT 1'!H23)</f>
        <v>113</v>
      </c>
      <c r="L22" s="616">
        <f>IF('Kit report'!Q24&lt;0,"0",'Kit report'!Q24)</f>
        <v>3</v>
      </c>
      <c r="M22" s="615">
        <f>IF('Kit report'!L24&lt;0,"0",'Kit report'!L24)</f>
        <v>16</v>
      </c>
      <c r="N22" s="615">
        <f>IF('Kit report'!AC24&lt;0,"0",'Kit report'!AC24)</f>
        <v>9</v>
      </c>
      <c r="O22" s="616" t="e">
        <f>K22*E22+H22*I22+#REF!*#REF!+J22*L22</f>
        <v>#REF!</v>
      </c>
      <c r="P22" s="616">
        <f>'Water-Meter'!E26</f>
        <v>116</v>
      </c>
      <c r="Q22" s="12">
        <f>IF('Water-Meter'!U26&lt;0,"0",'Water-Meter'!U26)</f>
        <v>30</v>
      </c>
      <c r="R22" s="12">
        <f>IF('Water-Meter'!X26&lt;0,"0",'Water-Meter'!X26)</f>
        <v>51</v>
      </c>
      <c r="S22" s="12">
        <f>IF('Water-Meter'!AA26&lt;0,"0",'Water-Meter'!AA26)</f>
        <v>55</v>
      </c>
      <c r="T22" s="12">
        <f>IF('Water-Meter'!AD26&lt;0,"0",'Water-Meter'!AD26)</f>
        <v>7</v>
      </c>
      <c r="U22" s="12">
        <f>IF('Water-Meter'!AG26&lt;0,"0",'Water-Meter'!AG26)</f>
        <v>15</v>
      </c>
      <c r="V22" s="12">
        <f>IF('Water-Meter'!AJ26&lt;0,"0",'Water-Meter'!AJ26)</f>
        <v>19</v>
      </c>
      <c r="W22">
        <f>'Water-Meter'!AN26</f>
        <v>177</v>
      </c>
    </row>
    <row r="23" spans="1:23">
      <c r="A23" s="612" t="s">
        <v>327</v>
      </c>
      <c r="B23" s="613">
        <f t="shared" si="0"/>
        <v>22</v>
      </c>
      <c r="C23" s="613">
        <v>10</v>
      </c>
      <c r="D23" s="614">
        <v>2019</v>
      </c>
      <c r="E23" s="616">
        <f>'UTILITY REPORT 1'!I24</f>
        <v>18.63</v>
      </c>
      <c r="F23" s="616">
        <f>'UTILITY REPORT 1'!E24</f>
        <v>2286.86</v>
      </c>
      <c r="G23" s="615">
        <f>'UTILITY REPORT 1'!F24</f>
        <v>5400</v>
      </c>
      <c r="H23" s="616">
        <f>IF('Kit report'!F25&lt;0,"0",'Kit report'!F25)</f>
        <v>480</v>
      </c>
      <c r="I23" s="616">
        <f>IF('Kit report'!X25&lt;0,"0",'Kit report'!X25)</f>
        <v>1000</v>
      </c>
      <c r="J23" s="616">
        <f>IF('Utility summery'!H27&lt;0,"0",'Utility summery'!H27)</f>
        <v>30</v>
      </c>
      <c r="K23" s="615">
        <f>IF('UTILITY REPORT 1'!H24&lt;0,"0",'UTILITY REPORT 1'!H24)</f>
        <v>87</v>
      </c>
      <c r="L23" s="616">
        <f>IF('Kit report'!Q25&lt;0,"0",'Kit report'!Q25)</f>
        <v>3</v>
      </c>
      <c r="M23" s="615">
        <f>IF('Kit report'!L25&lt;0,"0",'Kit report'!L25)</f>
        <v>14</v>
      </c>
      <c r="N23" s="615">
        <f>IF('Kit report'!AC25&lt;0,"0",'Kit report'!AC25)</f>
        <v>9</v>
      </c>
      <c r="O23" s="616" t="e">
        <f>K23*E23+H23*I23+#REF!*#REF!+J23*L23</f>
        <v>#REF!</v>
      </c>
      <c r="P23" s="616">
        <f>'Water-Meter'!E27</f>
        <v>114</v>
      </c>
      <c r="Q23" s="12">
        <f>IF('Water-Meter'!U27&lt;0,"0",'Water-Meter'!U27)</f>
        <v>29</v>
      </c>
      <c r="R23" s="12">
        <f>IF('Water-Meter'!X27&lt;0,"0",'Water-Meter'!X27)</f>
        <v>51</v>
      </c>
      <c r="S23" s="12">
        <f>IF('Water-Meter'!AA27&lt;0,"0",'Water-Meter'!AA27)</f>
        <v>55</v>
      </c>
      <c r="T23" s="12">
        <f>IF('Water-Meter'!AD27&lt;0,"0",'Water-Meter'!AD27)</f>
        <v>7</v>
      </c>
      <c r="U23" s="12">
        <f>IF('Water-Meter'!AG27&lt;0,"0",'Water-Meter'!AG27)</f>
        <v>15</v>
      </c>
      <c r="V23" s="12">
        <f>IF('Water-Meter'!AJ27&lt;0,"0",'Water-Meter'!AJ27)</f>
        <v>19</v>
      </c>
      <c r="W23">
        <f>'Water-Meter'!AN27</f>
        <v>176</v>
      </c>
    </row>
    <row r="24" spans="1:23">
      <c r="A24" s="612" t="s">
        <v>327</v>
      </c>
      <c r="B24" s="613">
        <f t="shared" si="0"/>
        <v>23</v>
      </c>
      <c r="C24" s="613">
        <v>10</v>
      </c>
      <c r="D24" s="614">
        <v>2019</v>
      </c>
      <c r="E24" s="616">
        <f>'UTILITY REPORT 1'!I25</f>
        <v>311.34000000000003</v>
      </c>
      <c r="F24" s="616">
        <f>'UTILITY REPORT 1'!E25</f>
        <v>2148.2999999999997</v>
      </c>
      <c r="G24" s="615">
        <f>'UTILITY REPORT 1'!F25</f>
        <v>5371</v>
      </c>
      <c r="H24" s="616">
        <f>IF('Kit report'!F26&lt;0,"0",'Kit report'!F26)</f>
        <v>540</v>
      </c>
      <c r="I24" s="616">
        <f>IF('Kit report'!X26&lt;0,"0",'Kit report'!X26)</f>
        <v>800</v>
      </c>
      <c r="J24" s="616">
        <f>IF('Utility summery'!H28&lt;0,"0",'Utility summery'!H28)</f>
        <v>14</v>
      </c>
      <c r="K24" s="615">
        <f>IF('UTILITY REPORT 1'!H25&lt;0,"0",'UTILITY REPORT 1'!H25)</f>
        <v>60</v>
      </c>
      <c r="L24" s="616">
        <f>IF('Kit report'!Q26&lt;0,"0",'Kit report'!Q26)</f>
        <v>3</v>
      </c>
      <c r="M24" s="615">
        <f>IF('Kit report'!L26&lt;0,"0",'Kit report'!L26)</f>
        <v>13</v>
      </c>
      <c r="N24" s="615">
        <f>IF('Kit report'!AC26&lt;0,"0",'Kit report'!AC26)</f>
        <v>8</v>
      </c>
      <c r="O24" s="616" t="e">
        <f>K24*E24+H24*I24+#REF!*#REF!+J24*L24</f>
        <v>#REF!</v>
      </c>
      <c r="P24" s="616">
        <f>'Water-Meter'!E28</f>
        <v>113</v>
      </c>
      <c r="Q24" s="12">
        <f>IF('Water-Meter'!U28&lt;0,"0",'Water-Meter'!U28)</f>
        <v>30</v>
      </c>
      <c r="R24" s="12">
        <f>IF('Water-Meter'!X28&lt;0,"0",'Water-Meter'!X28)</f>
        <v>51</v>
      </c>
      <c r="S24" s="12">
        <f>IF('Water-Meter'!AA28&lt;0,"0",'Water-Meter'!AA28)</f>
        <v>57</v>
      </c>
      <c r="T24" s="12">
        <f>IF('Water-Meter'!AD28&lt;0,"0",'Water-Meter'!AD28)</f>
        <v>7</v>
      </c>
      <c r="U24" s="12">
        <f>IF('Water-Meter'!AG28&lt;0,"0",'Water-Meter'!AG28)</f>
        <v>14</v>
      </c>
      <c r="V24" s="12">
        <f>IF('Water-Meter'!AJ28&lt;0,"0",'Water-Meter'!AJ28)</f>
        <v>21</v>
      </c>
      <c r="W24">
        <f>'Water-Meter'!AN28</f>
        <v>180</v>
      </c>
    </row>
    <row r="25" spans="1:23">
      <c r="A25" s="612" t="s">
        <v>327</v>
      </c>
      <c r="B25" s="613">
        <f t="shared" si="0"/>
        <v>24</v>
      </c>
      <c r="C25" s="613">
        <v>10</v>
      </c>
      <c r="D25" s="614">
        <v>2019</v>
      </c>
      <c r="E25" s="616">
        <f>'UTILITY REPORT 1'!I26</f>
        <v>380.7</v>
      </c>
      <c r="F25" s="616">
        <f>'UTILITY REPORT 1'!E26</f>
        <v>2113.27</v>
      </c>
      <c r="G25" s="615">
        <f>'UTILITY REPORT 1'!F26</f>
        <v>5296</v>
      </c>
      <c r="H25" s="616">
        <f>IF('Kit report'!F27&lt;0,"0",'Kit report'!F27)</f>
        <v>540</v>
      </c>
      <c r="I25" s="616">
        <f>IF('Kit report'!X27&lt;0,"0",'Kit report'!X27)</f>
        <v>879.99999999992724</v>
      </c>
      <c r="J25" s="616">
        <f>IF('Utility summery'!H29&lt;0,"0",'Utility summery'!H29)</f>
        <v>30</v>
      </c>
      <c r="K25" s="615">
        <f>IF('UTILITY REPORT 1'!H26&lt;0,"0",'UTILITY REPORT 1'!H26)</f>
        <v>110</v>
      </c>
      <c r="L25" s="616">
        <f>IF('Kit report'!Q27&lt;0,"0",'Kit report'!Q27)</f>
        <v>2</v>
      </c>
      <c r="M25" s="615">
        <f>IF('Kit report'!L27&lt;0,"0",'Kit report'!L27)</f>
        <v>12</v>
      </c>
      <c r="N25" s="615">
        <f>IF('Kit report'!AC27&lt;0,"0",'Kit report'!AC27)</f>
        <v>9</v>
      </c>
      <c r="O25" s="616" t="e">
        <f>K25*E25+H25*I25+#REF!*#REF!+J25*L25</f>
        <v>#REF!</v>
      </c>
      <c r="P25" s="616">
        <f>'Water-Meter'!E29</f>
        <v>99</v>
      </c>
      <c r="Q25" s="12">
        <f>IF('Water-Meter'!U29&lt;0,"0",'Water-Meter'!U29)</f>
        <v>29</v>
      </c>
      <c r="R25" s="12">
        <f>IF('Water-Meter'!X29&lt;0,"0",'Water-Meter'!X29)</f>
        <v>50</v>
      </c>
      <c r="S25" s="12">
        <f>IF('Water-Meter'!AA29&lt;0,"0",'Water-Meter'!AA29)</f>
        <v>56</v>
      </c>
      <c r="T25" s="12">
        <f>IF('Water-Meter'!AD29&lt;0,"0",'Water-Meter'!AD29)</f>
        <v>7</v>
      </c>
      <c r="U25" s="12">
        <f>IF('Water-Meter'!AG29&lt;0,"0",'Water-Meter'!AG29)</f>
        <v>15</v>
      </c>
      <c r="V25" s="12">
        <f>IF('Water-Meter'!AJ29&lt;0,"0",'Water-Meter'!AJ29)</f>
        <v>19</v>
      </c>
      <c r="W25">
        <f>'Water-Meter'!AN29</f>
        <v>176</v>
      </c>
    </row>
    <row r="26" spans="1:23">
      <c r="A26" s="612" t="s">
        <v>327</v>
      </c>
      <c r="B26" s="613">
        <f>B25+1</f>
        <v>25</v>
      </c>
      <c r="C26" s="613">
        <v>10</v>
      </c>
      <c r="D26" s="614">
        <v>2019</v>
      </c>
      <c r="E26" s="616">
        <f>'UTILITY REPORT 1'!I27</f>
        <v>273.37</v>
      </c>
      <c r="F26" s="616">
        <f>'UTILITY REPORT 1'!E27</f>
        <v>2104.5200000000004</v>
      </c>
      <c r="G26" s="615">
        <f>'UTILITY REPORT 1'!F27</f>
        <v>5221</v>
      </c>
      <c r="H26" s="616">
        <f>IF('Kit report'!F28&lt;0,"0",'Kit report'!F28)</f>
        <v>480</v>
      </c>
      <c r="I26" s="616">
        <f>IF('Kit report'!X28&lt;0,"0",'Kit report'!X28)</f>
        <v>779.99999999992724</v>
      </c>
      <c r="J26" s="616">
        <f>IF('Utility summery'!H30&lt;0,"0",'Utility summery'!H30)</f>
        <v>51</v>
      </c>
      <c r="K26" s="615">
        <f>IF('UTILITY REPORT 1'!H27&lt;0,"0",'UTILITY REPORT 1'!H27)</f>
        <v>76</v>
      </c>
      <c r="L26" s="616">
        <f>IF('Kit report'!Q28&lt;0,"0",'Kit report'!Q28)</f>
        <v>3</v>
      </c>
      <c r="M26" s="615">
        <f>IF('Kit report'!L28&lt;0,"0",'Kit report'!L28)</f>
        <v>13</v>
      </c>
      <c r="N26" s="615">
        <f>IF('Kit report'!AC28&lt;0,"0",'Kit report'!AC28)</f>
        <v>10</v>
      </c>
      <c r="O26" s="616" t="e">
        <f>K26*E26+H26*I26+#REF!*#REF!+J26*L26</f>
        <v>#REF!</v>
      </c>
      <c r="P26" s="616">
        <f>'Water-Meter'!E30</f>
        <v>111</v>
      </c>
      <c r="Q26" s="12">
        <f>IF('Water-Meter'!U30&lt;0,"0",'Water-Meter'!U30)</f>
        <v>30</v>
      </c>
      <c r="R26" s="12">
        <f>IF('Water-Meter'!X30&lt;0,"0",'Water-Meter'!X30)</f>
        <v>51</v>
      </c>
      <c r="S26" s="12">
        <f>IF('Water-Meter'!AA30&lt;0,"0",'Water-Meter'!AA30)</f>
        <v>53</v>
      </c>
      <c r="T26" s="12">
        <f>IF('Water-Meter'!AD30&lt;0,"0",'Water-Meter'!AD30)</f>
        <v>6</v>
      </c>
      <c r="U26" s="12">
        <f>IF('Water-Meter'!AG30&lt;0,"0",'Water-Meter'!AG30)</f>
        <v>14</v>
      </c>
      <c r="V26" s="12">
        <f>IF('Water-Meter'!AJ30&lt;0,"0",'Water-Meter'!AJ30)</f>
        <v>20</v>
      </c>
      <c r="W26">
        <f>'Water-Meter'!AN30</f>
        <v>174</v>
      </c>
    </row>
    <row r="27" spans="1:23">
      <c r="A27" s="612" t="s">
        <v>327</v>
      </c>
      <c r="B27" s="613">
        <f t="shared" si="0"/>
        <v>26</v>
      </c>
      <c r="C27" s="613">
        <v>10</v>
      </c>
      <c r="D27" s="614">
        <v>2019</v>
      </c>
      <c r="E27" s="616">
        <f>'UTILITY REPORT 1'!I28</f>
        <v>396.56</v>
      </c>
      <c r="F27" s="616">
        <f>'UTILITY REPORT 1'!E28</f>
        <v>2470.2400000000002</v>
      </c>
      <c r="G27" s="615">
        <f>'UTILITY REPORT 1'!F28</f>
        <v>5665</v>
      </c>
      <c r="H27" s="616">
        <f>IF('Kit report'!F29&lt;0,"0",'Kit report'!F29)</f>
        <v>504.00000000008731</v>
      </c>
      <c r="I27" s="616">
        <f>IF('Kit report'!X29&lt;0,"0",'Kit report'!X29)</f>
        <v>740.00000000014552</v>
      </c>
      <c r="J27" s="616">
        <f>IF('Utility summery'!H31&lt;0,"0",'Utility summery'!H31)</f>
        <v>46</v>
      </c>
      <c r="K27" s="615">
        <f>IF('UTILITY REPORT 1'!H28&lt;0,"0",'UTILITY REPORT 1'!H28)</f>
        <v>116</v>
      </c>
      <c r="L27" s="616">
        <f>IF('Kit report'!Q29&lt;0,"0",'Kit report'!Q29)</f>
        <v>2</v>
      </c>
      <c r="M27" s="615">
        <f>IF('Kit report'!L29&lt;0,"0",'Kit report'!L29)</f>
        <v>17</v>
      </c>
      <c r="N27" s="615">
        <f>IF('Kit report'!AC29&lt;0,"0",'Kit report'!AC29)</f>
        <v>9</v>
      </c>
      <c r="O27" s="616" t="e">
        <f>K27*E27+H27*I27+#REF!*#REF!+J27*L27</f>
        <v>#REF!</v>
      </c>
      <c r="P27" s="616">
        <f>'Water-Meter'!E31</f>
        <v>130</v>
      </c>
      <c r="Q27" s="12">
        <f>IF('Water-Meter'!U31&lt;0,"0",'Water-Meter'!U31)</f>
        <v>30</v>
      </c>
      <c r="R27" s="12">
        <f>IF('Water-Meter'!X31&lt;0,"0",'Water-Meter'!X31)</f>
        <v>51</v>
      </c>
      <c r="S27" s="12">
        <f>IF('Water-Meter'!AA31&lt;0,"0",'Water-Meter'!AA31)</f>
        <v>55</v>
      </c>
      <c r="T27" s="12">
        <f>IF('Water-Meter'!AD31&lt;0,"0",'Water-Meter'!AD31)</f>
        <v>7</v>
      </c>
      <c r="U27" s="12">
        <f>IF('Water-Meter'!AG31&lt;0,"0",'Water-Meter'!AG31)</f>
        <v>15</v>
      </c>
      <c r="V27" s="12">
        <f>IF('Water-Meter'!AJ31&lt;0,"0",'Water-Meter'!AJ31)</f>
        <v>19</v>
      </c>
      <c r="W27">
        <f>'Water-Meter'!AN31</f>
        <v>177</v>
      </c>
    </row>
    <row r="28" spans="1:23">
      <c r="A28" s="612" t="s">
        <v>327</v>
      </c>
      <c r="B28" s="613">
        <f t="shared" si="0"/>
        <v>27</v>
      </c>
      <c r="C28" s="613">
        <v>10</v>
      </c>
      <c r="D28" s="614">
        <v>2019</v>
      </c>
      <c r="E28" s="616">
        <f>'UTILITY REPORT 1'!I29</f>
        <v>280.63</v>
      </c>
      <c r="F28" s="616">
        <f>'UTILITY REPORT 1'!E29</f>
        <v>2323.7399999999998</v>
      </c>
      <c r="G28" s="615">
        <f>'UTILITY REPORT 1'!F29</f>
        <v>6109</v>
      </c>
      <c r="H28" s="616">
        <f>IF('Kit report'!F30&lt;0,"0",'Kit report'!F30)</f>
        <v>480</v>
      </c>
      <c r="I28" s="616">
        <f>IF('Kit report'!X30&lt;0,"0",'Kit report'!X30)</f>
        <v>959.99999999985448</v>
      </c>
      <c r="J28" s="616">
        <f>IF('Utility summery'!H32&lt;0,"0",'Utility summery'!H32)</f>
        <v>30</v>
      </c>
      <c r="K28" s="615">
        <f>IF('UTILITY REPORT 1'!H29&lt;0,"0",'UTILITY REPORT 1'!H29)</f>
        <v>117</v>
      </c>
      <c r="L28" s="616">
        <f>IF('Kit report'!Q30&lt;0,"0",'Kit report'!Q30)</f>
        <v>4</v>
      </c>
      <c r="M28" s="615">
        <f>IF('Kit report'!L30&lt;0,"0",'Kit report'!L30)</f>
        <v>16</v>
      </c>
      <c r="N28" s="615">
        <f>IF('Kit report'!AC30&lt;0,"0",'Kit report'!AC30)</f>
        <v>8</v>
      </c>
      <c r="O28" s="616" t="e">
        <f>K28*E28+H28*I28+#REF!*#REF!+J28*L28</f>
        <v>#REF!</v>
      </c>
      <c r="P28" s="616">
        <f>'Water-Meter'!E32</f>
        <v>114</v>
      </c>
      <c r="Q28" s="12">
        <f>IF('Water-Meter'!U32&lt;0,"0",'Water-Meter'!U32)</f>
        <v>29</v>
      </c>
      <c r="R28" s="12">
        <f>IF('Water-Meter'!X32&lt;0,"0",'Water-Meter'!X32)</f>
        <v>50</v>
      </c>
      <c r="S28" s="12">
        <f>IF('Water-Meter'!AA32&lt;0,"0",'Water-Meter'!AA32)</f>
        <v>55</v>
      </c>
      <c r="T28" s="12">
        <f>IF('Water-Meter'!AD32&lt;0,"0",'Water-Meter'!AD32)</f>
        <v>6</v>
      </c>
      <c r="U28" s="12">
        <f>IF('Water-Meter'!AG32&lt;0,"0",'Water-Meter'!AG32)</f>
        <v>14</v>
      </c>
      <c r="V28" s="12">
        <f>IF('Water-Meter'!AJ32&lt;0,"0",'Water-Meter'!AJ32)</f>
        <v>19</v>
      </c>
      <c r="W28">
        <f>'Water-Meter'!AN32</f>
        <v>173</v>
      </c>
    </row>
    <row r="29" spans="1:23">
      <c r="A29" s="612" t="s">
        <v>327</v>
      </c>
      <c r="B29" s="613">
        <f t="shared" si="0"/>
        <v>28</v>
      </c>
      <c r="C29" s="613">
        <v>10</v>
      </c>
      <c r="D29" s="614">
        <v>2019</v>
      </c>
      <c r="E29" s="616">
        <f>'UTILITY REPORT 1'!I30</f>
        <v>676.29</v>
      </c>
      <c r="F29" s="616">
        <f>'UTILITY REPORT 1'!E30</f>
        <v>2031.83</v>
      </c>
      <c r="G29" s="615">
        <f>'UTILITY REPORT 1'!F30</f>
        <v>5125</v>
      </c>
      <c r="H29" s="616">
        <f>IF('Kit report'!F31&lt;0,"0",'Kit report'!F31)</f>
        <v>527.99999999995634</v>
      </c>
      <c r="I29" s="616">
        <f>IF('Kit report'!X31&lt;0,"0",'Kit report'!X31)</f>
        <v>780.00000000010914</v>
      </c>
      <c r="J29" s="616">
        <f>IF('Utility summery'!H33&lt;0,"0",'Utility summery'!H33)</f>
        <v>44</v>
      </c>
      <c r="K29" s="615">
        <f>IF('UTILITY REPORT 1'!H30&lt;0,"0",'UTILITY REPORT 1'!H30)</f>
        <v>118</v>
      </c>
      <c r="L29" s="616">
        <f>IF('Kit report'!Q31&lt;0,"0",'Kit report'!Q31)</f>
        <v>3</v>
      </c>
      <c r="M29" s="615">
        <f>IF('Kit report'!L31&lt;0,"0",'Kit report'!L31)</f>
        <v>13</v>
      </c>
      <c r="N29" s="615">
        <f>IF('Kit report'!AC31&lt;0,"0",'Kit report'!AC31)</f>
        <v>10</v>
      </c>
      <c r="O29" s="616" t="e">
        <f>K29*E29+H29*I29+#REF!*#REF!+J29*L29</f>
        <v>#REF!</v>
      </c>
      <c r="P29" s="616">
        <f>'Water-Meter'!E33</f>
        <v>111</v>
      </c>
      <c r="Q29" s="12">
        <f>IF('Water-Meter'!U33&lt;0,"0",'Water-Meter'!U33)</f>
        <v>31</v>
      </c>
      <c r="R29" s="12">
        <f>IF('Water-Meter'!X33&lt;0,"0",'Water-Meter'!X33)</f>
        <v>50</v>
      </c>
      <c r="S29" s="12">
        <f>IF('Water-Meter'!AA33&lt;0,"0",'Water-Meter'!AA33)</f>
        <v>55</v>
      </c>
      <c r="T29" s="12">
        <f>IF('Water-Meter'!AD33&lt;0,"0",'Water-Meter'!AD33)</f>
        <v>6</v>
      </c>
      <c r="U29" s="12">
        <f>IF('Water-Meter'!AG33&lt;0,"0",'Water-Meter'!AG33)</f>
        <v>14</v>
      </c>
      <c r="V29" s="12">
        <f>IF('Water-Meter'!AJ33&lt;0,"0",'Water-Meter'!AJ33)</f>
        <v>19</v>
      </c>
      <c r="W29">
        <f>'Water-Meter'!AN33</f>
        <v>175</v>
      </c>
    </row>
    <row r="30" spans="1:23">
      <c r="A30" s="612" t="s">
        <v>327</v>
      </c>
      <c r="B30" s="613">
        <f t="shared" si="0"/>
        <v>29</v>
      </c>
      <c r="C30" s="613">
        <v>10</v>
      </c>
      <c r="D30" s="614">
        <v>2019</v>
      </c>
      <c r="E30" s="616">
        <f>'UTILITY REPORT 1'!I31</f>
        <v>120.7</v>
      </c>
      <c r="F30" s="616">
        <f>'UTILITY REPORT 1'!E31</f>
        <v>2131.37</v>
      </c>
      <c r="G30" s="615">
        <f>'UTILITY REPORT 1'!F31</f>
        <v>3443</v>
      </c>
      <c r="H30" s="616">
        <f>IF('Kit report'!F32&lt;0,"0",'Kit report'!F32)</f>
        <v>467.99999999995634</v>
      </c>
      <c r="I30" s="616">
        <f>IF('Kit report'!X32&lt;0,"0",'Kit report'!X32)</f>
        <v>819.99999999989086</v>
      </c>
      <c r="J30" s="616">
        <f>IF('Utility summery'!H34&lt;0,"0",'Utility summery'!H34)</f>
        <v>38</v>
      </c>
      <c r="K30" s="615">
        <f>IF('UTILITY REPORT 1'!H31&lt;0,"0",'UTILITY REPORT 1'!H31)</f>
        <v>116</v>
      </c>
      <c r="L30" s="616">
        <f>IF('Kit report'!Q32&lt;0,"0",'Kit report'!Q32)</f>
        <v>3</v>
      </c>
      <c r="M30" s="615">
        <f>IF('Kit report'!L32&lt;0,"0",'Kit report'!L32)</f>
        <v>15</v>
      </c>
      <c r="N30" s="615">
        <f>IF('Kit report'!AC32&lt;0,"0",'Kit report'!AC32)</f>
        <v>11</v>
      </c>
      <c r="O30" s="616" t="e">
        <f>K30*E30+H30*I30+#REF!*#REF!+J30*L30</f>
        <v>#REF!</v>
      </c>
      <c r="P30" s="616">
        <f>'Water-Meter'!E34</f>
        <v>100</v>
      </c>
      <c r="Q30" s="12">
        <f>IF('Water-Meter'!U34&lt;0,"0",'Water-Meter'!U34)</f>
        <v>29</v>
      </c>
      <c r="R30" s="12">
        <f>IF('Water-Meter'!X34&lt;0,"0",'Water-Meter'!X34)</f>
        <v>52</v>
      </c>
      <c r="S30" s="12">
        <f>IF('Water-Meter'!AA34&lt;0,"0",'Water-Meter'!AA34)</f>
        <v>56</v>
      </c>
      <c r="T30" s="12">
        <f>IF('Water-Meter'!AD34&lt;0,"0",'Water-Meter'!AD34)</f>
        <v>8</v>
      </c>
      <c r="U30" s="12">
        <f>IF('Water-Meter'!AG34&lt;0,"0",'Water-Meter'!AG34)</f>
        <v>14</v>
      </c>
      <c r="V30" s="12">
        <f>IF('Water-Meter'!AJ34&lt;0,"0",'Water-Meter'!AJ34)</f>
        <v>20</v>
      </c>
      <c r="W30">
        <f>'Water-Meter'!AN34</f>
        <v>179</v>
      </c>
    </row>
    <row r="31" spans="1:23">
      <c r="A31" s="612" t="s">
        <v>327</v>
      </c>
      <c r="B31" s="613">
        <f t="shared" si="0"/>
        <v>30</v>
      </c>
      <c r="C31" s="613">
        <v>10</v>
      </c>
      <c r="D31" s="614">
        <v>2019</v>
      </c>
      <c r="E31" s="616">
        <f>'UTILITY REPORT 1'!I32</f>
        <v>25.52</v>
      </c>
      <c r="F31" s="616">
        <f>'UTILITY REPORT 1'!E32</f>
        <v>2033.74</v>
      </c>
      <c r="G31" s="615">
        <f>'UTILITY REPORT 1'!F32</f>
        <v>5192</v>
      </c>
      <c r="H31" s="616">
        <f>IF('Kit report'!F33&lt;0,"0",'Kit report'!F33)</f>
        <v>960</v>
      </c>
      <c r="I31" s="616">
        <f>IF('Kit report'!X33&lt;0,"0",'Kit report'!X33)</f>
        <v>1880.0000000001091</v>
      </c>
      <c r="J31" s="616">
        <f>IF('Utility summery'!H35&lt;0,"0",'Utility summery'!H35)</f>
        <v>31</v>
      </c>
      <c r="K31" s="615">
        <f>IF('UTILITY REPORT 1'!H32&lt;0,"0",'UTILITY REPORT 1'!H32)</f>
        <v>122</v>
      </c>
      <c r="L31" s="616">
        <f>IF('Kit report'!Q33&lt;0,"0",'Kit report'!Q33)</f>
        <v>3</v>
      </c>
      <c r="M31" s="615">
        <f>IF('Kit report'!L33&lt;0,"0",'Kit report'!L33)</f>
        <v>16</v>
      </c>
      <c r="N31" s="615">
        <f>IF('Kit report'!AC33&lt;0,"0",'Kit report'!AC33)</f>
        <v>8</v>
      </c>
      <c r="O31" s="616" t="e">
        <f>K31*E31+H31*I31+#REF!*#REF!+J31*L31</f>
        <v>#REF!</v>
      </c>
      <c r="P31" s="616">
        <f>'Water-Meter'!E35</f>
        <v>99</v>
      </c>
      <c r="Q31" s="12">
        <f>IF('Water-Meter'!U35&lt;0,"0",'Water-Meter'!U35)</f>
        <v>29</v>
      </c>
      <c r="R31" s="12">
        <f>IF('Water-Meter'!X35&lt;0,"0",'Water-Meter'!X35)</f>
        <v>51</v>
      </c>
      <c r="S31" s="12">
        <f>IF('Water-Meter'!AA35&lt;0,"0",'Water-Meter'!AA35)</f>
        <v>56</v>
      </c>
      <c r="T31" s="12">
        <f>IF('Water-Meter'!AD35&lt;0,"0",'Water-Meter'!AD35)</f>
        <v>8</v>
      </c>
      <c r="U31" s="12">
        <f>IF('Water-Meter'!AG35&lt;0,"0",'Water-Meter'!AG35)</f>
        <v>14</v>
      </c>
      <c r="V31" s="12">
        <f>IF('Water-Meter'!AJ35&lt;0,"0",'Water-Meter'!AJ35)</f>
        <v>19</v>
      </c>
      <c r="W31">
        <f>'Water-Meter'!AN35</f>
        <v>177</v>
      </c>
    </row>
    <row r="32" spans="1:23">
      <c r="A32" s="612" t="s">
        <v>327</v>
      </c>
      <c r="B32" s="613">
        <f t="shared" si="0"/>
        <v>31</v>
      </c>
      <c r="C32" s="613">
        <v>10</v>
      </c>
      <c r="D32" s="614">
        <v>2019</v>
      </c>
      <c r="E32" s="616">
        <f>'UTILITY REPORT 1'!I33</f>
        <v>533.66</v>
      </c>
      <c r="F32" s="616">
        <f>'UTILITY REPORT 1'!E33</f>
        <v>2126.42</v>
      </c>
      <c r="G32" s="615">
        <f>'UTILITY REPORT 1'!F33</f>
        <v>5234</v>
      </c>
      <c r="H32" s="616">
        <f>IF('Kit report'!F34&lt;0,"0",'Kit report'!F34)</f>
        <v>516.00000000002183</v>
      </c>
      <c r="I32" s="616">
        <f>IF('Kit report'!X34&lt;0,"0",'Kit report'!X34)</f>
        <v>800</v>
      </c>
      <c r="J32" s="616">
        <f>IF('Utility summery'!H36&lt;0,"0",'Utility summery'!H36)</f>
        <v>30</v>
      </c>
      <c r="K32" s="615">
        <f>IF('UTILITY REPORT 1'!H33&lt;0,"0",'UTILITY REPORT 1'!H33)</f>
        <v>45</v>
      </c>
      <c r="L32" s="616">
        <f>IF('Kit report'!Q34&lt;0,"0",'Kit report'!Q34)</f>
        <v>3</v>
      </c>
      <c r="M32" s="615">
        <f>IF('Kit report'!L34&lt;0,"0",'Kit report'!L34)</f>
        <v>15</v>
      </c>
      <c r="N32" s="615">
        <f>IF('Kit report'!AC34&lt;0,"0",'Kit report'!AC34)</f>
        <v>10</v>
      </c>
      <c r="P32" s="616">
        <f>'Water-Meter'!E36</f>
        <v>111</v>
      </c>
      <c r="Q32" s="12">
        <f>IF('Water-Meter'!U36&lt;0,"0",'Water-Meter'!U36)</f>
        <v>30</v>
      </c>
      <c r="R32" s="12">
        <f>IF('Water-Meter'!X36&lt;0,"0",'Water-Meter'!X36)</f>
        <v>50</v>
      </c>
      <c r="S32" s="12">
        <f>IF('Water-Meter'!AA36&lt;0,"0",'Water-Meter'!AA36)</f>
        <v>45</v>
      </c>
      <c r="T32" s="12">
        <f>IF('Water-Meter'!AD36&lt;0,"0",'Water-Meter'!AD36)</f>
        <v>6</v>
      </c>
      <c r="U32" s="12">
        <f>IF('Water-Meter'!AG36&lt;0,"0",'Water-Meter'!AG36)</f>
        <v>15</v>
      </c>
      <c r="V32" s="12">
        <f>IF('Water-Meter'!AJ36&lt;0,"0",'Water-Meter'!AJ36)</f>
        <v>20</v>
      </c>
      <c r="W32">
        <f>'Water-Meter'!AN36</f>
        <v>166</v>
      </c>
    </row>
    <row r="33" spans="5:12">
      <c r="E33" s="616"/>
      <c r="F33" s="616"/>
      <c r="H33" s="616"/>
      <c r="I33" s="616"/>
      <c r="J33" s="616"/>
      <c r="L33" s="616">
        <f>IF('Kit report'!Q35&lt;0,"0",'Kit report'!Q35)</f>
        <v>91</v>
      </c>
    </row>
    <row r="34" spans="5:12">
      <c r="E34" s="616"/>
      <c r="F34" s="616"/>
      <c r="H34" s="616"/>
      <c r="I34" s="616"/>
      <c r="J34" s="616"/>
      <c r="L34" s="616"/>
    </row>
    <row r="35" spans="5:12">
      <c r="E35" s="616"/>
      <c r="F35" s="616"/>
      <c r="H35" s="616"/>
      <c r="I35" s="616"/>
      <c r="J35" s="616"/>
      <c r="L35" s="616"/>
    </row>
    <row r="36" spans="5:12">
      <c r="E36" s="616"/>
      <c r="F36" s="616"/>
      <c r="H36" s="616"/>
      <c r="I36" s="616"/>
      <c r="J36" s="616"/>
      <c r="L36" s="616"/>
    </row>
    <row r="37" spans="5:12">
      <c r="E37" s="616"/>
      <c r="F37" s="616"/>
      <c r="H37" s="616"/>
      <c r="I37" s="616"/>
      <c r="J37" s="616"/>
      <c r="L37" s="616"/>
    </row>
    <row r="38" spans="5:12">
      <c r="E38" s="616"/>
      <c r="F38" s="616"/>
      <c r="H38" s="616"/>
      <c r="I38" s="616"/>
      <c r="J38" s="616"/>
      <c r="L38" s="616"/>
    </row>
    <row r="39" spans="5:12">
      <c r="E39" s="616"/>
      <c r="F39" s="616"/>
      <c r="H39" s="616"/>
      <c r="I39" s="616"/>
      <c r="J39" s="616"/>
      <c r="L39" s="6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selection activeCell="G3" sqref="G3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02" t="s">
        <v>313</v>
      </c>
      <c r="B1" s="702"/>
      <c r="C1" s="702"/>
      <c r="D1" s="702"/>
      <c r="E1" s="702"/>
      <c r="F1" s="702"/>
      <c r="G1" s="702"/>
      <c r="H1" s="702"/>
    </row>
    <row r="2" spans="1:9" ht="48" customHeight="1" thickBot="1">
      <c r="A2" s="333" t="s">
        <v>0</v>
      </c>
      <c r="B2" s="142" t="s">
        <v>1</v>
      </c>
      <c r="C2" s="601" t="s">
        <v>311</v>
      </c>
      <c r="D2" s="396" t="s">
        <v>312</v>
      </c>
      <c r="E2" s="599" t="s">
        <v>310</v>
      </c>
      <c r="F2" s="396" t="s">
        <v>307</v>
      </c>
      <c r="G2" s="396" t="s">
        <v>308</v>
      </c>
      <c r="H2" s="601" t="s">
        <v>309</v>
      </c>
      <c r="I2" s="396" t="s">
        <v>314</v>
      </c>
    </row>
    <row r="3" spans="1:9" ht="13.5">
      <c r="A3" s="600">
        <v>43739</v>
      </c>
      <c r="B3" s="602">
        <f>Gen!B11</f>
        <v>0.623</v>
      </c>
      <c r="C3" s="603">
        <f>'Summery Report'!E5</f>
        <v>48</v>
      </c>
      <c r="D3" s="604">
        <v>1</v>
      </c>
      <c r="E3" s="603">
        <f>Gen!S11</f>
        <v>2179.4799999999996</v>
      </c>
      <c r="F3" s="603">
        <f>Gen!T11</f>
        <v>5669</v>
      </c>
      <c r="G3" s="603">
        <f>'Water-Meter'!E6</f>
        <v>130</v>
      </c>
      <c r="H3" s="603">
        <f>'Utility report '!AC6</f>
        <v>26</v>
      </c>
      <c r="I3" s="603">
        <f>Gen!AJ11</f>
        <v>203.27999999999997</v>
      </c>
    </row>
    <row r="4" spans="1:9" ht="13.5">
      <c r="A4" s="296">
        <v>43740</v>
      </c>
      <c r="B4" s="602">
        <f>Gen!B12</f>
        <v>0.77900000000000003</v>
      </c>
      <c r="C4" s="603">
        <f>'Summery Report'!E6</f>
        <v>62</v>
      </c>
      <c r="D4" s="604">
        <v>1</v>
      </c>
      <c r="E4" s="603">
        <f>Gen!S12</f>
        <v>2472.85</v>
      </c>
      <c r="F4" s="603">
        <f>Gen!T12</f>
        <v>6159</v>
      </c>
      <c r="G4" s="603">
        <f>'Water-Meter'!E7</f>
        <v>128</v>
      </c>
      <c r="H4" s="603">
        <f>'Utility report '!AC7</f>
        <v>177</v>
      </c>
      <c r="I4" s="603">
        <f>Gen!AJ12</f>
        <v>31.450000000000003</v>
      </c>
    </row>
    <row r="5" spans="1:9" ht="13.5">
      <c r="A5" s="296">
        <v>43741</v>
      </c>
      <c r="B5" s="602">
        <f>Gen!B13</f>
        <v>0.53200000000000003</v>
      </c>
      <c r="C5" s="603">
        <f>'Summery Report'!E7</f>
        <v>41</v>
      </c>
      <c r="D5" s="604">
        <v>1</v>
      </c>
      <c r="E5" s="603">
        <f>Gen!S13</f>
        <v>2554.3900000000003</v>
      </c>
      <c r="F5" s="603">
        <f>Gen!T13</f>
        <v>6580</v>
      </c>
      <c r="G5" s="603">
        <f>'Water-Meter'!E8</f>
        <v>120</v>
      </c>
      <c r="H5" s="603">
        <f>'Utility report '!AC8</f>
        <v>128</v>
      </c>
      <c r="I5" s="603">
        <f>Gen!AJ13</f>
        <v>106.26</v>
      </c>
    </row>
    <row r="6" spans="1:9" ht="13.5">
      <c r="A6" s="296">
        <v>43742</v>
      </c>
      <c r="B6" s="602">
        <f>Gen!B14</f>
        <v>0.61</v>
      </c>
      <c r="C6" s="603">
        <f>'Summery Report'!E8</f>
        <v>47</v>
      </c>
      <c r="D6" s="604">
        <v>1</v>
      </c>
      <c r="E6" s="603">
        <f>Gen!S14</f>
        <v>2441.42</v>
      </c>
      <c r="F6" s="603">
        <f>Gen!T14</f>
        <v>6223</v>
      </c>
      <c r="G6" s="603">
        <f>'Water-Meter'!E9</f>
        <v>120</v>
      </c>
      <c r="H6" s="603">
        <f>'Utility report '!AC9</f>
        <v>115</v>
      </c>
      <c r="I6" s="603">
        <f>Gen!AJ14</f>
        <v>292.31</v>
      </c>
    </row>
    <row r="7" spans="1:9" ht="13.5">
      <c r="A7" s="296">
        <v>43743</v>
      </c>
      <c r="B7" s="602">
        <f>Gen!B15</f>
        <v>0.68799999999999994</v>
      </c>
      <c r="C7" s="603">
        <f>'Summery Report'!E9</f>
        <v>53</v>
      </c>
      <c r="D7" s="604">
        <v>1</v>
      </c>
      <c r="E7" s="603">
        <f>Gen!S15</f>
        <v>2338.3599999999997</v>
      </c>
      <c r="F7" s="603">
        <f>Gen!T15</f>
        <v>5984</v>
      </c>
      <c r="G7" s="603">
        <f>'Water-Meter'!E10</f>
        <v>114</v>
      </c>
      <c r="H7" s="603">
        <f>'Utility report '!AC10</f>
        <v>86</v>
      </c>
      <c r="I7" s="603">
        <f>Gen!AJ15</f>
        <v>79.16</v>
      </c>
    </row>
    <row r="8" spans="1:9" ht="13.5">
      <c r="A8" s="296">
        <v>43744</v>
      </c>
      <c r="B8" s="602">
        <f>Gen!B16</f>
        <v>0.53200000000000003</v>
      </c>
      <c r="C8" s="603">
        <f>'Summery Report'!E10</f>
        <v>41</v>
      </c>
      <c r="D8" s="604">
        <v>1</v>
      </c>
      <c r="E8" s="603">
        <f>Gen!S16</f>
        <v>2478.9</v>
      </c>
      <c r="F8" s="603">
        <f>Gen!T16</f>
        <v>6103</v>
      </c>
      <c r="G8" s="603">
        <f>'Water-Meter'!E11</f>
        <v>126</v>
      </c>
      <c r="H8" s="603">
        <f>'Utility report '!AC11</f>
        <v>114</v>
      </c>
      <c r="I8" s="603">
        <f>Gen!AJ16</f>
        <v>115.65</v>
      </c>
    </row>
    <row r="9" spans="1:9" ht="13.5">
      <c r="A9" s="296">
        <v>43745</v>
      </c>
      <c r="B9" s="602">
        <f>Gen!B17</f>
        <v>0.753</v>
      </c>
      <c r="C9" s="603">
        <f>'Summery Report'!E11</f>
        <v>58</v>
      </c>
      <c r="D9" s="604">
        <v>1</v>
      </c>
      <c r="E9" s="603">
        <f>Gen!S17</f>
        <v>2276.44</v>
      </c>
      <c r="F9" s="603">
        <f>Gen!T17</f>
        <v>5576</v>
      </c>
      <c r="G9" s="603">
        <f>'Water-Meter'!E12</f>
        <v>116</v>
      </c>
      <c r="H9" s="603">
        <f>'Utility report '!AC12</f>
        <v>107</v>
      </c>
      <c r="I9" s="603">
        <f>Gen!AJ17</f>
        <v>74.81</v>
      </c>
    </row>
    <row r="10" spans="1:9" ht="13.5">
      <c r="A10" s="296">
        <v>43746</v>
      </c>
      <c r="B10" s="602">
        <f>Gen!B18</f>
        <v>0.156</v>
      </c>
      <c r="C10" s="603">
        <f>'Summery Report'!E12</f>
        <v>12</v>
      </c>
      <c r="D10" s="604">
        <v>1</v>
      </c>
      <c r="E10" s="603">
        <f>Gen!S18</f>
        <v>2242.4</v>
      </c>
      <c r="F10" s="603">
        <f>Gen!T18</f>
        <v>5532</v>
      </c>
      <c r="G10" s="603">
        <f>'Water-Meter'!E13</f>
        <v>120</v>
      </c>
      <c r="H10" s="603">
        <f>'Utility report '!AC13</f>
        <v>52</v>
      </c>
      <c r="I10" s="603">
        <f>Gen!AJ18</f>
        <v>94.01</v>
      </c>
    </row>
    <row r="11" spans="1:9" ht="13.5">
      <c r="A11" s="296">
        <v>43747</v>
      </c>
      <c r="B11" s="602">
        <f>Gen!B19</f>
        <v>0.442</v>
      </c>
      <c r="C11" s="603">
        <f>'Summery Report'!E13</f>
        <v>34</v>
      </c>
      <c r="D11" s="604">
        <v>1</v>
      </c>
      <c r="E11" s="603">
        <f>Gen!S19</f>
        <v>2430.2700000000004</v>
      </c>
      <c r="F11" s="603">
        <f>Gen!T19</f>
        <v>6233</v>
      </c>
      <c r="G11" s="603">
        <f>'Water-Meter'!E14</f>
        <v>107</v>
      </c>
      <c r="H11" s="603">
        <f>'Utility report '!AC14</f>
        <v>33</v>
      </c>
      <c r="I11" s="603">
        <f>Gen!AJ19</f>
        <v>284.83</v>
      </c>
    </row>
    <row r="12" spans="1:9" ht="13.5">
      <c r="A12" s="296">
        <v>43748</v>
      </c>
      <c r="B12" s="602">
        <f>Gen!B20</f>
        <v>0.32500000000000001</v>
      </c>
      <c r="C12" s="603">
        <f>'Summery Report'!E14</f>
        <v>25</v>
      </c>
      <c r="D12" s="604">
        <v>1</v>
      </c>
      <c r="E12" s="603">
        <f>Gen!S20</f>
        <v>2463.77</v>
      </c>
      <c r="F12" s="603">
        <f>Gen!T20</f>
        <v>6063</v>
      </c>
      <c r="G12" s="603">
        <f>'Water-Meter'!E15</f>
        <v>123</v>
      </c>
      <c r="H12" s="603">
        <f>'Utility report '!AC15</f>
        <v>82</v>
      </c>
      <c r="I12" s="603">
        <f>Gen!AJ20</f>
        <v>106.04</v>
      </c>
    </row>
    <row r="13" spans="1:9" ht="13.5">
      <c r="A13" s="296">
        <v>43749</v>
      </c>
      <c r="B13" s="602">
        <f>Gen!B21</f>
        <v>0.45500000000000002</v>
      </c>
      <c r="C13" s="603">
        <f>'Summery Report'!E15</f>
        <v>35</v>
      </c>
      <c r="D13" s="604">
        <v>1</v>
      </c>
      <c r="E13" s="603">
        <f>Gen!S21</f>
        <v>2310.19</v>
      </c>
      <c r="F13" s="603">
        <f>Gen!T21</f>
        <v>5967</v>
      </c>
      <c r="G13" s="603">
        <f>'Water-Meter'!E16</f>
        <v>112</v>
      </c>
      <c r="H13" s="603">
        <f>'Utility report '!AC16</f>
        <v>115</v>
      </c>
      <c r="I13" s="603">
        <f>Gen!AJ21</f>
        <v>263.09000000000003</v>
      </c>
    </row>
    <row r="14" spans="1:9" ht="13.5">
      <c r="A14" s="296">
        <v>43750</v>
      </c>
      <c r="B14" s="602">
        <f>Gen!B22</f>
        <v>0.41599999999999998</v>
      </c>
      <c r="C14" s="603">
        <f>'Summery Report'!E16</f>
        <v>32</v>
      </c>
      <c r="D14" s="604">
        <v>1</v>
      </c>
      <c r="E14" s="603">
        <f>Gen!S22</f>
        <v>2429.17</v>
      </c>
      <c r="F14" s="603">
        <f>Gen!T22</f>
        <v>5863</v>
      </c>
      <c r="G14" s="603">
        <f>'Water-Meter'!E17</f>
        <v>128</v>
      </c>
      <c r="H14" s="603">
        <f>'Utility report '!AC17</f>
        <v>21</v>
      </c>
      <c r="I14" s="603">
        <f>Gen!AJ22</f>
        <v>309.36</v>
      </c>
    </row>
    <row r="15" spans="1:9" ht="13.5">
      <c r="A15" s="296">
        <v>43751</v>
      </c>
      <c r="B15" s="602">
        <f>Gen!B23</f>
        <v>0.39</v>
      </c>
      <c r="C15" s="603">
        <f>'Summery Report'!E17</f>
        <v>30</v>
      </c>
      <c r="D15" s="604">
        <v>1</v>
      </c>
      <c r="E15" s="603">
        <f>Gen!S23</f>
        <v>2249.5299999999997</v>
      </c>
      <c r="F15" s="603">
        <f>Gen!T23</f>
        <v>5720</v>
      </c>
      <c r="G15" s="603">
        <f>'Water-Meter'!E18</f>
        <v>114</v>
      </c>
      <c r="H15" s="603">
        <f>'Utility report '!AC18</f>
        <v>102</v>
      </c>
      <c r="I15" s="603">
        <f>Gen!AJ23</f>
        <v>63.78</v>
      </c>
    </row>
    <row r="16" spans="1:9" ht="13.5">
      <c r="A16" s="296">
        <v>43752</v>
      </c>
      <c r="B16" s="602">
        <f>Gen!B24</f>
        <v>0.63600000000000001</v>
      </c>
      <c r="C16" s="603">
        <f>'Summery Report'!E18</f>
        <v>49</v>
      </c>
      <c r="D16" s="604">
        <v>1</v>
      </c>
      <c r="E16" s="603">
        <f>Gen!S24</f>
        <v>2424.4700000000003</v>
      </c>
      <c r="F16" s="603">
        <f>Gen!T24</f>
        <v>6195</v>
      </c>
      <c r="G16" s="603">
        <f>'Water-Meter'!E19</f>
        <v>119</v>
      </c>
      <c r="H16" s="603">
        <f>'Utility report '!AC19</f>
        <v>13</v>
      </c>
      <c r="I16" s="603">
        <f>Gen!AJ24</f>
        <v>246.8</v>
      </c>
    </row>
    <row r="17" spans="1:9" ht="13.5">
      <c r="A17" s="296">
        <v>43753</v>
      </c>
      <c r="B17" s="602">
        <f>Gen!B25</f>
        <v>0.84399999999999997</v>
      </c>
      <c r="C17" s="603">
        <f>'Summery Report'!E19</f>
        <v>66</v>
      </c>
      <c r="D17" s="604">
        <v>1</v>
      </c>
      <c r="E17" s="603">
        <f>Gen!S25</f>
        <v>2672.31</v>
      </c>
      <c r="F17" s="603">
        <f>Gen!T25</f>
        <v>6450</v>
      </c>
      <c r="G17" s="603">
        <f>'Water-Meter'!E20</f>
        <v>128</v>
      </c>
      <c r="H17" s="603">
        <f>'Utility report '!AC20</f>
        <v>48</v>
      </c>
      <c r="I17" s="603">
        <f>Gen!AJ25</f>
        <v>80.56</v>
      </c>
    </row>
    <row r="18" spans="1:9" ht="13.5">
      <c r="A18" s="296">
        <v>43754</v>
      </c>
      <c r="B18" s="602">
        <f>Gen!B26</f>
        <v>0.81799999999999995</v>
      </c>
      <c r="C18" s="603">
        <f>'Summery Report'!E20</f>
        <v>63</v>
      </c>
      <c r="D18" s="604">
        <v>1</v>
      </c>
      <c r="E18" s="603">
        <f>Gen!S26</f>
        <v>2741.7</v>
      </c>
      <c r="F18" s="603">
        <f>Gen!T26</f>
        <v>6915</v>
      </c>
      <c r="G18" s="603">
        <f>'Water-Meter'!E21</f>
        <v>127</v>
      </c>
      <c r="H18" s="603">
        <f>'Utility report '!AC21</f>
        <v>119</v>
      </c>
      <c r="I18" s="603">
        <f>Gen!AJ26</f>
        <v>67.319999999999993</v>
      </c>
    </row>
    <row r="19" spans="1:9" ht="13.5">
      <c r="A19" s="296">
        <v>43755</v>
      </c>
      <c r="B19" s="602">
        <f>Gen!B27</f>
        <v>0.20799999999999999</v>
      </c>
      <c r="C19" s="603">
        <f>'Summery Report'!E21</f>
        <v>16</v>
      </c>
      <c r="D19" s="604">
        <v>1</v>
      </c>
      <c r="E19" s="603">
        <f>Gen!S27</f>
        <v>2321.11</v>
      </c>
      <c r="F19" s="603">
        <f>Gen!T27</f>
        <v>5962</v>
      </c>
      <c r="G19" s="603">
        <f>'Water-Meter'!E22</f>
        <v>122</v>
      </c>
      <c r="H19" s="603">
        <f>'Utility report '!AC22</f>
        <v>70</v>
      </c>
      <c r="I19" s="603">
        <f>Gen!AJ27</f>
        <v>597.9</v>
      </c>
    </row>
    <row r="20" spans="1:9" ht="13.5">
      <c r="A20" s="296">
        <v>43756</v>
      </c>
      <c r="B20" s="602">
        <f>Gen!B28</f>
        <v>0.221</v>
      </c>
      <c r="C20" s="603">
        <f>'Summery Report'!E22</f>
        <v>17</v>
      </c>
      <c r="D20" s="604">
        <v>1</v>
      </c>
      <c r="E20" s="603">
        <f>Gen!S28</f>
        <v>2204.84</v>
      </c>
      <c r="F20" s="603">
        <f>Gen!T28</f>
        <v>5257</v>
      </c>
      <c r="G20" s="603">
        <f>'Water-Meter'!E23</f>
        <v>105</v>
      </c>
      <c r="H20" s="603">
        <f>'Utility report '!AC23</f>
        <v>109</v>
      </c>
      <c r="I20" s="603">
        <f>Gen!AJ28</f>
        <v>227.73000000000002</v>
      </c>
    </row>
    <row r="21" spans="1:9" ht="13.5">
      <c r="A21" s="296">
        <v>43757</v>
      </c>
      <c r="B21" s="602">
        <f>Gen!B29</f>
        <v>0.11700000000000001</v>
      </c>
      <c r="C21" s="603">
        <f>'Summery Report'!E23</f>
        <v>9</v>
      </c>
      <c r="D21" s="604">
        <v>1</v>
      </c>
      <c r="E21" s="603">
        <f>Gen!S29</f>
        <v>1845.1800000000003</v>
      </c>
      <c r="F21" s="603">
        <f>Gen!T29</f>
        <v>4691</v>
      </c>
      <c r="G21" s="603">
        <f>'Water-Meter'!E24</f>
        <v>104</v>
      </c>
      <c r="H21" s="603">
        <f>'Utility report '!AC24</f>
        <v>109</v>
      </c>
      <c r="I21" s="603">
        <f>Gen!AJ29</f>
        <v>88.289999999999992</v>
      </c>
    </row>
    <row r="22" spans="1:9" ht="13.5">
      <c r="A22" s="296">
        <v>43758</v>
      </c>
      <c r="B22" s="602">
        <f>Gen!B30</f>
        <v>0.57099999999999995</v>
      </c>
      <c r="C22" s="603">
        <f>'Summery Report'!E24</f>
        <v>44</v>
      </c>
      <c r="D22" s="604">
        <v>1</v>
      </c>
      <c r="E22" s="603">
        <f>Gen!S30</f>
        <v>2797.0099999999998</v>
      </c>
      <c r="F22" s="603">
        <f>Gen!T30</f>
        <v>5712</v>
      </c>
      <c r="G22" s="603">
        <f>'Water-Meter'!E25</f>
        <v>100</v>
      </c>
      <c r="H22" s="603">
        <f>'Utility report '!AC25</f>
        <v>109</v>
      </c>
      <c r="I22" s="603">
        <f>Gen!AJ30</f>
        <v>183.92000000000002</v>
      </c>
    </row>
    <row r="23" spans="1:9" ht="13.5">
      <c r="A23" s="296">
        <v>43759</v>
      </c>
      <c r="B23" s="602">
        <f>Gen!B31</f>
        <v>0.55800000000000005</v>
      </c>
      <c r="C23" s="603">
        <f>'Summery Report'!E25</f>
        <v>43</v>
      </c>
      <c r="D23" s="604">
        <v>1</v>
      </c>
      <c r="E23" s="603">
        <f>Gen!S31</f>
        <v>2262.16</v>
      </c>
      <c r="F23" s="603">
        <f>Gen!T31</f>
        <v>5941</v>
      </c>
      <c r="G23" s="603">
        <f>'Water-Meter'!E26</f>
        <v>116</v>
      </c>
      <c r="H23" s="603">
        <f>'Utility report '!AC26</f>
        <v>113</v>
      </c>
      <c r="I23" s="603">
        <f>Gen!AJ31</f>
        <v>172.05</v>
      </c>
    </row>
    <row r="24" spans="1:9" ht="13.5">
      <c r="A24" s="296">
        <v>43760</v>
      </c>
      <c r="B24" s="602">
        <f>Gen!B32</f>
        <v>0.40300000000000002</v>
      </c>
      <c r="C24" s="603">
        <f>'Summery Report'!E26</f>
        <v>31</v>
      </c>
      <c r="D24" s="604">
        <v>1</v>
      </c>
      <c r="E24" s="603">
        <f>Gen!S32</f>
        <v>2286.86</v>
      </c>
      <c r="F24" s="603">
        <f>Gen!T32</f>
        <v>5400</v>
      </c>
      <c r="G24" s="603">
        <f>'Water-Meter'!E27</f>
        <v>114</v>
      </c>
      <c r="H24" s="603">
        <f>'Utility report '!AC27</f>
        <v>87</v>
      </c>
      <c r="I24" s="603">
        <f>Gen!AJ32</f>
        <v>18.63</v>
      </c>
    </row>
    <row r="25" spans="1:9" ht="13.5">
      <c r="A25" s="296">
        <v>43761</v>
      </c>
      <c r="B25" s="602">
        <f>Gen!B33</f>
        <v>0.24</v>
      </c>
      <c r="C25" s="603">
        <f>'Summery Report'!E27</f>
        <v>19</v>
      </c>
      <c r="D25" s="604">
        <v>1</v>
      </c>
      <c r="E25" s="603">
        <f>Gen!S33</f>
        <v>2148.2999999999997</v>
      </c>
      <c r="F25" s="603">
        <f>Gen!T33</f>
        <v>5371</v>
      </c>
      <c r="G25" s="603">
        <f>'Water-Meter'!E28</f>
        <v>113</v>
      </c>
      <c r="H25" s="603">
        <f>'Utility report '!AC28</f>
        <v>60</v>
      </c>
      <c r="I25" s="603">
        <f>Gen!AJ33</f>
        <v>311.34000000000003</v>
      </c>
    </row>
    <row r="26" spans="1:9" ht="13.5">
      <c r="A26" s="296">
        <v>43762</v>
      </c>
      <c r="B26" s="602">
        <f>Gen!B34</f>
        <v>0.09</v>
      </c>
      <c r="C26" s="603">
        <f>'Summery Report'!E28</f>
        <v>7</v>
      </c>
      <c r="D26" s="604">
        <v>1</v>
      </c>
      <c r="E26" s="603">
        <f>Gen!S34</f>
        <v>2113.27</v>
      </c>
      <c r="F26" s="603">
        <f>Gen!T34</f>
        <v>5296</v>
      </c>
      <c r="G26" s="603">
        <f>'Water-Meter'!E29</f>
        <v>99</v>
      </c>
      <c r="H26" s="603">
        <f>'Utility report '!AC29</f>
        <v>110</v>
      </c>
      <c r="I26" s="603">
        <f>Gen!AJ34</f>
        <v>380.7</v>
      </c>
    </row>
    <row r="27" spans="1:9" ht="13.5">
      <c r="A27" s="296">
        <v>43763</v>
      </c>
      <c r="B27" s="602">
        <f>Gen!B35</f>
        <v>0.28599999999999998</v>
      </c>
      <c r="C27" s="603">
        <f>'Summery Report'!E29</f>
        <v>19</v>
      </c>
      <c r="D27" s="604">
        <v>1</v>
      </c>
      <c r="E27" s="603">
        <f>Gen!S35</f>
        <v>2104.5200000000004</v>
      </c>
      <c r="F27" s="603">
        <f>Gen!T35</f>
        <v>5221</v>
      </c>
      <c r="G27" s="603">
        <f>'Water-Meter'!E30</f>
        <v>111</v>
      </c>
      <c r="H27" s="603">
        <f>'Utility report '!AC30</f>
        <v>76</v>
      </c>
      <c r="I27" s="603">
        <f>Gen!AJ35</f>
        <v>273.37</v>
      </c>
    </row>
    <row r="28" spans="1:9" ht="13.5">
      <c r="A28" s="296">
        <v>43764</v>
      </c>
      <c r="B28" s="602">
        <f>Gen!B36</f>
        <v>0.54500000000000004</v>
      </c>
      <c r="C28" s="603">
        <f>'Summery Report'!E30</f>
        <v>42</v>
      </c>
      <c r="D28" s="604">
        <v>1</v>
      </c>
      <c r="E28" s="603">
        <f>Gen!S36</f>
        <v>2470.2400000000002</v>
      </c>
      <c r="F28" s="603">
        <f>Gen!T36</f>
        <v>5665</v>
      </c>
      <c r="G28" s="603">
        <f>'Water-Meter'!E31</f>
        <v>130</v>
      </c>
      <c r="H28" s="603">
        <f>'Utility report '!AC31</f>
        <v>116</v>
      </c>
      <c r="I28" s="603">
        <f>Gen!AJ36</f>
        <v>396.56</v>
      </c>
    </row>
    <row r="29" spans="1:9" ht="13.5">
      <c r="A29" s="296">
        <v>43765</v>
      </c>
      <c r="B29" s="602">
        <f>Gen!B37</f>
        <v>0.67500000000000004</v>
      </c>
      <c r="C29" s="603">
        <f>'Summery Report'!E31</f>
        <v>52</v>
      </c>
      <c r="D29" s="604">
        <v>1</v>
      </c>
      <c r="E29" s="603">
        <f>Gen!S37</f>
        <v>2323.7399999999998</v>
      </c>
      <c r="F29" s="603">
        <f>Gen!T37</f>
        <v>6109</v>
      </c>
      <c r="G29" s="603">
        <f>'Water-Meter'!E32</f>
        <v>114</v>
      </c>
      <c r="H29" s="603">
        <f>'Utility report '!AC32</f>
        <v>117</v>
      </c>
      <c r="I29" s="603">
        <f>Gen!AJ37</f>
        <v>280.63</v>
      </c>
    </row>
    <row r="30" spans="1:9" ht="13.5">
      <c r="A30" s="296">
        <v>43766</v>
      </c>
      <c r="B30" s="602">
        <f>Gen!B38</f>
        <v>0.27300000000000002</v>
      </c>
      <c r="C30" s="603">
        <f>'Summery Report'!E32</f>
        <v>21</v>
      </c>
      <c r="D30" s="604">
        <v>1</v>
      </c>
      <c r="E30" s="603">
        <f>Gen!S38</f>
        <v>2031.83</v>
      </c>
      <c r="F30" s="603">
        <f>Gen!T38</f>
        <v>5125</v>
      </c>
      <c r="G30" s="603">
        <f>'Water-Meter'!E33</f>
        <v>111</v>
      </c>
      <c r="H30" s="603">
        <f>'Utility report '!AC33</f>
        <v>118</v>
      </c>
      <c r="I30" s="603">
        <f>Gen!AJ38</f>
        <v>676.29</v>
      </c>
    </row>
    <row r="31" spans="1:9" ht="13.5">
      <c r="A31" s="296">
        <v>43767</v>
      </c>
      <c r="B31" s="602">
        <f>Gen!B39</f>
        <v>0.41599999999999998</v>
      </c>
      <c r="C31" s="603">
        <f>'Summery Report'!E33</f>
        <v>32</v>
      </c>
      <c r="D31" s="604">
        <v>1</v>
      </c>
      <c r="E31" s="603">
        <f>Gen!S39</f>
        <v>2131.37</v>
      </c>
      <c r="F31" s="603">
        <f>Gen!T39</f>
        <v>3443</v>
      </c>
      <c r="G31" s="603">
        <f>'Water-Meter'!E34</f>
        <v>100</v>
      </c>
      <c r="H31" s="603">
        <f>'Utility report '!AC34</f>
        <v>116</v>
      </c>
      <c r="I31" s="603">
        <f>Gen!AJ39</f>
        <v>120.7</v>
      </c>
    </row>
    <row r="32" spans="1:9" ht="13.5">
      <c r="A32" s="296">
        <v>43768</v>
      </c>
      <c r="B32" s="602">
        <f>Gen!B40</f>
        <v>0.42899999999999999</v>
      </c>
      <c r="C32" s="603">
        <f>'Summery Report'!E34</f>
        <v>32</v>
      </c>
      <c r="D32" s="604">
        <v>1</v>
      </c>
      <c r="E32" s="603">
        <f>Gen!S40</f>
        <v>2033.74</v>
      </c>
      <c r="F32" s="603">
        <f>Gen!T40</f>
        <v>5192</v>
      </c>
      <c r="G32" s="603">
        <f>'Water-Meter'!E35</f>
        <v>99</v>
      </c>
      <c r="H32" s="603">
        <f>'Utility report '!AC35</f>
        <v>122</v>
      </c>
      <c r="I32" s="603">
        <f>Gen!AJ40</f>
        <v>25.52</v>
      </c>
    </row>
    <row r="33" spans="1:9" ht="13.5">
      <c r="A33" s="296">
        <v>43769</v>
      </c>
      <c r="B33" s="602">
        <f>Gen!B41</f>
        <v>0.32500000000000001</v>
      </c>
      <c r="C33" s="603">
        <f>'Summery Report'!E35</f>
        <v>25</v>
      </c>
      <c r="D33" s="604">
        <v>1</v>
      </c>
      <c r="E33" s="603">
        <f>Gen!S41</f>
        <v>2126.42</v>
      </c>
      <c r="F33" s="603">
        <f>Gen!T41</f>
        <v>5234</v>
      </c>
      <c r="G33" s="603">
        <f>'Water-Meter'!E36</f>
        <v>111</v>
      </c>
      <c r="H33" s="603">
        <f>'Utility report '!AC36</f>
        <v>45</v>
      </c>
      <c r="I33" s="603">
        <f>Gen!AJ41</f>
        <v>533.66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4:T39"/>
  <sheetViews>
    <sheetView zoomScale="85" zoomScaleNormal="85" workbookViewId="0">
      <selection activeCell="G42" sqref="G42"/>
    </sheetView>
  </sheetViews>
  <sheetFormatPr defaultRowHeight="12.75"/>
  <cols>
    <col min="1" max="1" width="11.42578125" customWidth="1"/>
    <col min="2" max="2" width="9" customWidth="1"/>
    <col min="3" max="3" width="9.8554687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9.710937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4" spans="1:19" ht="45">
      <c r="A4" s="181" t="s">
        <v>0</v>
      </c>
      <c r="B4" s="182" t="s">
        <v>143</v>
      </c>
      <c r="C4" s="123" t="s">
        <v>254</v>
      </c>
      <c r="D4" s="703" t="s">
        <v>137</v>
      </c>
      <c r="E4" s="703"/>
      <c r="F4" s="703"/>
      <c r="G4" s="704" t="s">
        <v>20</v>
      </c>
      <c r="H4" s="704"/>
      <c r="I4" s="704"/>
      <c r="J4" s="705" t="s">
        <v>56</v>
      </c>
      <c r="K4" s="705"/>
      <c r="L4" s="705"/>
      <c r="M4" s="705"/>
      <c r="N4" s="706" t="s">
        <v>145</v>
      </c>
      <c r="O4" s="706"/>
      <c r="P4" s="706"/>
      <c r="Q4" s="6"/>
      <c r="R4" s="6"/>
      <c r="S4" s="6"/>
    </row>
    <row r="5" spans="1:19" ht="33.75">
      <c r="A5" s="176"/>
      <c r="B5" s="374"/>
      <c r="C5" s="176"/>
      <c r="D5" s="183" t="s">
        <v>138</v>
      </c>
      <c r="E5" s="183" t="s">
        <v>139</v>
      </c>
      <c r="F5" s="183" t="s">
        <v>123</v>
      </c>
      <c r="G5" s="185" t="s">
        <v>140</v>
      </c>
      <c r="H5" s="185" t="s">
        <v>19</v>
      </c>
      <c r="I5" s="186" t="s">
        <v>141</v>
      </c>
      <c r="J5" s="188" t="s">
        <v>144</v>
      </c>
      <c r="K5" s="188" t="s">
        <v>142</v>
      </c>
      <c r="L5" s="188" t="s">
        <v>142</v>
      </c>
      <c r="M5" s="190" t="s">
        <v>18</v>
      </c>
      <c r="N5" s="177" t="s">
        <v>146</v>
      </c>
      <c r="O5" s="177" t="s">
        <v>148</v>
      </c>
      <c r="P5" s="178" t="s">
        <v>147</v>
      </c>
      <c r="Q5" s="191" t="s">
        <v>150</v>
      </c>
      <c r="R5" s="191" t="s">
        <v>149</v>
      </c>
      <c r="S5" s="191" t="s">
        <v>151</v>
      </c>
    </row>
    <row r="6" spans="1:19" ht="14.25">
      <c r="A6" s="387">
        <f>[1]Gen!A11</f>
        <v>43739</v>
      </c>
      <c r="B6" s="6">
        <f>'Summery Report'!E5</f>
        <v>48</v>
      </c>
      <c r="C6" s="6">
        <f>'Daily report Gen'!AA6</f>
        <v>416</v>
      </c>
      <c r="D6" s="184">
        <f>Gen!S11</f>
        <v>2179.4799999999996</v>
      </c>
      <c r="E6" s="184">
        <f>Gen!AJ11</f>
        <v>203.27999999999997</v>
      </c>
      <c r="F6" s="184">
        <f>Gen!AR11</f>
        <v>2382.7599999999993</v>
      </c>
      <c r="G6" s="187">
        <f>'Utility report '!AC6</f>
        <v>26</v>
      </c>
      <c r="H6" s="187">
        <f>'Utility report '!AE6</f>
        <v>41</v>
      </c>
      <c r="I6" s="699">
        <f>'Water-Meter'!E6</f>
        <v>130</v>
      </c>
      <c r="J6" s="189">
        <f>'Lpg (2)'!B10</f>
        <v>85</v>
      </c>
      <c r="K6" s="189">
        <f>'Lpg (2)'!C10</f>
        <v>41</v>
      </c>
      <c r="L6" s="189">
        <f>'Lpg (2)'!D10</f>
        <v>85</v>
      </c>
      <c r="M6" s="672">
        <f>'Lpg (2)'!G10</f>
        <v>95.963999999989767</v>
      </c>
      <c r="N6" s="6"/>
      <c r="O6" s="180">
        <f>E6</f>
        <v>203.27999999999997</v>
      </c>
      <c r="P6" s="179" t="e">
        <f>'[1]Lpg (2)'!#REF!</f>
        <v>#REF!</v>
      </c>
      <c r="Q6" s="180" t="e">
        <f>'[1]Summery Report'!#REF!</f>
        <v>#REF!</v>
      </c>
      <c r="R6" s="192">
        <f t="shared" ref="R6:R36" si="0">N6/B6</f>
        <v>0</v>
      </c>
      <c r="S6" s="85" t="e">
        <f t="shared" ref="S6:S37" si="1">Q6/B6</f>
        <v>#REF!</v>
      </c>
    </row>
    <row r="7" spans="1:19" ht="14.25">
      <c r="A7" s="387">
        <f>[1]Gen!A12</f>
        <v>43740</v>
      </c>
      <c r="B7" s="6">
        <f>'Summery Report'!E6</f>
        <v>62</v>
      </c>
      <c r="C7" s="6">
        <f>'Daily report Gen'!AA7</f>
        <v>409</v>
      </c>
      <c r="D7" s="184">
        <f>Gen!S12</f>
        <v>2472.85</v>
      </c>
      <c r="E7" s="184">
        <f>Gen!AJ12</f>
        <v>31.450000000000003</v>
      </c>
      <c r="F7" s="184">
        <f>Gen!AR12</f>
        <v>2504.2999999999997</v>
      </c>
      <c r="G7" s="187">
        <f>'Utility report '!AC7</f>
        <v>177</v>
      </c>
      <c r="H7" s="187">
        <f>'Utility report '!AE7</f>
        <v>44</v>
      </c>
      <c r="I7" s="699">
        <f>'Water-Meter'!E7</f>
        <v>128</v>
      </c>
      <c r="J7" s="189">
        <f>'Lpg (2)'!B11</f>
        <v>85</v>
      </c>
      <c r="K7" s="189">
        <f>'Lpg (2)'!C11</f>
        <v>38</v>
      </c>
      <c r="L7" s="189">
        <f>'Lpg (2)'!D11</f>
        <v>85</v>
      </c>
      <c r="M7" s="672">
        <f>'Lpg (2)'!G11</f>
        <v>112.59599999998464</v>
      </c>
      <c r="N7" s="192">
        <f>D7*1.4</f>
        <v>3461.99</v>
      </c>
      <c r="O7" s="192">
        <f>E7*1.4</f>
        <v>44.03</v>
      </c>
      <c r="P7" s="179" t="e">
        <f>'[1]Lpg (2)'!#REF!</f>
        <v>#REF!</v>
      </c>
      <c r="Q7" s="180" t="e">
        <f>'[1]Summery Report'!#REF!</f>
        <v>#REF!</v>
      </c>
      <c r="R7" s="192">
        <f t="shared" si="0"/>
        <v>55.838548387096772</v>
      </c>
      <c r="S7" s="85" t="e">
        <f t="shared" si="1"/>
        <v>#REF!</v>
      </c>
    </row>
    <row r="8" spans="1:19" ht="14.25">
      <c r="A8" s="387">
        <f>[1]Gen!A13</f>
        <v>43741</v>
      </c>
      <c r="B8" s="6">
        <f>'Summery Report'!E7</f>
        <v>41</v>
      </c>
      <c r="C8" s="6">
        <f>'Daily report Gen'!AA8</f>
        <v>453</v>
      </c>
      <c r="D8" s="184">
        <f>Gen!S13</f>
        <v>2554.3900000000003</v>
      </c>
      <c r="E8" s="184">
        <f>Gen!AJ13</f>
        <v>106.26</v>
      </c>
      <c r="F8" s="184">
        <f>Gen!AR13</f>
        <v>2660.6500000000005</v>
      </c>
      <c r="G8" s="187">
        <f>'Utility report '!AC8</f>
        <v>128</v>
      </c>
      <c r="H8" s="187">
        <f>'Utility report '!AE8</f>
        <v>41</v>
      </c>
      <c r="I8" s="699">
        <f>'Water-Meter'!E8</f>
        <v>120</v>
      </c>
      <c r="J8" s="189">
        <f>'Lpg (2)'!B12</f>
        <v>85</v>
      </c>
      <c r="K8" s="189">
        <f>'Lpg (2)'!C12</f>
        <v>33</v>
      </c>
      <c r="L8" s="189">
        <f>'Lpg (2)'!D12</f>
        <v>85</v>
      </c>
      <c r="M8" s="672">
        <f>'Lpg (2)'!G12</f>
        <v>116.1599999999744</v>
      </c>
      <c r="N8" s="192">
        <f t="shared" ref="N8:O36" si="2">D8*1.4</f>
        <v>3576.1460000000002</v>
      </c>
      <c r="O8" s="192">
        <f t="shared" si="2"/>
        <v>148.76400000000001</v>
      </c>
      <c r="P8" s="179" t="e">
        <f>'[1]Lpg (2)'!#REF!</f>
        <v>#REF!</v>
      </c>
      <c r="Q8" s="180" t="e">
        <f>'[1]Summery Report'!#REF!</f>
        <v>#REF!</v>
      </c>
      <c r="R8" s="192">
        <f t="shared" si="0"/>
        <v>87.223073170731709</v>
      </c>
      <c r="S8" s="85" t="e">
        <f t="shared" si="1"/>
        <v>#REF!</v>
      </c>
    </row>
    <row r="9" spans="1:19" ht="14.25">
      <c r="A9" s="387">
        <f>[1]Gen!A14</f>
        <v>43742</v>
      </c>
      <c r="B9" s="6">
        <f>'Summery Report'!E8</f>
        <v>47</v>
      </c>
      <c r="C9" s="6">
        <f>'Daily report Gen'!AA9</f>
        <v>562</v>
      </c>
      <c r="D9" s="184">
        <f>Gen!S14</f>
        <v>2441.42</v>
      </c>
      <c r="E9" s="184">
        <f>Gen!AJ14</f>
        <v>292.31</v>
      </c>
      <c r="F9" s="184">
        <f>Gen!AR14</f>
        <v>2733.73</v>
      </c>
      <c r="G9" s="187">
        <f>'Utility report '!AC9</f>
        <v>115</v>
      </c>
      <c r="H9" s="187">
        <f>'Utility report '!AE9</f>
        <v>69</v>
      </c>
      <c r="I9" s="699">
        <f>'Water-Meter'!E9</f>
        <v>120</v>
      </c>
      <c r="J9" s="189">
        <f>'Lpg (2)'!B13</f>
        <v>85</v>
      </c>
      <c r="K9" s="189">
        <f>'Lpg (2)'!C13</f>
        <v>29</v>
      </c>
      <c r="L9" s="189">
        <f>'Lpg (2)'!D13</f>
        <v>85</v>
      </c>
      <c r="M9" s="672">
        <f>'Lpg (2)'!G13</f>
        <v>117.92000000001282</v>
      </c>
      <c r="N9" s="192">
        <f t="shared" si="2"/>
        <v>3417.9879999999998</v>
      </c>
      <c r="O9" s="192">
        <f t="shared" si="2"/>
        <v>409.23399999999998</v>
      </c>
      <c r="P9" s="179" t="e">
        <f>'[1]Lpg (2)'!#REF!</f>
        <v>#REF!</v>
      </c>
      <c r="Q9" s="180" t="e">
        <f>'[1]Summery Report'!#REF!</f>
        <v>#REF!</v>
      </c>
      <c r="R9" s="192">
        <f t="shared" si="0"/>
        <v>72.723148936170205</v>
      </c>
      <c r="S9" s="85" t="e">
        <f t="shared" si="1"/>
        <v>#REF!</v>
      </c>
    </row>
    <row r="10" spans="1:19" ht="14.25">
      <c r="A10" s="387">
        <f>[1]Gen!A15</f>
        <v>43743</v>
      </c>
      <c r="B10" s="6">
        <f>'Summery Report'!E9</f>
        <v>53</v>
      </c>
      <c r="C10" s="6">
        <f>'Daily report Gen'!AA10</f>
        <v>497</v>
      </c>
      <c r="D10" s="184">
        <f>Gen!S15</f>
        <v>2338.3599999999997</v>
      </c>
      <c r="E10" s="184">
        <f>Gen!AJ15</f>
        <v>79.16</v>
      </c>
      <c r="F10" s="184">
        <f>Gen!AR15</f>
        <v>2417.5199999999995</v>
      </c>
      <c r="G10" s="187">
        <f>'Utility report '!AC10</f>
        <v>86</v>
      </c>
      <c r="H10" s="187">
        <f>'Utility report '!AE10</f>
        <v>44</v>
      </c>
      <c r="I10" s="699">
        <f>'Water-Meter'!E10</f>
        <v>114</v>
      </c>
      <c r="J10" s="189">
        <f>'Lpg (2)'!B14</f>
        <v>85</v>
      </c>
      <c r="K10" s="189">
        <f>'Lpg (2)'!C14</f>
        <v>24</v>
      </c>
      <c r="L10" s="189">
        <f>'Lpg (2)'!D14</f>
        <v>85</v>
      </c>
      <c r="M10" s="672">
        <f>'Lpg (2)'!G14</f>
        <v>121.44000000002562</v>
      </c>
      <c r="N10" s="192">
        <f t="shared" si="2"/>
        <v>3273.7039999999993</v>
      </c>
      <c r="O10" s="192">
        <f t="shared" si="2"/>
        <v>110.82399999999998</v>
      </c>
      <c r="P10" s="179" t="e">
        <f>'[1]Lpg (2)'!#REF!</f>
        <v>#REF!</v>
      </c>
      <c r="Q10" s="180" t="e">
        <f>'[1]Summery Report'!#REF!</f>
        <v>#REF!</v>
      </c>
      <c r="R10" s="192">
        <f t="shared" si="0"/>
        <v>61.767999999999986</v>
      </c>
      <c r="S10" s="85" t="e">
        <f t="shared" si="1"/>
        <v>#REF!</v>
      </c>
    </row>
    <row r="11" spans="1:19" ht="14.25">
      <c r="A11" s="387">
        <f>[1]Gen!A16</f>
        <v>43744</v>
      </c>
      <c r="B11" s="6">
        <f>'Summery Report'!E10</f>
        <v>41</v>
      </c>
      <c r="C11" s="6">
        <f>'Daily report Gen'!AA11</f>
        <v>498</v>
      </c>
      <c r="D11" s="184">
        <f>Gen!S16</f>
        <v>2478.9</v>
      </c>
      <c r="E11" s="184">
        <f>Gen!AJ16</f>
        <v>115.65</v>
      </c>
      <c r="F11" s="184">
        <f>Gen!AR16</f>
        <v>2594.5500000000002</v>
      </c>
      <c r="G11" s="187">
        <f>'Utility report '!AC11</f>
        <v>114</v>
      </c>
      <c r="H11" s="187">
        <f>'Utility report '!AE11</f>
        <v>48</v>
      </c>
      <c r="I11" s="699">
        <f>'Water-Meter'!E11</f>
        <v>126</v>
      </c>
      <c r="J11" s="189">
        <f>'Lpg (2)'!B15</f>
        <v>85</v>
      </c>
      <c r="K11" s="189">
        <f>'Lpg (2)'!C15</f>
        <v>19</v>
      </c>
      <c r="L11" s="189">
        <f>'Lpg (2)'!D15</f>
        <v>85</v>
      </c>
      <c r="M11" s="672">
        <f>'Lpg (2)'!G15</f>
        <v>120.55999999997439</v>
      </c>
      <c r="N11" s="192">
        <f t="shared" si="2"/>
        <v>3470.46</v>
      </c>
      <c r="O11" s="192">
        <f t="shared" si="2"/>
        <v>161.91</v>
      </c>
      <c r="P11" s="179" t="e">
        <f>'[1]Lpg (2)'!#REF!</f>
        <v>#REF!</v>
      </c>
      <c r="Q11" s="180" t="e">
        <f>'[1]Summery Report'!#REF!</f>
        <v>#REF!</v>
      </c>
      <c r="R11" s="192">
        <f t="shared" si="0"/>
        <v>84.645365853658532</v>
      </c>
      <c r="S11" s="85" t="e">
        <f t="shared" si="1"/>
        <v>#REF!</v>
      </c>
    </row>
    <row r="12" spans="1:19" ht="14.25">
      <c r="A12" s="387">
        <f>[1]Gen!A17</f>
        <v>43745</v>
      </c>
      <c r="B12" s="6">
        <f>'Summery Report'!E11</f>
        <v>58</v>
      </c>
      <c r="C12" s="6">
        <f>'Daily report Gen'!AA12</f>
        <v>496</v>
      </c>
      <c r="D12" s="184">
        <f>Gen!S17</f>
        <v>2276.44</v>
      </c>
      <c r="E12" s="184">
        <f>Gen!AJ17</f>
        <v>74.81</v>
      </c>
      <c r="F12" s="184">
        <f>Gen!AR17</f>
        <v>2351.25</v>
      </c>
      <c r="G12" s="187">
        <f>'Utility report '!AC12</f>
        <v>107</v>
      </c>
      <c r="H12" s="187">
        <f>'Utility report '!AE12</f>
        <v>45</v>
      </c>
      <c r="I12" s="699">
        <f>'Water-Meter'!E12</f>
        <v>116</v>
      </c>
      <c r="J12" s="189">
        <f>'Lpg (2)'!B16</f>
        <v>85</v>
      </c>
      <c r="K12" s="189">
        <f>'Lpg (2)'!C16</f>
        <v>15</v>
      </c>
      <c r="L12" s="189">
        <f>'Lpg (2)'!D16</f>
        <v>85</v>
      </c>
      <c r="M12" s="672">
        <f>'Lpg (2)'!G16</f>
        <v>119.6799999999872</v>
      </c>
      <c r="N12" s="192">
        <f t="shared" si="2"/>
        <v>3187.0160000000001</v>
      </c>
      <c r="O12" s="192">
        <f t="shared" si="2"/>
        <v>104.73399999999999</v>
      </c>
      <c r="P12" s="179" t="e">
        <f>'[1]Lpg (2)'!#REF!</f>
        <v>#REF!</v>
      </c>
      <c r="Q12" s="180" t="e">
        <f>'[1]Summery Report'!#REF!</f>
        <v>#REF!</v>
      </c>
      <c r="R12" s="192">
        <f t="shared" si="0"/>
        <v>54.948551724137936</v>
      </c>
      <c r="S12" s="85" t="e">
        <f t="shared" si="1"/>
        <v>#REF!</v>
      </c>
    </row>
    <row r="13" spans="1:19" ht="14.25">
      <c r="A13" s="387">
        <f>[1]Gen!A18</f>
        <v>43746</v>
      </c>
      <c r="B13" s="6">
        <f>'Summery Report'!E12</f>
        <v>12</v>
      </c>
      <c r="C13" s="6">
        <f>'Daily report Gen'!AA13</f>
        <v>498</v>
      </c>
      <c r="D13" s="184">
        <f>Gen!S18</f>
        <v>2242.4</v>
      </c>
      <c r="E13" s="184">
        <f>Gen!AJ18</f>
        <v>94.01</v>
      </c>
      <c r="F13" s="184">
        <f>Gen!AR18</f>
        <v>2336.4100000000003</v>
      </c>
      <c r="G13" s="187">
        <f>'Utility report '!AC13</f>
        <v>52</v>
      </c>
      <c r="H13" s="187">
        <f>'Utility report '!AE13</f>
        <v>50</v>
      </c>
      <c r="I13" s="699">
        <f>'Water-Meter'!E13</f>
        <v>120</v>
      </c>
      <c r="J13" s="189">
        <f>'Lpg (2)'!B17</f>
        <v>85</v>
      </c>
      <c r="K13" s="189">
        <f>'Lpg (2)'!C17</f>
        <v>9</v>
      </c>
      <c r="L13" s="189">
        <f>'Lpg (2)'!D17</f>
        <v>85</v>
      </c>
      <c r="M13" s="672">
        <f>'Lpg (2)'!G17</f>
        <v>118.36000000003843</v>
      </c>
      <c r="N13" s="192">
        <f t="shared" si="2"/>
        <v>3139.36</v>
      </c>
      <c r="O13" s="192">
        <f t="shared" si="2"/>
        <v>131.614</v>
      </c>
      <c r="P13" s="179" t="e">
        <f>'[1]Lpg (2)'!#REF!</f>
        <v>#REF!</v>
      </c>
      <c r="Q13" s="180" t="e">
        <f>'[1]Summery Report'!#REF!</f>
        <v>#REF!</v>
      </c>
      <c r="R13" s="192">
        <f t="shared" si="0"/>
        <v>261.61333333333334</v>
      </c>
      <c r="S13" s="85" t="e">
        <f t="shared" si="1"/>
        <v>#REF!</v>
      </c>
    </row>
    <row r="14" spans="1:19" ht="14.25">
      <c r="A14" s="387">
        <f>[1]Gen!A19</f>
        <v>43747</v>
      </c>
      <c r="B14" s="6">
        <f>'Summery Report'!E13</f>
        <v>34</v>
      </c>
      <c r="C14" s="6">
        <f>'Daily report Gen'!AA14</f>
        <v>486</v>
      </c>
      <c r="D14" s="184">
        <f>Gen!S19</f>
        <v>2430.2700000000004</v>
      </c>
      <c r="E14" s="184">
        <f>Gen!AJ19</f>
        <v>284.83</v>
      </c>
      <c r="F14" s="184">
        <f>Gen!AR19</f>
        <v>2715.1000000000004</v>
      </c>
      <c r="G14" s="187">
        <f>'Utility report '!AC14</f>
        <v>33</v>
      </c>
      <c r="H14" s="187">
        <f>'Utility report '!AE14</f>
        <v>48</v>
      </c>
      <c r="I14" s="699">
        <f>'Water-Meter'!E14</f>
        <v>107</v>
      </c>
      <c r="J14" s="189">
        <f>'Lpg (2)'!B18</f>
        <v>85</v>
      </c>
      <c r="K14" s="189">
        <f>'Lpg (2)'!C18</f>
        <v>5</v>
      </c>
      <c r="L14" s="189">
        <f>'Lpg (2)'!D18</f>
        <v>76</v>
      </c>
      <c r="M14" s="672">
        <f>'Lpg (2)'!G18</f>
        <v>117.03999999996159</v>
      </c>
      <c r="N14" s="192">
        <f t="shared" si="2"/>
        <v>3402.3780000000006</v>
      </c>
      <c r="O14" s="192">
        <f t="shared" si="2"/>
        <v>398.76199999999994</v>
      </c>
      <c r="P14" s="179" t="e">
        <f>'[1]Lpg (2)'!#REF!</f>
        <v>#REF!</v>
      </c>
      <c r="Q14" s="180" t="e">
        <f>'[1]Summery Report'!#REF!</f>
        <v>#REF!</v>
      </c>
      <c r="R14" s="192">
        <f t="shared" si="0"/>
        <v>100.06994117647061</v>
      </c>
      <c r="S14" s="85" t="e">
        <f t="shared" si="1"/>
        <v>#REF!</v>
      </c>
    </row>
    <row r="15" spans="1:19" ht="14.25">
      <c r="A15" s="387">
        <f>[1]Gen!A20</f>
        <v>43748</v>
      </c>
      <c r="B15" s="6">
        <f>'Summery Report'!E14</f>
        <v>25</v>
      </c>
      <c r="C15" s="6">
        <f>'Daily report Gen'!AA15</f>
        <v>490</v>
      </c>
      <c r="D15" s="184">
        <f>Gen!S20</f>
        <v>2463.77</v>
      </c>
      <c r="E15" s="184">
        <f>Gen!AJ20</f>
        <v>106.04</v>
      </c>
      <c r="F15" s="184">
        <f>Gen!AR20</f>
        <v>2569.81</v>
      </c>
      <c r="G15" s="187">
        <f>'Utility report '!AC15</f>
        <v>82</v>
      </c>
      <c r="H15" s="187">
        <f>'Utility report '!AE15</f>
        <v>47</v>
      </c>
      <c r="I15" s="699">
        <f>'Water-Meter'!E15</f>
        <v>123</v>
      </c>
      <c r="J15" s="189">
        <f>'Lpg (2)'!B19</f>
        <v>85</v>
      </c>
      <c r="K15" s="189">
        <f>'Lpg (2)'!C19</f>
        <v>5</v>
      </c>
      <c r="L15" s="189">
        <f>'Lpg (2)'!D19</f>
        <v>74</v>
      </c>
      <c r="M15" s="672">
        <f>'Lpg (2)'!G19</f>
        <v>116.16000000003842</v>
      </c>
      <c r="N15" s="192">
        <f t="shared" si="2"/>
        <v>3449.2779999999998</v>
      </c>
      <c r="O15" s="192">
        <f t="shared" si="2"/>
        <v>148.45599999999999</v>
      </c>
      <c r="P15" s="179" t="e">
        <f>'[1]Lpg (2)'!#REF!</f>
        <v>#REF!</v>
      </c>
      <c r="Q15" s="180" t="e">
        <f>'[1]Summery Report'!#REF!</f>
        <v>#REF!</v>
      </c>
      <c r="R15" s="192">
        <f t="shared" si="0"/>
        <v>137.97111999999998</v>
      </c>
      <c r="S15" s="85" t="e">
        <f t="shared" si="1"/>
        <v>#REF!</v>
      </c>
    </row>
    <row r="16" spans="1:19" ht="14.25">
      <c r="A16" s="387">
        <f>[1]Gen!A21</f>
        <v>43749</v>
      </c>
      <c r="B16" s="6">
        <f>'Summery Report'!E15</f>
        <v>35</v>
      </c>
      <c r="C16" s="6">
        <f>'Daily report Gen'!AA16</f>
        <v>498</v>
      </c>
      <c r="D16" s="184">
        <f>Gen!S21</f>
        <v>2310.19</v>
      </c>
      <c r="E16" s="184">
        <f>Gen!AJ21</f>
        <v>263.09000000000003</v>
      </c>
      <c r="F16" s="184">
        <f>Gen!AR21</f>
        <v>2573.2800000000002</v>
      </c>
      <c r="G16" s="187">
        <f>'Utility report '!AC16</f>
        <v>115</v>
      </c>
      <c r="H16" s="187">
        <f>'Utility report '!AE16</f>
        <v>47</v>
      </c>
      <c r="I16" s="699">
        <f>'Water-Meter'!E16</f>
        <v>112</v>
      </c>
      <c r="J16" s="189">
        <f>'Lpg (2)'!B20</f>
        <v>85</v>
      </c>
      <c r="K16" s="189">
        <f>'Lpg (2)'!C20</f>
        <v>5</v>
      </c>
      <c r="L16" s="189">
        <f>'Lpg (2)'!D20</f>
        <v>72</v>
      </c>
      <c r="M16" s="672">
        <f>'Lpg (2)'!G20</f>
        <v>110.87999999998721</v>
      </c>
      <c r="N16" s="192">
        <f t="shared" si="2"/>
        <v>3234.2660000000001</v>
      </c>
      <c r="O16" s="192">
        <f t="shared" si="2"/>
        <v>368.32600000000002</v>
      </c>
      <c r="P16" s="179" t="e">
        <f>'[1]Lpg (2)'!#REF!</f>
        <v>#REF!</v>
      </c>
      <c r="Q16" s="180" t="e">
        <f>'[1]Summery Report'!#REF!</f>
        <v>#REF!</v>
      </c>
      <c r="R16" s="192">
        <f t="shared" si="0"/>
        <v>92.407600000000002</v>
      </c>
      <c r="S16" s="85" t="e">
        <f t="shared" si="1"/>
        <v>#REF!</v>
      </c>
    </row>
    <row r="17" spans="1:19" ht="14.25">
      <c r="A17" s="387">
        <f>[1]Gen!A22</f>
        <v>43750</v>
      </c>
      <c r="B17" s="6">
        <f>'Summery Report'!E16</f>
        <v>32</v>
      </c>
      <c r="C17" s="6">
        <f>'Daily report Gen'!AA17</f>
        <v>503</v>
      </c>
      <c r="D17" s="184">
        <f>Gen!S22</f>
        <v>2429.17</v>
      </c>
      <c r="E17" s="184">
        <f>Gen!AJ22</f>
        <v>309.36</v>
      </c>
      <c r="F17" s="184">
        <f>Gen!AR22</f>
        <v>2738.53</v>
      </c>
      <c r="G17" s="187">
        <f>'Utility report '!AC17</f>
        <v>21</v>
      </c>
      <c r="H17" s="187">
        <f>'Utility report '!AE17</f>
        <v>46</v>
      </c>
      <c r="I17" s="699">
        <f>'Water-Meter'!E17</f>
        <v>128</v>
      </c>
      <c r="J17" s="189">
        <f>'Lpg (2)'!B21</f>
        <v>85</v>
      </c>
      <c r="K17" s="189">
        <f>'Lpg (2)'!C21</f>
        <v>5</v>
      </c>
      <c r="L17" s="189">
        <f>'Lpg (2)'!D21</f>
        <v>68</v>
      </c>
      <c r="M17" s="672">
        <f>'Lpg (2)'!G21</f>
        <v>108.24000000002562</v>
      </c>
      <c r="N17" s="192">
        <f t="shared" si="2"/>
        <v>3400.8379999999997</v>
      </c>
      <c r="O17" s="192">
        <f t="shared" si="2"/>
        <v>433.10399999999998</v>
      </c>
      <c r="P17" s="179" t="e">
        <f>'[1]Lpg (2)'!#REF!</f>
        <v>#REF!</v>
      </c>
      <c r="Q17" s="180" t="e">
        <f>'[1]Summery Report'!#REF!</f>
        <v>#REF!</v>
      </c>
      <c r="R17" s="192">
        <f t="shared" si="0"/>
        <v>106.27618749999999</v>
      </c>
      <c r="S17" s="85" t="e">
        <f t="shared" si="1"/>
        <v>#REF!</v>
      </c>
    </row>
    <row r="18" spans="1:19" ht="14.25">
      <c r="A18" s="387">
        <f>[1]Gen!A23</f>
        <v>43751</v>
      </c>
      <c r="B18" s="6">
        <f>'Summery Report'!E17</f>
        <v>30</v>
      </c>
      <c r="C18" s="6">
        <f>'Daily report Gen'!AA18</f>
        <v>498</v>
      </c>
      <c r="D18" s="184">
        <f>Gen!S23</f>
        <v>2249.5299999999997</v>
      </c>
      <c r="E18" s="184">
        <f>Gen!AJ23</f>
        <v>63.78</v>
      </c>
      <c r="F18" s="184">
        <f>Gen!AR23</f>
        <v>2313.31</v>
      </c>
      <c r="G18" s="187">
        <f>'Utility report '!AC18</f>
        <v>102</v>
      </c>
      <c r="H18" s="187">
        <f>'Utility report '!AE18</f>
        <v>51</v>
      </c>
      <c r="I18" s="699">
        <f>'Water-Meter'!E18</f>
        <v>114</v>
      </c>
      <c r="J18" s="189">
        <f>'Lpg (2)'!B22</f>
        <v>85</v>
      </c>
      <c r="K18" s="189">
        <f>'Lpg (2)'!C22</f>
        <v>5</v>
      </c>
      <c r="L18" s="189">
        <f>'Lpg (2)'!D22</f>
        <v>65</v>
      </c>
      <c r="M18" s="672">
        <f>'Lpg (2)'!G22</f>
        <v>104.2799999999872</v>
      </c>
      <c r="N18" s="192">
        <f t="shared" si="2"/>
        <v>3149.3419999999996</v>
      </c>
      <c r="O18" s="192">
        <f t="shared" si="2"/>
        <v>89.292000000000002</v>
      </c>
      <c r="P18" s="179" t="e">
        <f>'[1]Lpg (2)'!#REF!</f>
        <v>#REF!</v>
      </c>
      <c r="Q18" s="180" t="e">
        <f>'[1]Summery Report'!#REF!</f>
        <v>#REF!</v>
      </c>
      <c r="R18" s="192">
        <f t="shared" si="0"/>
        <v>104.97806666666665</v>
      </c>
      <c r="S18" s="85" t="e">
        <f t="shared" si="1"/>
        <v>#REF!</v>
      </c>
    </row>
    <row r="19" spans="1:19" ht="14.25">
      <c r="A19" s="387">
        <f>[1]Gen!A24</f>
        <v>43752</v>
      </c>
      <c r="B19" s="6">
        <f>'Summery Report'!E18</f>
        <v>49</v>
      </c>
      <c r="C19" s="6">
        <f>'Daily report Gen'!AA19</f>
        <v>489</v>
      </c>
      <c r="D19" s="184">
        <f>Gen!S24</f>
        <v>2424.4700000000003</v>
      </c>
      <c r="E19" s="184">
        <f>Gen!AJ24</f>
        <v>246.8</v>
      </c>
      <c r="F19" s="184">
        <f>Gen!AR24</f>
        <v>2671.2700000000004</v>
      </c>
      <c r="G19" s="187">
        <f>'Utility report '!AC19</f>
        <v>13</v>
      </c>
      <c r="H19" s="187">
        <f>'Utility report '!AE19</f>
        <v>50</v>
      </c>
      <c r="I19" s="699">
        <f>'Water-Meter'!E19</f>
        <v>119</v>
      </c>
      <c r="J19" s="189">
        <f>'Lpg (2)'!B23</f>
        <v>85</v>
      </c>
      <c r="K19" s="189">
        <f>'Lpg (2)'!C23</f>
        <v>5</v>
      </c>
      <c r="L19" s="189">
        <f>'Lpg (2)'!D23</f>
        <v>58</v>
      </c>
      <c r="M19" s="672">
        <f>'Lpg (2)'!G23</f>
        <v>106.92000000001282</v>
      </c>
      <c r="N19" s="192">
        <f t="shared" si="2"/>
        <v>3394.2580000000003</v>
      </c>
      <c r="O19" s="192">
        <f t="shared" si="2"/>
        <v>345.52</v>
      </c>
      <c r="P19" s="179" t="e">
        <f>'[1]Lpg (2)'!#REF!</f>
        <v>#REF!</v>
      </c>
      <c r="Q19" s="180" t="e">
        <f>'[1]Summery Report'!#REF!</f>
        <v>#REF!</v>
      </c>
      <c r="R19" s="192">
        <f t="shared" si="0"/>
        <v>69.270571428571429</v>
      </c>
      <c r="S19" s="85" t="e">
        <f t="shared" si="1"/>
        <v>#REF!</v>
      </c>
    </row>
    <row r="20" spans="1:19" ht="14.25">
      <c r="A20" s="387">
        <f>[1]Gen!A25</f>
        <v>43753</v>
      </c>
      <c r="B20" s="6">
        <f>'Summery Report'!E19</f>
        <v>66</v>
      </c>
      <c r="C20" s="6">
        <f>'Daily report Gen'!AA20</f>
        <v>493</v>
      </c>
      <c r="D20" s="184">
        <f>Gen!S25</f>
        <v>2672.31</v>
      </c>
      <c r="E20" s="184">
        <f>Gen!AJ25</f>
        <v>80.56</v>
      </c>
      <c r="F20" s="184">
        <f>Gen!AR25</f>
        <v>2752.87</v>
      </c>
      <c r="G20" s="187">
        <f>'Utility report '!AC20</f>
        <v>48</v>
      </c>
      <c r="H20" s="187">
        <f>'Utility report '!AE20</f>
        <v>51</v>
      </c>
      <c r="I20" s="699">
        <f>'Water-Meter'!E20</f>
        <v>128</v>
      </c>
      <c r="J20" s="189">
        <f>'Lpg (2)'!B24</f>
        <v>85</v>
      </c>
      <c r="K20" s="189">
        <f>'Lpg (2)'!C24</f>
        <v>5</v>
      </c>
      <c r="L20" s="189">
        <f>'Lpg (2)'!D24</f>
        <v>53</v>
      </c>
      <c r="M20" s="672">
        <f>'Lpg (2)'!G24</f>
        <v>105.1599999999744</v>
      </c>
      <c r="N20" s="192">
        <f t="shared" si="2"/>
        <v>3741.2339999999995</v>
      </c>
      <c r="O20" s="192">
        <f t="shared" si="2"/>
        <v>112.78399999999999</v>
      </c>
      <c r="P20" s="179" t="e">
        <f>'[1]Lpg (2)'!#REF!</f>
        <v>#REF!</v>
      </c>
      <c r="Q20" s="180" t="e">
        <f>'[1]Summery Report'!#REF!</f>
        <v>#REF!</v>
      </c>
      <c r="R20" s="192">
        <f t="shared" si="0"/>
        <v>56.685363636363626</v>
      </c>
      <c r="S20" s="85" t="e">
        <f t="shared" si="1"/>
        <v>#REF!</v>
      </c>
    </row>
    <row r="21" spans="1:19" ht="14.25">
      <c r="A21" s="387">
        <f>[1]Gen!A26</f>
        <v>43754</v>
      </c>
      <c r="B21" s="6">
        <f>'Summery Report'!E20</f>
        <v>63</v>
      </c>
      <c r="C21" s="6">
        <f>'Daily report Gen'!AA21</f>
        <v>498</v>
      </c>
      <c r="D21" s="184">
        <f>Gen!S26</f>
        <v>2741.7</v>
      </c>
      <c r="E21" s="184">
        <f>Gen!AJ26</f>
        <v>67.319999999999993</v>
      </c>
      <c r="F21" s="184">
        <f>Gen!AR26</f>
        <v>2809.02</v>
      </c>
      <c r="G21" s="187">
        <f>'Utility report '!AC21</f>
        <v>119</v>
      </c>
      <c r="H21" s="187">
        <f>'Utility report '!AE21</f>
        <v>49</v>
      </c>
      <c r="I21" s="699">
        <f>'Water-Meter'!E21</f>
        <v>127</v>
      </c>
      <c r="J21" s="189">
        <f>'Lpg (2)'!B25</f>
        <v>85</v>
      </c>
      <c r="K21" s="189">
        <f>'Lpg (2)'!C25</f>
        <v>5</v>
      </c>
      <c r="L21" s="189">
        <f>'Lpg (2)'!D25</f>
        <v>48</v>
      </c>
      <c r="M21" s="672">
        <f>'Lpg (2)'!G25</f>
        <v>103.4</v>
      </c>
      <c r="N21" s="192">
        <f t="shared" si="2"/>
        <v>3838.3799999999997</v>
      </c>
      <c r="O21" s="192">
        <f t="shared" si="2"/>
        <v>94.24799999999999</v>
      </c>
      <c r="P21" s="179" t="e">
        <f>'[1]Lpg (2)'!#REF!</f>
        <v>#REF!</v>
      </c>
      <c r="Q21" s="180" t="e">
        <f>'[1]Summery Report'!#REF!</f>
        <v>#REF!</v>
      </c>
      <c r="R21" s="192">
        <f t="shared" si="0"/>
        <v>60.926666666666662</v>
      </c>
      <c r="S21" s="85" t="e">
        <f t="shared" si="1"/>
        <v>#REF!</v>
      </c>
    </row>
    <row r="22" spans="1:19" ht="14.25">
      <c r="A22" s="387">
        <f>[1]Gen!A27</f>
        <v>43755</v>
      </c>
      <c r="B22" s="6">
        <f>'Summery Report'!E21</f>
        <v>16</v>
      </c>
      <c r="C22" s="6">
        <f>'Daily report Gen'!AA22</f>
        <v>487</v>
      </c>
      <c r="D22" s="184">
        <f>Gen!S27</f>
        <v>2321.11</v>
      </c>
      <c r="E22" s="184">
        <f>Gen!AJ27</f>
        <v>597.9</v>
      </c>
      <c r="F22" s="184">
        <f>Gen!AR27</f>
        <v>2919.01</v>
      </c>
      <c r="G22" s="187">
        <f>'Utility report '!AC22</f>
        <v>70</v>
      </c>
      <c r="H22" s="187">
        <f>'Utility report '!AE22</f>
        <v>41</v>
      </c>
      <c r="I22" s="699">
        <f>'Water-Meter'!E22</f>
        <v>122</v>
      </c>
      <c r="J22" s="189">
        <f>'Lpg (2)'!B26</f>
        <v>85</v>
      </c>
      <c r="K22" s="189">
        <f>'Lpg (2)'!C26</f>
        <v>5</v>
      </c>
      <c r="L22" s="189">
        <f>'Lpg (2)'!D26</f>
        <v>44</v>
      </c>
      <c r="M22" s="672">
        <f>'Lpg (2)'!G26</f>
        <v>99.44000000002562</v>
      </c>
      <c r="N22" s="192">
        <f t="shared" si="2"/>
        <v>3249.5540000000001</v>
      </c>
      <c r="O22" s="192">
        <f t="shared" si="2"/>
        <v>837.06</v>
      </c>
      <c r="P22" s="179" t="e">
        <f>'[1]Lpg (2)'!#REF!</f>
        <v>#REF!</v>
      </c>
      <c r="Q22" s="180" t="e">
        <f>'[1]Summery Report'!#REF!</f>
        <v>#REF!</v>
      </c>
      <c r="R22" s="192">
        <f t="shared" si="0"/>
        <v>203.09712500000001</v>
      </c>
      <c r="S22" s="85" t="e">
        <f t="shared" si="1"/>
        <v>#REF!</v>
      </c>
    </row>
    <row r="23" spans="1:19" ht="14.25">
      <c r="A23" s="387">
        <f>[1]Gen!A28</f>
        <v>43756</v>
      </c>
      <c r="B23" s="6">
        <f>'Summery Report'!E22</f>
        <v>17</v>
      </c>
      <c r="C23" s="6">
        <f>'Daily report Gen'!AA23</f>
        <v>498</v>
      </c>
      <c r="D23" s="184">
        <f>Gen!S28</f>
        <v>2204.84</v>
      </c>
      <c r="E23" s="184">
        <f>Gen!AJ28</f>
        <v>227.73000000000002</v>
      </c>
      <c r="F23" s="184">
        <f>Gen!AR28</f>
        <v>2432.5700000000002</v>
      </c>
      <c r="G23" s="187">
        <f>'Utility report '!AC23</f>
        <v>109</v>
      </c>
      <c r="H23" s="187">
        <f>'Utility report '!AE23</f>
        <v>10</v>
      </c>
      <c r="I23" s="699">
        <f>'Water-Meter'!E23</f>
        <v>105</v>
      </c>
      <c r="J23" s="189">
        <f>'Lpg (2)'!B27</f>
        <v>85</v>
      </c>
      <c r="K23" s="189">
        <f>'Lpg (2)'!C27</f>
        <v>5</v>
      </c>
      <c r="L23" s="189">
        <f>'Lpg (2)'!D27</f>
        <v>39</v>
      </c>
      <c r="M23" s="672">
        <f>'Lpg (2)'!G27</f>
        <v>94.600000000000009</v>
      </c>
      <c r="N23" s="192">
        <f t="shared" si="2"/>
        <v>3086.7759999999998</v>
      </c>
      <c r="O23" s="192">
        <f t="shared" si="2"/>
        <v>318.822</v>
      </c>
      <c r="P23" s="179" t="e">
        <f>'[1]Lpg (2)'!#REF!</f>
        <v>#REF!</v>
      </c>
      <c r="Q23" s="180" t="e">
        <f>'[1]Summery Report'!#REF!</f>
        <v>#REF!</v>
      </c>
      <c r="R23" s="192">
        <f t="shared" si="0"/>
        <v>181.57505882352939</v>
      </c>
      <c r="S23" s="85" t="e">
        <f t="shared" si="1"/>
        <v>#REF!</v>
      </c>
    </row>
    <row r="24" spans="1:19" ht="14.25">
      <c r="A24" s="387">
        <f>[1]Gen!A29</f>
        <v>43757</v>
      </c>
      <c r="B24" s="6">
        <f>'Summery Report'!E23</f>
        <v>9</v>
      </c>
      <c r="C24" s="6">
        <f>'Daily report Gen'!AA24</f>
        <v>489</v>
      </c>
      <c r="D24" s="184">
        <f>Gen!S29</f>
        <v>1845.1800000000003</v>
      </c>
      <c r="E24" s="184">
        <f>Gen!AJ29</f>
        <v>88.289999999999992</v>
      </c>
      <c r="F24" s="184">
        <f>Gen!AR29</f>
        <v>1933.4700000000003</v>
      </c>
      <c r="G24" s="187">
        <f>'Utility report '!AC24</f>
        <v>109</v>
      </c>
      <c r="H24" s="187">
        <f>'Utility report '!AE24</f>
        <v>7</v>
      </c>
      <c r="I24" s="699">
        <f>'Water-Meter'!E24</f>
        <v>104</v>
      </c>
      <c r="J24" s="189">
        <f>'Lpg (2)'!B28</f>
        <v>85</v>
      </c>
      <c r="K24" s="189">
        <f>'Lpg (2)'!C28</f>
        <v>5</v>
      </c>
      <c r="L24" s="189">
        <f>'Lpg (2)'!D28</f>
        <v>35</v>
      </c>
      <c r="M24" s="672">
        <f>'Lpg (2)'!G28</f>
        <v>104.71999999994878</v>
      </c>
      <c r="N24" s="192">
        <f t="shared" si="2"/>
        <v>2583.2520000000004</v>
      </c>
      <c r="O24" s="192">
        <f t="shared" si="2"/>
        <v>123.60599999999998</v>
      </c>
      <c r="P24" s="179" t="e">
        <f>'[1]Lpg (2)'!#REF!</f>
        <v>#REF!</v>
      </c>
      <c r="Q24" s="180" t="e">
        <f>'[1]Summery Report'!#REF!</f>
        <v>#REF!</v>
      </c>
      <c r="R24" s="192">
        <f t="shared" si="0"/>
        <v>287.02800000000002</v>
      </c>
      <c r="S24" s="85" t="e">
        <f t="shared" si="1"/>
        <v>#REF!</v>
      </c>
    </row>
    <row r="25" spans="1:19" ht="14.25">
      <c r="A25" s="387">
        <f>[1]Gen!A30</f>
        <v>43758</v>
      </c>
      <c r="B25" s="6">
        <f>'Summery Report'!E24</f>
        <v>44</v>
      </c>
      <c r="C25" s="6">
        <f>'Daily report Gen'!AA25</f>
        <v>430</v>
      </c>
      <c r="D25" s="184">
        <f>Gen!S30</f>
        <v>2797.0099999999998</v>
      </c>
      <c r="E25" s="184">
        <f>Gen!AJ30</f>
        <v>183.92000000000002</v>
      </c>
      <c r="F25" s="184">
        <f>Gen!AR30</f>
        <v>2980.93</v>
      </c>
      <c r="G25" s="187">
        <f>'Utility report '!AC25</f>
        <v>109</v>
      </c>
      <c r="H25" s="187">
        <f>'Utility report '!AE25</f>
        <v>50</v>
      </c>
      <c r="I25" s="699">
        <f>'Water-Meter'!E25</f>
        <v>100</v>
      </c>
      <c r="J25" s="189">
        <f>'Lpg (2)'!B29</f>
        <v>85</v>
      </c>
      <c r="K25" s="189">
        <f>'Lpg (2)'!C29</f>
        <v>5</v>
      </c>
      <c r="L25" s="189">
        <f>'Lpg (2)'!D29</f>
        <v>29</v>
      </c>
      <c r="M25" s="672">
        <f>'Lpg (2)'!G29</f>
        <v>118.36000000003843</v>
      </c>
      <c r="N25" s="192">
        <f t="shared" si="2"/>
        <v>3915.8139999999994</v>
      </c>
      <c r="O25" s="192">
        <f t="shared" si="2"/>
        <v>257.488</v>
      </c>
      <c r="P25" s="179" t="e">
        <f>'[1]Lpg (2)'!#REF!</f>
        <v>#REF!</v>
      </c>
      <c r="Q25" s="180" t="e">
        <f>'[1]Summery Report'!#REF!</f>
        <v>#REF!</v>
      </c>
      <c r="R25" s="192">
        <f t="shared" si="0"/>
        <v>88.995772727272708</v>
      </c>
      <c r="S25" s="85" t="e">
        <f t="shared" si="1"/>
        <v>#REF!</v>
      </c>
    </row>
    <row r="26" spans="1:19" ht="14.25">
      <c r="A26" s="387">
        <f>[1]Gen!A31</f>
        <v>43759</v>
      </c>
      <c r="B26" s="6">
        <f>'Summery Report'!E25</f>
        <v>43</v>
      </c>
      <c r="C26" s="6">
        <f>'Daily report Gen'!AA26</f>
        <v>498</v>
      </c>
      <c r="D26" s="184">
        <f>Gen!S31</f>
        <v>2262.16</v>
      </c>
      <c r="E26" s="184">
        <f>Gen!AJ31</f>
        <v>172.05</v>
      </c>
      <c r="F26" s="184">
        <f>Gen!AR31</f>
        <v>2434.21</v>
      </c>
      <c r="G26" s="187">
        <f>'Utility report '!AC26</f>
        <v>113</v>
      </c>
      <c r="H26" s="187">
        <f>'Utility report '!AE26</f>
        <v>49</v>
      </c>
      <c r="I26" s="699">
        <f>'Water-Meter'!E26</f>
        <v>116</v>
      </c>
      <c r="J26" s="189">
        <f>'Lpg (2)'!B30</f>
        <v>85</v>
      </c>
      <c r="K26" s="189">
        <f>'Lpg (2)'!C30</f>
        <v>5</v>
      </c>
      <c r="L26" s="189">
        <f>'Lpg (2)'!D30</f>
        <v>24</v>
      </c>
      <c r="M26" s="672">
        <f>'Lpg (2)'!G30</f>
        <v>117.92000000001282</v>
      </c>
      <c r="N26" s="192">
        <f t="shared" si="2"/>
        <v>3167.0239999999994</v>
      </c>
      <c r="O26" s="192">
        <f t="shared" si="2"/>
        <v>240.87</v>
      </c>
      <c r="P26" s="179" t="e">
        <f>'[1]Lpg (2)'!#REF!</f>
        <v>#REF!</v>
      </c>
      <c r="Q26" s="180" t="e">
        <f>'[1]Summery Report'!#REF!</f>
        <v>#REF!</v>
      </c>
      <c r="R26" s="192">
        <f t="shared" si="0"/>
        <v>73.651720930232543</v>
      </c>
      <c r="S26" s="85" t="e">
        <f t="shared" si="1"/>
        <v>#REF!</v>
      </c>
    </row>
    <row r="27" spans="1:19" ht="14.25">
      <c r="A27" s="387">
        <f>[1]Gen!A32</f>
        <v>43760</v>
      </c>
      <c r="B27" s="6">
        <f>'Summery Report'!E26</f>
        <v>31</v>
      </c>
      <c r="C27" s="6">
        <f>'Daily report Gen'!AA27</f>
        <v>520</v>
      </c>
      <c r="D27" s="184">
        <f>Gen!S32</f>
        <v>2286.86</v>
      </c>
      <c r="E27" s="184">
        <f>Gen!AJ32</f>
        <v>18.63</v>
      </c>
      <c r="F27" s="184">
        <f>Gen!AR32</f>
        <v>2305.4900000000002</v>
      </c>
      <c r="G27" s="187">
        <f>'Utility report '!AC27</f>
        <v>87</v>
      </c>
      <c r="H27" s="187">
        <f>'Utility report '!AE27</f>
        <v>30</v>
      </c>
      <c r="I27" s="699">
        <f>'Water-Meter'!E27</f>
        <v>114</v>
      </c>
      <c r="J27" s="189">
        <f>'Lpg (2)'!B31</f>
        <v>85</v>
      </c>
      <c r="K27" s="189">
        <f>'Lpg (2)'!C31</f>
        <v>85</v>
      </c>
      <c r="L27" s="189">
        <f>'Lpg (2)'!D31</f>
        <v>85</v>
      </c>
      <c r="M27" s="672">
        <f>'Lpg (2)'!G31</f>
        <v>116.1599999999744</v>
      </c>
      <c r="N27" s="192">
        <f t="shared" si="2"/>
        <v>3201.6039999999998</v>
      </c>
      <c r="O27" s="192">
        <f t="shared" si="2"/>
        <v>26.081999999999997</v>
      </c>
      <c r="P27" s="179" t="e">
        <f>'[1]Lpg (2)'!#REF!</f>
        <v>#REF!</v>
      </c>
      <c r="Q27" s="180" t="e">
        <f>'[1]Summery Report'!#REF!</f>
        <v>#REF!</v>
      </c>
      <c r="R27" s="192">
        <f t="shared" si="0"/>
        <v>103.27754838709677</v>
      </c>
      <c r="S27" s="85" t="e">
        <f t="shared" si="1"/>
        <v>#REF!</v>
      </c>
    </row>
    <row r="28" spans="1:19" ht="14.25">
      <c r="A28" s="387">
        <f>[1]Gen!A33</f>
        <v>43761</v>
      </c>
      <c r="B28" s="6">
        <f>'Summery Report'!E27</f>
        <v>19</v>
      </c>
      <c r="C28" s="6">
        <f>'Daily report Gen'!AA28</f>
        <v>429</v>
      </c>
      <c r="D28" s="184">
        <f>Gen!S33</f>
        <v>2148.2999999999997</v>
      </c>
      <c r="E28" s="184">
        <f>Gen!AJ33</f>
        <v>311.34000000000003</v>
      </c>
      <c r="F28" s="184">
        <f>Gen!AR33</f>
        <v>2459.64</v>
      </c>
      <c r="G28" s="187">
        <f>'Utility report '!AC28</f>
        <v>60</v>
      </c>
      <c r="H28" s="187">
        <f>'Utility report '!AE28</f>
        <v>14</v>
      </c>
      <c r="I28" s="699">
        <f>'Water-Meter'!E28</f>
        <v>113</v>
      </c>
      <c r="J28" s="189">
        <f>'Lpg (2)'!B32</f>
        <v>84</v>
      </c>
      <c r="K28" s="189">
        <f>'Lpg (2)'!C32</f>
        <v>85</v>
      </c>
      <c r="L28" s="189">
        <f>'Lpg (2)'!D32</f>
        <v>85</v>
      </c>
      <c r="M28" s="672">
        <f>'Lpg (2)'!G32</f>
        <v>108.24000000002562</v>
      </c>
      <c r="N28" s="192">
        <f t="shared" si="2"/>
        <v>3007.6199999999994</v>
      </c>
      <c r="O28" s="192">
        <f t="shared" si="2"/>
        <v>435.87600000000003</v>
      </c>
      <c r="P28" s="179" t="e">
        <f>'[1]Lpg (2)'!#REF!</f>
        <v>#REF!</v>
      </c>
      <c r="Q28" s="180" t="e">
        <f>'[1]Summery Report'!#REF!</f>
        <v>#REF!</v>
      </c>
      <c r="R28" s="192">
        <f t="shared" si="0"/>
        <v>158.29578947368418</v>
      </c>
      <c r="S28" s="85" t="e">
        <f t="shared" si="1"/>
        <v>#REF!</v>
      </c>
    </row>
    <row r="29" spans="1:19" ht="14.25">
      <c r="A29" s="387">
        <f>[1]Gen!A34</f>
        <v>43762</v>
      </c>
      <c r="B29" s="6">
        <f>'Summery Report'!E28</f>
        <v>7</v>
      </c>
      <c r="C29" s="6">
        <f>'Daily report Gen'!AA29</f>
        <v>417</v>
      </c>
      <c r="D29" s="184">
        <f>Gen!S34</f>
        <v>2113.27</v>
      </c>
      <c r="E29" s="184">
        <f>Gen!AJ34</f>
        <v>380.7</v>
      </c>
      <c r="F29" s="184">
        <f>Gen!AR34</f>
        <v>2493.9699999999998</v>
      </c>
      <c r="G29" s="187">
        <f>'Utility report '!AC29</f>
        <v>110</v>
      </c>
      <c r="H29" s="187">
        <f>'Utility report '!AE29</f>
        <v>30</v>
      </c>
      <c r="I29" s="699">
        <f>'Water-Meter'!E29</f>
        <v>99</v>
      </c>
      <c r="J29" s="189">
        <f>'Lpg (2)'!B33</f>
        <v>81</v>
      </c>
      <c r="K29" s="189">
        <f>'Lpg (2)'!C33</f>
        <v>85</v>
      </c>
      <c r="L29" s="189">
        <f>'Lpg (2)'!D33</f>
        <v>85</v>
      </c>
      <c r="M29" s="672">
        <f>'Lpg (2)'!G33</f>
        <v>107.80000000000001</v>
      </c>
      <c r="N29" s="192">
        <f t="shared" si="2"/>
        <v>2958.578</v>
      </c>
      <c r="O29" s="192">
        <f t="shared" si="2"/>
        <v>532.9799999999999</v>
      </c>
      <c r="P29" s="179" t="e">
        <f>'[1]Lpg (2)'!#REF!</f>
        <v>#REF!</v>
      </c>
      <c r="Q29" s="180" t="e">
        <f>'[1]Summery Report'!#REF!</f>
        <v>#REF!</v>
      </c>
      <c r="R29" s="192">
        <f t="shared" si="0"/>
        <v>422.654</v>
      </c>
      <c r="S29" s="85" t="e">
        <f t="shared" si="1"/>
        <v>#REF!</v>
      </c>
    </row>
    <row r="30" spans="1:19" ht="14.25">
      <c r="A30" s="387">
        <f>[1]Gen!A35</f>
        <v>43763</v>
      </c>
      <c r="B30" s="6">
        <f>'Summery Report'!E29</f>
        <v>19</v>
      </c>
      <c r="C30" s="6">
        <f>'Daily report Gen'!AA30</f>
        <v>432</v>
      </c>
      <c r="D30" s="184">
        <f>Gen!S35</f>
        <v>2104.5200000000004</v>
      </c>
      <c r="E30" s="184">
        <f>Gen!AJ35</f>
        <v>273.37</v>
      </c>
      <c r="F30" s="184">
        <f>Gen!AR35</f>
        <v>2377.8900000000003</v>
      </c>
      <c r="G30" s="187">
        <f>'Utility report '!AC30</f>
        <v>76</v>
      </c>
      <c r="H30" s="187">
        <f>'Utility report '!AE30</f>
        <v>51</v>
      </c>
      <c r="I30" s="699">
        <f>'Water-Meter'!E30</f>
        <v>111</v>
      </c>
      <c r="J30" s="189">
        <f>'Lpg (2)'!B34</f>
        <v>83</v>
      </c>
      <c r="K30" s="189">
        <f>'Lpg (2)'!C34</f>
        <v>85</v>
      </c>
      <c r="L30" s="189">
        <f>'Lpg (2)'!D34</f>
        <v>85</v>
      </c>
      <c r="M30" s="672">
        <f>'Lpg (2)'!G34</f>
        <v>111.31999999994879</v>
      </c>
      <c r="N30" s="192">
        <f t="shared" si="2"/>
        <v>2946.3280000000004</v>
      </c>
      <c r="O30" s="192">
        <f t="shared" si="2"/>
        <v>382.71799999999996</v>
      </c>
      <c r="P30" s="179" t="e">
        <f>'[1]Lpg (2)'!#REF!</f>
        <v>#REF!</v>
      </c>
      <c r="Q30" s="180" t="e">
        <f>'[1]Summery Report'!#REF!</f>
        <v>#REF!</v>
      </c>
      <c r="R30" s="192">
        <f t="shared" si="0"/>
        <v>155.06989473684212</v>
      </c>
      <c r="S30" s="85" t="e">
        <f t="shared" si="1"/>
        <v>#REF!</v>
      </c>
    </row>
    <row r="31" spans="1:19" ht="14.25">
      <c r="A31" s="387">
        <f>[1]Gen!A36</f>
        <v>43764</v>
      </c>
      <c r="B31" s="6">
        <f>'Summery Report'!E30</f>
        <v>42</v>
      </c>
      <c r="C31" s="6">
        <f>'Daily report Gen'!AA31</f>
        <v>471</v>
      </c>
      <c r="D31" s="184">
        <f>Gen!S36</f>
        <v>2470.2400000000002</v>
      </c>
      <c r="E31" s="184">
        <f>Gen!AJ36</f>
        <v>396.56</v>
      </c>
      <c r="F31" s="184">
        <f>Gen!AR36</f>
        <v>2866.8</v>
      </c>
      <c r="G31" s="187">
        <f>'Utility report '!AC31</f>
        <v>116</v>
      </c>
      <c r="H31" s="187">
        <f>'Utility report '!AE31</f>
        <v>46</v>
      </c>
      <c r="I31" s="699">
        <f>'Water-Meter'!E31</f>
        <v>130</v>
      </c>
      <c r="J31" s="189">
        <f>'Lpg (2)'!B35</f>
        <v>81</v>
      </c>
      <c r="K31" s="189">
        <f>'Lpg (2)'!C35</f>
        <v>85</v>
      </c>
      <c r="L31" s="189">
        <f>'Lpg (2)'!D35</f>
        <v>85</v>
      </c>
      <c r="M31" s="672">
        <f>'Lpg (2)'!G35</f>
        <v>117.92000000001282</v>
      </c>
      <c r="N31" s="192">
        <f t="shared" si="2"/>
        <v>3458.3360000000002</v>
      </c>
      <c r="O31" s="192">
        <f t="shared" si="2"/>
        <v>555.18399999999997</v>
      </c>
      <c r="P31" s="179" t="e">
        <f>'[1]Lpg (2)'!#REF!</f>
        <v>#REF!</v>
      </c>
      <c r="Q31" s="180" t="e">
        <f>'[1]Summery Report'!#REF!</f>
        <v>#REF!</v>
      </c>
      <c r="R31" s="192">
        <f t="shared" si="0"/>
        <v>82.341333333333338</v>
      </c>
      <c r="S31" s="85" t="e">
        <f t="shared" si="1"/>
        <v>#REF!</v>
      </c>
    </row>
    <row r="32" spans="1:19" ht="14.25">
      <c r="A32" s="387">
        <f>[1]Gen!A37</f>
        <v>43765</v>
      </c>
      <c r="B32" s="6">
        <f>'Summery Report'!E31</f>
        <v>52</v>
      </c>
      <c r="C32" s="6">
        <f>'Daily report Gen'!AA32</f>
        <v>481</v>
      </c>
      <c r="D32" s="184">
        <f>Gen!S37</f>
        <v>2323.7399999999998</v>
      </c>
      <c r="E32" s="184">
        <f>Gen!AJ37</f>
        <v>280.63</v>
      </c>
      <c r="F32" s="184">
        <f>Gen!AR37</f>
        <v>2604.37</v>
      </c>
      <c r="G32" s="187">
        <f>'Utility report '!AC32</f>
        <v>117</v>
      </c>
      <c r="H32" s="187">
        <f>'Utility report '!AE32</f>
        <v>30</v>
      </c>
      <c r="I32" s="699">
        <f>'Water-Meter'!E32</f>
        <v>114</v>
      </c>
      <c r="J32" s="189">
        <f>'Lpg (2)'!B36</f>
        <v>80</v>
      </c>
      <c r="K32" s="189">
        <f>'Lpg (2)'!C36</f>
        <v>85</v>
      </c>
      <c r="L32" s="189">
        <f>'Lpg (2)'!D36</f>
        <v>85</v>
      </c>
      <c r="M32" s="672">
        <f>'Lpg (2)'!G36</f>
        <v>115.2799999999872</v>
      </c>
      <c r="N32" s="192">
        <f t="shared" si="2"/>
        <v>3253.2359999999994</v>
      </c>
      <c r="O32" s="192">
        <f t="shared" si="2"/>
        <v>392.88199999999995</v>
      </c>
      <c r="P32" s="179" t="e">
        <f>'[1]Lpg (2)'!#REF!</f>
        <v>#REF!</v>
      </c>
      <c r="Q32" s="180" t="e">
        <f>'[1]Summery Report'!#REF!</f>
        <v>#REF!</v>
      </c>
      <c r="R32" s="192">
        <f t="shared" si="0"/>
        <v>62.562230769230759</v>
      </c>
      <c r="S32" s="85" t="e">
        <f t="shared" si="1"/>
        <v>#REF!</v>
      </c>
    </row>
    <row r="33" spans="1:20" ht="14.25">
      <c r="A33" s="387">
        <f>[1]Gen!A38</f>
        <v>43766</v>
      </c>
      <c r="B33" s="6">
        <f>'Summery Report'!E32</f>
        <v>21</v>
      </c>
      <c r="C33" s="6">
        <f>'Daily report Gen'!AA33</f>
        <v>478</v>
      </c>
      <c r="D33" s="184">
        <f>Gen!S38</f>
        <v>2031.83</v>
      </c>
      <c r="E33" s="184">
        <f>Gen!AJ38</f>
        <v>676.29</v>
      </c>
      <c r="F33" s="184">
        <f>Gen!AR38</f>
        <v>2708.12</v>
      </c>
      <c r="G33" s="187">
        <f>'Utility report '!AC33</f>
        <v>118</v>
      </c>
      <c r="H33" s="187">
        <f>'Utility report '!AE33</f>
        <v>44</v>
      </c>
      <c r="I33" s="699">
        <f>'Water-Meter'!E33</f>
        <v>111</v>
      </c>
      <c r="J33" s="189">
        <f>'Lpg (2)'!B37</f>
        <v>78</v>
      </c>
      <c r="K33" s="189">
        <f>'Lpg (2)'!C37</f>
        <v>85</v>
      </c>
      <c r="L33" s="189">
        <f>'Lpg (2)'!D37</f>
        <v>85</v>
      </c>
      <c r="M33" s="672">
        <f>'Lpg (2)'!G37</f>
        <v>110.44000000002562</v>
      </c>
      <c r="N33" s="192">
        <f t="shared" si="2"/>
        <v>2844.5619999999999</v>
      </c>
      <c r="O33" s="192">
        <f t="shared" si="2"/>
        <v>946.80599999999993</v>
      </c>
      <c r="P33" s="179" t="e">
        <f>'[1]Lpg (2)'!#REF!</f>
        <v>#REF!</v>
      </c>
      <c r="Q33" s="180" t="e">
        <f>'[1]Summery Report'!#REF!</f>
        <v>#REF!</v>
      </c>
      <c r="R33" s="192">
        <f t="shared" si="0"/>
        <v>135.45533333333333</v>
      </c>
      <c r="S33" s="85" t="e">
        <f t="shared" si="1"/>
        <v>#REF!</v>
      </c>
      <c r="T33">
        <f>3124/13</f>
        <v>240.30769230769232</v>
      </c>
    </row>
    <row r="34" spans="1:20" ht="14.25">
      <c r="A34" s="387">
        <f>[1]Gen!A39</f>
        <v>43767</v>
      </c>
      <c r="B34" s="6">
        <f>'Summery Report'!E33</f>
        <v>32</v>
      </c>
      <c r="C34" s="6">
        <f>'Daily report Gen'!AA34</f>
        <v>405</v>
      </c>
      <c r="D34" s="184">
        <f>Gen!S39</f>
        <v>2131.37</v>
      </c>
      <c r="E34" s="184">
        <f>Gen!AJ39</f>
        <v>120.7</v>
      </c>
      <c r="F34" s="184">
        <f>Gen!AR39</f>
        <v>2252.0699999999997</v>
      </c>
      <c r="G34" s="187">
        <f>'Utility report '!AC34</f>
        <v>116</v>
      </c>
      <c r="H34" s="187">
        <f>'Utility report '!AE34</f>
        <v>38</v>
      </c>
      <c r="I34" s="699">
        <f>'Water-Meter'!E34</f>
        <v>100</v>
      </c>
      <c r="J34" s="189">
        <f>'Lpg (2)'!B38</f>
        <v>77</v>
      </c>
      <c r="K34" s="189">
        <f>'Lpg (2)'!C38</f>
        <v>85</v>
      </c>
      <c r="L34" s="189">
        <f>'Lpg (2)'!D38</f>
        <v>85</v>
      </c>
      <c r="M34" s="672">
        <f>'Lpg (2)'!G38</f>
        <v>109.55999999997439</v>
      </c>
      <c r="N34" s="192">
        <f t="shared" si="2"/>
        <v>2983.9179999999997</v>
      </c>
      <c r="O34" s="192">
        <f t="shared" si="2"/>
        <v>168.98</v>
      </c>
      <c r="P34" s="179" t="e">
        <f>'[1]Lpg (2)'!#REF!</f>
        <v>#REF!</v>
      </c>
      <c r="Q34" s="180" t="e">
        <f>'[1]Summery Report'!#REF!</f>
        <v>#REF!</v>
      </c>
      <c r="R34" s="192">
        <f t="shared" si="0"/>
        <v>93.24743749999999</v>
      </c>
      <c r="S34" s="85" t="e">
        <f t="shared" si="1"/>
        <v>#REF!</v>
      </c>
    </row>
    <row r="35" spans="1:20" ht="14.25">
      <c r="A35" s="387">
        <f>[1]Gen!A40</f>
        <v>43768</v>
      </c>
      <c r="B35" s="6">
        <f>'Summery Report'!E34</f>
        <v>32</v>
      </c>
      <c r="C35" s="6">
        <f>'Daily report Gen'!AA35</f>
        <v>417</v>
      </c>
      <c r="D35" s="184">
        <f>Gen!S40</f>
        <v>2033.74</v>
      </c>
      <c r="E35" s="184">
        <f>Gen!AJ40</f>
        <v>25.52</v>
      </c>
      <c r="F35" s="184">
        <f>Gen!AR40</f>
        <v>2059.2600000000002</v>
      </c>
      <c r="G35" s="187">
        <f>'Utility report '!AC35</f>
        <v>122</v>
      </c>
      <c r="H35" s="187">
        <f>'Utility report '!AE35</f>
        <v>31</v>
      </c>
      <c r="I35" s="699">
        <f>'Water-Meter'!E35</f>
        <v>99</v>
      </c>
      <c r="J35" s="189">
        <f>'Lpg (2)'!B39</f>
        <v>76</v>
      </c>
      <c r="K35" s="189">
        <f>'Lpg (2)'!C39</f>
        <v>85</v>
      </c>
      <c r="L35" s="189">
        <f>'Lpg (2)'!D39</f>
        <v>85</v>
      </c>
      <c r="M35" s="672">
        <f>'Lpg (2)'!G39</f>
        <v>106.92000000001282</v>
      </c>
      <c r="N35" s="192">
        <f t="shared" si="2"/>
        <v>2847.2359999999999</v>
      </c>
      <c r="O35" s="192">
        <f t="shared" si="2"/>
        <v>35.727999999999994</v>
      </c>
      <c r="P35" s="179" t="e">
        <f>'[1]Lpg (2)'!#REF!</f>
        <v>#REF!</v>
      </c>
      <c r="Q35" s="180" t="e">
        <f>'[1]Summery Report'!#REF!</f>
        <v>#REF!</v>
      </c>
      <c r="R35" s="192">
        <f t="shared" si="0"/>
        <v>88.976124999999996</v>
      </c>
      <c r="S35" s="85" t="e">
        <f t="shared" si="1"/>
        <v>#REF!</v>
      </c>
    </row>
    <row r="36" spans="1:20" ht="14.25">
      <c r="A36" s="387">
        <f>[1]Gen!A41</f>
        <v>43769</v>
      </c>
      <c r="B36" s="6">
        <f>'Summery Report'!E35</f>
        <v>25</v>
      </c>
      <c r="C36" s="6">
        <f>'Daily report Gen'!AA36</f>
        <v>430</v>
      </c>
      <c r="D36" s="184">
        <f>Gen!S41</f>
        <v>2126.42</v>
      </c>
      <c r="E36" s="184">
        <f>Gen!AJ41</f>
        <v>533.66</v>
      </c>
      <c r="F36" s="184">
        <f>Gen!AR41</f>
        <v>2660.08</v>
      </c>
      <c r="G36" s="187">
        <f>'Utility report '!AC36</f>
        <v>45</v>
      </c>
      <c r="H36" s="187">
        <f>'Utility report '!AE36</f>
        <v>30</v>
      </c>
      <c r="I36" s="699">
        <f>'Water-Meter'!E36</f>
        <v>111</v>
      </c>
      <c r="J36" s="189">
        <f>'Lpg (2)'!B40</f>
        <v>75</v>
      </c>
      <c r="K36" s="189">
        <f>'Lpg (2)'!C40</f>
        <v>85</v>
      </c>
      <c r="L36" s="189">
        <f>'Lpg (2)'!D40</f>
        <v>85</v>
      </c>
      <c r="M36" s="672">
        <f>'Lpg (2)'!G40</f>
        <v>119.6799999999872</v>
      </c>
      <c r="N36" s="192">
        <f t="shared" si="2"/>
        <v>2976.9879999999998</v>
      </c>
      <c r="O36" s="192">
        <f t="shared" si="2"/>
        <v>747.12399999999991</v>
      </c>
      <c r="P36" s="179" t="e">
        <f>'[1]Lpg (2)'!#REF!</f>
        <v>#REF!</v>
      </c>
      <c r="Q36" s="180" t="e">
        <f>'[1]Summery Report'!#REF!</f>
        <v>#REF!</v>
      </c>
      <c r="R36" s="192">
        <f t="shared" si="0"/>
        <v>119.07951999999999</v>
      </c>
      <c r="S36" s="85" t="e">
        <f t="shared" si="1"/>
        <v>#REF!</v>
      </c>
    </row>
    <row r="37" spans="1:20" ht="14.25">
      <c r="A37" s="387" t="e">
        <f>[1]Gen!A42</f>
        <v>#REF!</v>
      </c>
      <c r="B37" s="6">
        <f>'Summery Report'!E36</f>
        <v>0</v>
      </c>
      <c r="C37" s="6"/>
      <c r="D37" s="184">
        <f>Gen!S42</f>
        <v>0</v>
      </c>
      <c r="E37" s="184">
        <f>Gen!AJ42</f>
        <v>0</v>
      </c>
      <c r="F37" s="184">
        <f>Gen!AR42</f>
        <v>0</v>
      </c>
      <c r="G37" s="187">
        <f>'Utility report '!AC37</f>
        <v>-15088</v>
      </c>
      <c r="H37" s="187">
        <f>'Utility report '!AE37</f>
        <v>-190819</v>
      </c>
      <c r="I37" s="187"/>
      <c r="J37" s="189">
        <f>'Lpg (2)'!B41</f>
        <v>0</v>
      </c>
      <c r="K37" s="189">
        <f>'Lpg (2)'!C41</f>
        <v>0</v>
      </c>
      <c r="L37" s="189">
        <f>'Lpg (2)'!D41</f>
        <v>0</v>
      </c>
      <c r="M37" s="672">
        <f>'Lpg (2)'!G41</f>
        <v>-296060.15999999997</v>
      </c>
      <c r="N37" s="6"/>
      <c r="O37" s="6"/>
      <c r="P37" s="6"/>
      <c r="Q37" s="180" t="e">
        <f>'[1]Summery Report'!#REF!</f>
        <v>#REF!</v>
      </c>
      <c r="R37" s="180"/>
      <c r="S37" s="85" t="e">
        <f t="shared" si="1"/>
        <v>#REF!</v>
      </c>
    </row>
    <row r="38" spans="1:20" ht="14.25">
      <c r="A38" s="387"/>
    </row>
    <row r="39" spans="1:20">
      <c r="A39" t="s">
        <v>13</v>
      </c>
      <c r="B39" s="85">
        <f>SUM(B7:B37)</f>
        <v>1057</v>
      </c>
      <c r="C39" s="85">
        <f>SUM(C7:C35)</f>
        <v>13820</v>
      </c>
      <c r="D39" s="85">
        <f>SUM(D7:D35)</f>
        <v>67600.34</v>
      </c>
      <c r="E39" s="85">
        <f t="shared" ref="E39:S39" si="3">SUM(E7:E35)</f>
        <v>5969.0600000000013</v>
      </c>
      <c r="F39" s="85">
        <f t="shared" si="3"/>
        <v>73569.400000000009</v>
      </c>
      <c r="G39" s="85">
        <f t="shared" si="3"/>
        <v>2744</v>
      </c>
      <c r="H39" s="85">
        <f t="shared" si="3"/>
        <v>1201</v>
      </c>
      <c r="I39" s="85">
        <f t="shared" si="3"/>
        <v>3340</v>
      </c>
      <c r="J39" s="85">
        <f t="shared" si="3"/>
        <v>2425</v>
      </c>
      <c r="K39" s="85">
        <f t="shared" si="3"/>
        <v>997</v>
      </c>
      <c r="L39" s="85">
        <f t="shared" si="3"/>
        <v>2045</v>
      </c>
      <c r="M39" s="85">
        <f t="shared" si="3"/>
        <v>3237.4759999999724</v>
      </c>
      <c r="N39" s="85">
        <f t="shared" si="3"/>
        <v>94640.475999999995</v>
      </c>
      <c r="O39" s="85">
        <f t="shared" si="3"/>
        <v>8356.6839999999975</v>
      </c>
      <c r="P39" s="85" t="e">
        <f t="shared" si="3"/>
        <v>#REF!</v>
      </c>
      <c r="Q39" s="85" t="e">
        <f t="shared" si="3"/>
        <v>#REF!</v>
      </c>
      <c r="R39" s="85">
        <f t="shared" si="3"/>
        <v>3543.5729084944232</v>
      </c>
      <c r="S39" s="85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G3" zoomScale="85" zoomScaleNormal="85" workbookViewId="0">
      <selection activeCell="M38" sqref="M3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0.28515625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15" t="s">
        <v>261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  <c r="Y1" s="716"/>
      <c r="Z1" s="716"/>
      <c r="AA1" s="716"/>
      <c r="AB1" s="716"/>
      <c r="AC1" s="716"/>
      <c r="AD1" s="716"/>
      <c r="AE1" s="716"/>
      <c r="AF1" s="716"/>
      <c r="AG1" s="716"/>
      <c r="AH1" s="716"/>
      <c r="AI1" s="716"/>
      <c r="AJ1" s="716"/>
      <c r="AK1" s="717"/>
    </row>
    <row r="2" spans="1:37" ht="61.5" customHeight="1" thickBot="1">
      <c r="A2" s="151" t="s">
        <v>100</v>
      </c>
      <c r="B2" s="718" t="s">
        <v>101</v>
      </c>
      <c r="C2" s="719"/>
      <c r="D2" s="720"/>
      <c r="E2" s="152"/>
      <c r="F2" s="152"/>
      <c r="G2" s="152"/>
      <c r="H2" s="149" t="s">
        <v>126</v>
      </c>
      <c r="I2" s="394" t="s">
        <v>102</v>
      </c>
      <c r="J2" s="723" t="s">
        <v>124</v>
      </c>
      <c r="K2" s="619"/>
      <c r="L2" s="725" t="s">
        <v>125</v>
      </c>
      <c r="M2" s="618" t="s">
        <v>103</v>
      </c>
      <c r="N2" s="723" t="s">
        <v>104</v>
      </c>
      <c r="O2" s="707" t="s">
        <v>105</v>
      </c>
      <c r="P2" s="708"/>
      <c r="Q2" s="708"/>
      <c r="R2" s="708"/>
      <c r="S2" s="708"/>
      <c r="T2" s="708"/>
      <c r="U2" s="708"/>
      <c r="V2" s="708"/>
      <c r="W2" s="708"/>
      <c r="X2" s="708"/>
      <c r="Y2" s="708"/>
      <c r="Z2" s="708"/>
      <c r="AA2" s="395" t="s">
        <v>106</v>
      </c>
      <c r="AB2" s="718" t="s">
        <v>168</v>
      </c>
      <c r="AC2" s="720"/>
      <c r="AD2" s="148">
        <v>0</v>
      </c>
      <c r="AE2" s="596"/>
      <c r="AF2" s="153" t="s">
        <v>107</v>
      </c>
      <c r="AG2" s="149" t="s">
        <v>108</v>
      </c>
      <c r="AH2" s="153" t="s">
        <v>109</v>
      </c>
      <c r="AI2" s="149" t="s">
        <v>110</v>
      </c>
      <c r="AJ2" s="150" t="s">
        <v>111</v>
      </c>
      <c r="AK2" s="149" t="s">
        <v>112</v>
      </c>
    </row>
    <row r="3" spans="1:37" ht="44.25" customHeight="1" thickBot="1">
      <c r="A3" s="157" t="s">
        <v>127</v>
      </c>
      <c r="B3" s="158">
        <v>1640</v>
      </c>
      <c r="C3" s="156" t="s">
        <v>128</v>
      </c>
      <c r="D3" s="158">
        <v>2175</v>
      </c>
      <c r="E3" s="159"/>
      <c r="F3" s="721">
        <f>SUM(D3/B3)</f>
        <v>1.3262195121951219</v>
      </c>
      <c r="G3" s="722"/>
      <c r="H3" s="132">
        <f>SUM([1]Gen!C9)</f>
        <v>35806.650000000031</v>
      </c>
      <c r="I3" s="142"/>
      <c r="J3" s="723"/>
      <c r="K3" s="619" t="s">
        <v>169</v>
      </c>
      <c r="L3" s="725"/>
      <c r="M3" s="396" t="s">
        <v>113</v>
      </c>
      <c r="N3" s="723"/>
      <c r="O3" s="707" t="s">
        <v>114</v>
      </c>
      <c r="P3" s="708"/>
      <c r="Q3" s="708"/>
      <c r="R3" s="708"/>
      <c r="S3" s="709" t="s">
        <v>115</v>
      </c>
      <c r="T3" s="710"/>
      <c r="U3" s="710"/>
      <c r="V3" s="711"/>
      <c r="W3" s="712" t="s">
        <v>116</v>
      </c>
      <c r="X3" s="713"/>
      <c r="Y3" s="713"/>
      <c r="Z3" s="714"/>
      <c r="AA3" s="397" t="s">
        <v>117</v>
      </c>
      <c r="AB3" s="131" t="s">
        <v>113</v>
      </c>
      <c r="AC3" s="131" t="s">
        <v>118</v>
      </c>
      <c r="AD3" s="131">
        <v>0</v>
      </c>
      <c r="AE3" s="131" t="s">
        <v>118</v>
      </c>
      <c r="AF3" s="133" t="s">
        <v>119</v>
      </c>
      <c r="AG3" s="134" t="s">
        <v>119</v>
      </c>
      <c r="AH3" s="135" t="s">
        <v>119</v>
      </c>
      <c r="AI3" s="136" t="s">
        <v>120</v>
      </c>
      <c r="AJ3" s="137" t="s">
        <v>117</v>
      </c>
      <c r="AK3" s="138" t="s">
        <v>117</v>
      </c>
    </row>
    <row r="4" spans="1:37" ht="75.75" thickBot="1">
      <c r="A4" s="227"/>
      <c r="B4" s="228" t="s">
        <v>132</v>
      </c>
      <c r="C4" s="229" t="s">
        <v>1</v>
      </c>
      <c r="D4" s="230" t="s">
        <v>129</v>
      </c>
      <c r="E4" s="231"/>
      <c r="F4" s="231" t="s">
        <v>130</v>
      </c>
      <c r="G4" s="231" t="s">
        <v>131</v>
      </c>
      <c r="H4" s="232"/>
      <c r="I4" s="232"/>
      <c r="J4" s="723"/>
      <c r="K4" s="619"/>
      <c r="L4" s="725"/>
      <c r="M4" s="144"/>
      <c r="N4" s="724"/>
      <c r="O4" s="398" t="s">
        <v>177</v>
      </c>
      <c r="P4" s="399" t="s">
        <v>175</v>
      </c>
      <c r="Q4" s="399" t="s">
        <v>122</v>
      </c>
      <c r="R4" s="230" t="s">
        <v>176</v>
      </c>
      <c r="S4" s="398" t="s">
        <v>177</v>
      </c>
      <c r="T4" s="399" t="s">
        <v>175</v>
      </c>
      <c r="U4" s="399" t="s">
        <v>122</v>
      </c>
      <c r="V4" s="230" t="s">
        <v>176</v>
      </c>
      <c r="W4" s="398" t="s">
        <v>177</v>
      </c>
      <c r="X4" s="400"/>
      <c r="Y4" s="400" t="s">
        <v>122</v>
      </c>
      <c r="Z4" s="399" t="s">
        <v>176</v>
      </c>
      <c r="AA4" s="401" t="s">
        <v>121</v>
      </c>
      <c r="AB4" s="248"/>
      <c r="AC4" s="238" t="s">
        <v>121</v>
      </c>
      <c r="AD4" s="248"/>
      <c r="AE4" s="238" t="s">
        <v>121</v>
      </c>
      <c r="AF4" s="239">
        <v>2000</v>
      </c>
      <c r="AG4" s="240">
        <v>1000</v>
      </c>
      <c r="AH4" s="241">
        <v>1000</v>
      </c>
      <c r="AI4" s="242">
        <f>SUM([2]Sheet1!$AA$36)</f>
        <v>950</v>
      </c>
      <c r="AJ4" s="243" t="s">
        <v>10</v>
      </c>
      <c r="AK4" s="242" t="s">
        <v>121</v>
      </c>
    </row>
    <row r="5" spans="1:37" ht="16.5" thickBot="1">
      <c r="A5" s="233"/>
      <c r="B5" s="234"/>
      <c r="C5" s="235"/>
      <c r="D5" s="234"/>
      <c r="E5" s="234"/>
      <c r="F5" s="234"/>
      <c r="G5" s="234"/>
      <c r="H5" s="236"/>
      <c r="I5" s="236"/>
      <c r="J5" s="237"/>
      <c r="K5" s="237"/>
      <c r="L5" s="237"/>
      <c r="M5" s="144"/>
      <c r="N5" s="237"/>
      <c r="O5" s="237"/>
      <c r="P5" s="237">
        <v>18502</v>
      </c>
      <c r="Q5" s="76"/>
      <c r="R5" s="237"/>
      <c r="S5" s="237"/>
      <c r="T5" s="415">
        <v>15719</v>
      </c>
      <c r="U5" s="237"/>
      <c r="V5" s="237"/>
      <c r="W5" s="237"/>
      <c r="X5" s="569">
        <v>20670</v>
      </c>
      <c r="Y5" s="237"/>
      <c r="Z5" s="237"/>
      <c r="AA5" s="237"/>
      <c r="AB5" s="556">
        <v>12273</v>
      </c>
      <c r="AC5" s="139"/>
      <c r="AD5" s="237">
        <v>189547</v>
      </c>
      <c r="AE5" s="233"/>
      <c r="AF5" s="247">
        <v>0.85</v>
      </c>
      <c r="AG5" s="247">
        <v>0.85</v>
      </c>
      <c r="AH5" s="247">
        <v>0.85</v>
      </c>
      <c r="AI5" s="237"/>
      <c r="AJ5" s="237"/>
      <c r="AK5" s="237"/>
    </row>
    <row r="6" spans="1:37" ht="18" thickBot="1">
      <c r="A6" s="95">
        <f>[1]Gen!A11</f>
        <v>43739</v>
      </c>
      <c r="B6" s="643">
        <f>'Summery Report'!E5</f>
        <v>48</v>
      </c>
      <c r="C6" s="160">
        <f>Gen!B11</f>
        <v>0.623</v>
      </c>
      <c r="D6" s="644">
        <f>'Summery Report'!D5</f>
        <v>48</v>
      </c>
      <c r="E6" s="645">
        <f>SUM(F3)</f>
        <v>1.3262195121951219</v>
      </c>
      <c r="F6" s="646">
        <f>SUM(J6*E6)/D6</f>
        <v>60.218102134146328</v>
      </c>
      <c r="G6" s="646">
        <f t="shared" ref="G6:G36" si="0">SUM(L6*E6)/D6</f>
        <v>65.834641768292656</v>
      </c>
      <c r="H6" s="645">
        <f>SUM([1]Gen!C11)</f>
        <v>47806.650000000031</v>
      </c>
      <c r="I6" s="647">
        <f>Gen!D11</f>
        <v>12000</v>
      </c>
      <c r="J6" s="143">
        <f>Gen!S11</f>
        <v>2179.4799999999996</v>
      </c>
      <c r="K6" s="143">
        <f>Gen!AJ11</f>
        <v>203.27999999999997</v>
      </c>
      <c r="L6" s="143">
        <f t="shared" ref="L6:L37" si="1">SUM(J6:K6)</f>
        <v>2382.7599999999993</v>
      </c>
      <c r="M6" s="701">
        <f>'Water-Meter'!K46</f>
        <v>531.25470394505828</v>
      </c>
      <c r="N6" s="226"/>
      <c r="O6" s="237"/>
      <c r="P6" s="237">
        <v>18502</v>
      </c>
      <c r="Q6" s="648">
        <f t="shared" ref="Q6:Q36" si="2">SUM(P6-P5)</f>
        <v>0</v>
      </c>
      <c r="R6" s="649">
        <f>SUM(Q6*O6)</f>
        <v>0</v>
      </c>
      <c r="S6" s="237">
        <v>4.7</v>
      </c>
      <c r="T6" s="415">
        <v>15719</v>
      </c>
      <c r="U6" s="648">
        <f>T6-T5</f>
        <v>0</v>
      </c>
      <c r="V6" s="650" t="s">
        <v>252</v>
      </c>
      <c r="W6" s="237">
        <v>5</v>
      </c>
      <c r="X6" s="569">
        <v>20685</v>
      </c>
      <c r="Y6" s="648">
        <f>X6-X5</f>
        <v>15</v>
      </c>
      <c r="Z6" s="648">
        <f t="shared" ref="Z6:AA6" si="3">Y6-Y5</f>
        <v>15</v>
      </c>
      <c r="AA6" s="648">
        <f t="shared" si="3"/>
        <v>15</v>
      </c>
      <c r="AB6" s="556">
        <v>12299</v>
      </c>
      <c r="AC6" s="139">
        <f>AB6-AB5</f>
        <v>26</v>
      </c>
      <c r="AD6" s="237">
        <v>189588</v>
      </c>
      <c r="AE6" s="244">
        <f>AD6-AD5</f>
        <v>41</v>
      </c>
      <c r="AF6" s="366">
        <f>'Lpg (2)'!B10*2000/85</f>
        <v>2000</v>
      </c>
      <c r="AG6" s="367">
        <f>'Lpg (2)'!C10*1000/85</f>
        <v>482.35294117647061</v>
      </c>
      <c r="AH6" s="368">
        <f>'Lpg (2)'!D10*1000/85</f>
        <v>1000</v>
      </c>
      <c r="AI6" s="651">
        <f>SUM(AF6*2000)+(AG6*1000)+(AH6*1000)</f>
        <v>5482352.9411764704</v>
      </c>
      <c r="AJ6" s="652">
        <f t="shared" ref="AJ6:AJ36" si="4">SUM(AI5-AI6)</f>
        <v>-5482352.9411764704</v>
      </c>
      <c r="AK6" s="245"/>
    </row>
    <row r="7" spans="1:37" ht="18" thickBot="1">
      <c r="A7" s="95">
        <f>[1]Gen!A12</f>
        <v>43740</v>
      </c>
      <c r="B7" s="643">
        <f>'Summery Report'!E6</f>
        <v>62</v>
      </c>
      <c r="C7" s="160">
        <f>Gen!B12</f>
        <v>0.77900000000000003</v>
      </c>
      <c r="D7" s="644">
        <f>'Summery Report'!D6</f>
        <v>62</v>
      </c>
      <c r="E7" s="645">
        <f>SUM(E6)</f>
        <v>1.3262195121951219</v>
      </c>
      <c r="F7" s="646">
        <f t="shared" ref="F7:F36" si="5">SUM(J7*E7)/D7</f>
        <v>52.895837431156572</v>
      </c>
      <c r="G7" s="646">
        <f t="shared" si="0"/>
        <v>53.568572974036186</v>
      </c>
      <c r="H7" s="645">
        <f>Gen!C12</f>
        <v>45423.890000000029</v>
      </c>
      <c r="I7" s="647">
        <f>Gen!D12</f>
        <v>0</v>
      </c>
      <c r="J7" s="143">
        <f>Gen!S12</f>
        <v>2472.85</v>
      </c>
      <c r="K7" s="143">
        <f>Gen!AJ12</f>
        <v>31.450000000000003</v>
      </c>
      <c r="L7" s="143">
        <f t="shared" si="1"/>
        <v>2504.2999999999997</v>
      </c>
      <c r="M7" s="701">
        <f>'Water-Meter'!K47</f>
        <v>535.45450340226057</v>
      </c>
      <c r="N7" s="226"/>
      <c r="O7" s="237"/>
      <c r="P7" s="237">
        <v>18502</v>
      </c>
      <c r="Q7" s="648">
        <f t="shared" si="2"/>
        <v>0</v>
      </c>
      <c r="R7" s="649">
        <f t="shared" ref="R7:R36" si="6">SUM(Q7*O7)</f>
        <v>0</v>
      </c>
      <c r="S7" s="237">
        <v>4.7</v>
      </c>
      <c r="T7" s="415">
        <v>15719</v>
      </c>
      <c r="U7" s="648">
        <f t="shared" ref="U7:U36" si="7">T7-T6</f>
        <v>0</v>
      </c>
      <c r="V7" s="650">
        <f t="shared" ref="V7:V9" si="8">SUM(U7*S7)</f>
        <v>0</v>
      </c>
      <c r="W7" s="237"/>
      <c r="X7" s="569">
        <v>20709</v>
      </c>
      <c r="Y7" s="648">
        <f t="shared" ref="Y7:Y36" si="9">X7-X6</f>
        <v>24</v>
      </c>
      <c r="Z7" s="650">
        <f t="shared" ref="Z7:Z36" si="10">SUM(Y7*W7)</f>
        <v>0</v>
      </c>
      <c r="AA7" s="650">
        <f t="shared" ref="AA7:AA36" si="11">SUM(Z7*X9)</f>
        <v>0</v>
      </c>
      <c r="AB7" s="556">
        <v>12476</v>
      </c>
      <c r="AC7" s="139">
        <f t="shared" ref="AC7:AC27" si="12">AB7-AB6</f>
        <v>177</v>
      </c>
      <c r="AD7" s="237">
        <v>189632</v>
      </c>
      <c r="AE7" s="244">
        <f>AD7-AD6</f>
        <v>44</v>
      </c>
      <c r="AF7" s="366">
        <f>'Lpg (2)'!B11*2000/85</f>
        <v>2000</v>
      </c>
      <c r="AG7" s="367">
        <f>'Lpg (2)'!C11*1000/85</f>
        <v>447.05882352941177</v>
      </c>
      <c r="AH7" s="368">
        <f>'Lpg (2)'!D11*1000/85</f>
        <v>1000</v>
      </c>
      <c r="AI7" s="653">
        <f t="shared" ref="AI7:AI14" si="13">SUM(AF6*2000)+(AG7*1000)+(AH7*1000)</f>
        <v>5447058.823529412</v>
      </c>
      <c r="AJ7" s="652">
        <f t="shared" si="4"/>
        <v>35294.11764705833</v>
      </c>
      <c r="AK7" s="145"/>
    </row>
    <row r="8" spans="1:37" ht="18" thickBot="1">
      <c r="A8" s="95">
        <f>[1]Gen!A13</f>
        <v>43741</v>
      </c>
      <c r="B8" s="643">
        <f>'Summery Report'!E7</f>
        <v>41</v>
      </c>
      <c r="C8" s="160">
        <f>Gen!B13</f>
        <v>0.53200000000000003</v>
      </c>
      <c r="D8" s="644">
        <f>'Summery Report'!D7</f>
        <v>41</v>
      </c>
      <c r="E8" s="645">
        <f t="shared" ref="E8:E36" si="14">SUM(E7)</f>
        <v>1.3262195121951219</v>
      </c>
      <c r="F8" s="646">
        <f t="shared" si="5"/>
        <v>82.626386823319464</v>
      </c>
      <c r="G8" s="646">
        <f t="shared" si="0"/>
        <v>86.063559637120775</v>
      </c>
      <c r="H8" s="645">
        <f>Gen!C13</f>
        <v>42919.590000000026</v>
      </c>
      <c r="I8" s="647">
        <f>Gen!D13</f>
        <v>0</v>
      </c>
      <c r="J8" s="143">
        <f>Gen!S13</f>
        <v>2554.3900000000003</v>
      </c>
      <c r="K8" s="143">
        <f>Gen!AJ13</f>
        <v>106.26</v>
      </c>
      <c r="L8" s="143">
        <f t="shared" si="1"/>
        <v>2660.6500000000005</v>
      </c>
      <c r="M8" s="701">
        <f>'Water-Meter'!K48</f>
        <v>481.86558648160326</v>
      </c>
      <c r="N8" s="226"/>
      <c r="O8" s="237"/>
      <c r="P8" s="237">
        <v>18502</v>
      </c>
      <c r="Q8" s="648">
        <f t="shared" si="2"/>
        <v>0</v>
      </c>
      <c r="R8" s="649">
        <f t="shared" si="6"/>
        <v>0</v>
      </c>
      <c r="S8" s="237">
        <v>4.7</v>
      </c>
      <c r="T8" s="415">
        <v>15719</v>
      </c>
      <c r="U8" s="648">
        <f t="shared" si="7"/>
        <v>0</v>
      </c>
      <c r="V8" s="650">
        <f t="shared" si="8"/>
        <v>0</v>
      </c>
      <c r="W8" s="237"/>
      <c r="X8" s="569">
        <v>20734</v>
      </c>
      <c r="Y8" s="648">
        <f t="shared" si="9"/>
        <v>25</v>
      </c>
      <c r="Z8" s="650">
        <f t="shared" si="10"/>
        <v>0</v>
      </c>
      <c r="AA8" s="650">
        <f t="shared" si="11"/>
        <v>0</v>
      </c>
      <c r="AB8" s="556">
        <v>12604</v>
      </c>
      <c r="AC8" s="139">
        <f t="shared" si="12"/>
        <v>128</v>
      </c>
      <c r="AD8" s="237">
        <v>189673</v>
      </c>
      <c r="AE8" s="244">
        <f t="shared" ref="AE8:AE37" si="15">AD8-AD7</f>
        <v>41</v>
      </c>
      <c r="AF8" s="366">
        <f>'Lpg (2)'!B12*2000/85</f>
        <v>2000</v>
      </c>
      <c r="AG8" s="367">
        <f>'Lpg (2)'!C12*1000/85</f>
        <v>388.23529411764707</v>
      </c>
      <c r="AH8" s="368">
        <f>'Lpg (2)'!D12*1000/85</f>
        <v>1000</v>
      </c>
      <c r="AI8" s="653">
        <f t="shared" si="13"/>
        <v>5388235.2941176472</v>
      </c>
      <c r="AJ8" s="652">
        <f t="shared" si="4"/>
        <v>58823.529411764815</v>
      </c>
      <c r="AK8" s="145"/>
    </row>
    <row r="9" spans="1:37" ht="18" thickBot="1">
      <c r="A9" s="95">
        <f>[1]Gen!A14</f>
        <v>43742</v>
      </c>
      <c r="B9" s="643">
        <f>'Summery Report'!E8</f>
        <v>47</v>
      </c>
      <c r="C9" s="160">
        <f>Gen!B14</f>
        <v>0.61</v>
      </c>
      <c r="D9" s="644">
        <f>'Summery Report'!D8</f>
        <v>47</v>
      </c>
      <c r="E9" s="645">
        <f t="shared" si="14"/>
        <v>1.3262195121951219</v>
      </c>
      <c r="F9" s="646">
        <f t="shared" si="5"/>
        <v>68.890613648157753</v>
      </c>
      <c r="G9" s="646">
        <f t="shared" si="0"/>
        <v>77.138852490918524</v>
      </c>
      <c r="H9" s="645">
        <f>Gen!C14</f>
        <v>40258.940000000024</v>
      </c>
      <c r="I9" s="647">
        <f>Gen!D14</f>
        <v>0</v>
      </c>
      <c r="J9" s="143">
        <f>Gen!S14</f>
        <v>2441.42</v>
      </c>
      <c r="K9" s="143">
        <f>Gen!AJ14</f>
        <v>292.31</v>
      </c>
      <c r="L9" s="143">
        <f t="shared" si="1"/>
        <v>2733.73</v>
      </c>
      <c r="M9" s="701">
        <f>'Water-Meter'!K49</f>
        <v>437.09113825223699</v>
      </c>
      <c r="N9" s="226"/>
      <c r="O9" s="237"/>
      <c r="P9" s="237">
        <v>18502</v>
      </c>
      <c r="Q9" s="648">
        <f t="shared" si="2"/>
        <v>0</v>
      </c>
      <c r="R9" s="649">
        <f t="shared" si="6"/>
        <v>0</v>
      </c>
      <c r="S9" s="237">
        <v>4.7</v>
      </c>
      <c r="T9" s="415">
        <v>15719</v>
      </c>
      <c r="U9" s="648">
        <f t="shared" si="7"/>
        <v>0</v>
      </c>
      <c r="V9" s="650">
        <f t="shared" si="8"/>
        <v>0</v>
      </c>
      <c r="W9" s="237"/>
      <c r="X9" s="569">
        <v>20757</v>
      </c>
      <c r="Y9" s="648">
        <f t="shared" si="9"/>
        <v>23</v>
      </c>
      <c r="Z9" s="650">
        <f t="shared" si="10"/>
        <v>0</v>
      </c>
      <c r="AA9" s="650">
        <f t="shared" si="11"/>
        <v>0</v>
      </c>
      <c r="AB9" s="556">
        <v>12719</v>
      </c>
      <c r="AC9" s="139">
        <f t="shared" si="12"/>
        <v>115</v>
      </c>
      <c r="AD9" s="237">
        <v>189742</v>
      </c>
      <c r="AE9" s="244">
        <f t="shared" si="15"/>
        <v>69</v>
      </c>
      <c r="AF9" s="366">
        <f>'Lpg (2)'!B13*2000/85</f>
        <v>2000</v>
      </c>
      <c r="AG9" s="367">
        <f>'Lpg (2)'!C13*1000/85</f>
        <v>341.1764705882353</v>
      </c>
      <c r="AH9" s="368">
        <f>'Lpg (2)'!D13*1000/85</f>
        <v>1000</v>
      </c>
      <c r="AI9" s="653">
        <f t="shared" si="13"/>
        <v>5341176.4705882352</v>
      </c>
      <c r="AJ9" s="652">
        <f t="shared" si="4"/>
        <v>47058.823529412039</v>
      </c>
      <c r="AK9" s="145"/>
    </row>
    <row r="10" spans="1:37" ht="18" thickBot="1">
      <c r="A10" s="95">
        <f>[1]Gen!A15</f>
        <v>43743</v>
      </c>
      <c r="B10" s="643">
        <f>'Summery Report'!E9</f>
        <v>53</v>
      </c>
      <c r="C10" s="160">
        <f>Gen!B15</f>
        <v>0.68799999999999994</v>
      </c>
      <c r="D10" s="644">
        <f>'Summery Report'!D9</f>
        <v>53</v>
      </c>
      <c r="E10" s="645">
        <f t="shared" si="14"/>
        <v>1.3262195121951219</v>
      </c>
      <c r="F10" s="646">
        <f t="shared" si="5"/>
        <v>58.512804878048769</v>
      </c>
      <c r="G10" s="646">
        <f t="shared" si="0"/>
        <v>60.493626323055665</v>
      </c>
      <c r="H10" s="645">
        <f>Gen!C15</f>
        <v>37525.210000000021</v>
      </c>
      <c r="I10" s="647">
        <f>Gen!D15</f>
        <v>0</v>
      </c>
      <c r="J10" s="143">
        <f>Gen!S15</f>
        <v>2338.3599999999997</v>
      </c>
      <c r="K10" s="143">
        <f>Gen!AJ15</f>
        <v>79.16</v>
      </c>
      <c r="L10" s="143">
        <f t="shared" si="1"/>
        <v>2417.5199999999995</v>
      </c>
      <c r="M10" s="701">
        <f>'Water-Meter'!K50</f>
        <v>457.43883829150059</v>
      </c>
      <c r="N10" s="226"/>
      <c r="O10" s="237"/>
      <c r="P10" s="237">
        <v>18502</v>
      </c>
      <c r="Q10" s="648">
        <f t="shared" si="2"/>
        <v>0</v>
      </c>
      <c r="R10" s="649">
        <f t="shared" si="6"/>
        <v>0</v>
      </c>
      <c r="S10" s="237">
        <v>4.7</v>
      </c>
      <c r="T10" s="415">
        <v>15719</v>
      </c>
      <c r="U10" s="648">
        <f t="shared" si="7"/>
        <v>0</v>
      </c>
      <c r="V10" s="650">
        <f t="shared" ref="V10:V16" si="16">SUM(U10*S10)</f>
        <v>0</v>
      </c>
      <c r="W10" s="237">
        <v>5</v>
      </c>
      <c r="X10" s="569">
        <v>20776</v>
      </c>
      <c r="Y10" s="648">
        <f t="shared" si="9"/>
        <v>19</v>
      </c>
      <c r="Z10" s="650">
        <f t="shared" si="10"/>
        <v>95</v>
      </c>
      <c r="AA10" s="650">
        <f t="shared" si="11"/>
        <v>1978280</v>
      </c>
      <c r="AB10" s="556">
        <v>12805</v>
      </c>
      <c r="AC10" s="139">
        <f t="shared" si="12"/>
        <v>86</v>
      </c>
      <c r="AD10" s="237">
        <v>189786</v>
      </c>
      <c r="AE10" s="244">
        <f t="shared" si="15"/>
        <v>44</v>
      </c>
      <c r="AF10" s="366">
        <f>'Lpg (2)'!B14*2000/85</f>
        <v>2000</v>
      </c>
      <c r="AG10" s="367">
        <f>'Lpg (2)'!C14*1000/85</f>
        <v>282.35294117647061</v>
      </c>
      <c r="AH10" s="368">
        <f>'Lpg (2)'!D14*1000/85</f>
        <v>1000</v>
      </c>
      <c r="AI10" s="653">
        <f t="shared" si="13"/>
        <v>5282352.9411764704</v>
      </c>
      <c r="AJ10" s="652">
        <f t="shared" si="4"/>
        <v>58823.529411764815</v>
      </c>
      <c r="AK10" s="145"/>
    </row>
    <row r="11" spans="1:37" ht="18" thickBot="1">
      <c r="A11" s="95">
        <f>[1]Gen!A16</f>
        <v>43744</v>
      </c>
      <c r="B11" s="643">
        <f>'Summery Report'!E10</f>
        <v>41</v>
      </c>
      <c r="C11" s="160">
        <f>Gen!B16</f>
        <v>0.53200000000000003</v>
      </c>
      <c r="D11" s="644">
        <f>'Summery Report'!D10</f>
        <v>41</v>
      </c>
      <c r="E11" s="645">
        <f t="shared" si="14"/>
        <v>1.3262195121951219</v>
      </c>
      <c r="F11" s="646">
        <f t="shared" si="5"/>
        <v>80.184525580011893</v>
      </c>
      <c r="G11" s="646">
        <f t="shared" si="0"/>
        <v>83.925435008923259</v>
      </c>
      <c r="H11" s="645">
        <f>Gen!C16</f>
        <v>35107.690000000024</v>
      </c>
      <c r="I11" s="647">
        <f>Gen!D16</f>
        <v>0</v>
      </c>
      <c r="J11" s="143">
        <f>Gen!S16</f>
        <v>2478.9</v>
      </c>
      <c r="K11" s="143">
        <f>Gen!AJ16</f>
        <v>115.65</v>
      </c>
      <c r="L11" s="143">
        <f t="shared" si="1"/>
        <v>2594.5500000000002</v>
      </c>
      <c r="M11" s="701">
        <f>'Water-Meter'!K51</f>
        <v>440.11465264108546</v>
      </c>
      <c r="N11" s="226"/>
      <c r="O11" s="237"/>
      <c r="P11" s="237">
        <v>18502</v>
      </c>
      <c r="Q11" s="648">
        <f t="shared" si="2"/>
        <v>0</v>
      </c>
      <c r="R11" s="649">
        <f t="shared" si="6"/>
        <v>0</v>
      </c>
      <c r="S11" s="237">
        <v>4.7</v>
      </c>
      <c r="T11" s="415">
        <v>15719</v>
      </c>
      <c r="U11" s="648">
        <f t="shared" si="7"/>
        <v>0</v>
      </c>
      <c r="V11" s="650">
        <f t="shared" si="16"/>
        <v>0</v>
      </c>
      <c r="W11" s="237">
        <v>4.8</v>
      </c>
      <c r="X11" s="569">
        <v>20801</v>
      </c>
      <c r="Y11" s="648">
        <f t="shared" si="9"/>
        <v>25</v>
      </c>
      <c r="Z11" s="650">
        <f t="shared" si="10"/>
        <v>120</v>
      </c>
      <c r="AA11" s="650">
        <f t="shared" si="11"/>
        <v>2499240</v>
      </c>
      <c r="AB11" s="556">
        <v>12919</v>
      </c>
      <c r="AC11" s="139">
        <f t="shared" si="12"/>
        <v>114</v>
      </c>
      <c r="AD11" s="237">
        <v>189834</v>
      </c>
      <c r="AE11" s="244">
        <f t="shared" si="15"/>
        <v>48</v>
      </c>
      <c r="AF11" s="366">
        <f>'Lpg (2)'!B15*2000/85</f>
        <v>2000</v>
      </c>
      <c r="AG11" s="367">
        <f>'Lpg (2)'!C15*1000/85</f>
        <v>223.52941176470588</v>
      </c>
      <c r="AH11" s="368">
        <f>'Lpg (2)'!D15*1000/85</f>
        <v>1000</v>
      </c>
      <c r="AI11" s="653">
        <f t="shared" si="13"/>
        <v>5223529.4117647056</v>
      </c>
      <c r="AJ11" s="652">
        <f t="shared" si="4"/>
        <v>58823.529411764815</v>
      </c>
      <c r="AK11" s="145"/>
    </row>
    <row r="12" spans="1:37" ht="18" thickBot="1">
      <c r="A12" s="95">
        <f>[1]Gen!A17</f>
        <v>43745</v>
      </c>
      <c r="B12" s="643">
        <f>'Summery Report'!E11</f>
        <v>58</v>
      </c>
      <c r="C12" s="160">
        <f>Gen!B17</f>
        <v>0.753</v>
      </c>
      <c r="D12" s="644">
        <f>'Summery Report'!D11</f>
        <v>58</v>
      </c>
      <c r="E12" s="645">
        <f t="shared" si="14"/>
        <v>1.3262195121951219</v>
      </c>
      <c r="F12" s="646">
        <f t="shared" si="5"/>
        <v>52.052743902439026</v>
      </c>
      <c r="G12" s="646">
        <f t="shared" si="0"/>
        <v>53.763338414634141</v>
      </c>
      <c r="H12" s="645">
        <f>Gen!C17</f>
        <v>47513.140000000029</v>
      </c>
      <c r="I12" s="647">
        <f>Gen!D17</f>
        <v>15000</v>
      </c>
      <c r="J12" s="143">
        <f>Gen!S17</f>
        <v>2276.44</v>
      </c>
      <c r="K12" s="143">
        <f>Gen!AJ17</f>
        <v>74.81</v>
      </c>
      <c r="L12" s="143">
        <f t="shared" si="1"/>
        <v>2351.25</v>
      </c>
      <c r="M12" s="701">
        <f>'Water-Meter'!K52</f>
        <v>426.40713365733694</v>
      </c>
      <c r="N12" s="226"/>
      <c r="O12" s="237">
        <v>3.4</v>
      </c>
      <c r="P12" s="237">
        <v>18502</v>
      </c>
      <c r="Q12" s="648">
        <f t="shared" si="2"/>
        <v>0</v>
      </c>
      <c r="R12" s="649">
        <f t="shared" si="6"/>
        <v>0</v>
      </c>
      <c r="S12" s="237">
        <v>4.7</v>
      </c>
      <c r="T12" s="415">
        <v>15719</v>
      </c>
      <c r="U12" s="648">
        <f t="shared" si="7"/>
        <v>0</v>
      </c>
      <c r="V12" s="650">
        <f t="shared" si="16"/>
        <v>0</v>
      </c>
      <c r="W12" s="237">
        <v>5.0999999999999996</v>
      </c>
      <c r="X12" s="569">
        <v>20824</v>
      </c>
      <c r="Y12" s="648">
        <f t="shared" si="9"/>
        <v>23</v>
      </c>
      <c r="Z12" s="650">
        <f t="shared" si="10"/>
        <v>117.3</v>
      </c>
      <c r="AA12" s="650">
        <f t="shared" si="11"/>
        <v>2443007.1</v>
      </c>
      <c r="AB12" s="556">
        <v>13026</v>
      </c>
      <c r="AC12" s="139">
        <f t="shared" si="12"/>
        <v>107</v>
      </c>
      <c r="AD12" s="237">
        <v>189879</v>
      </c>
      <c r="AE12" s="244">
        <f t="shared" si="15"/>
        <v>45</v>
      </c>
      <c r="AF12" s="366">
        <f>'Lpg (2)'!B16*2000/85</f>
        <v>2000</v>
      </c>
      <c r="AG12" s="367">
        <f>'Lpg (2)'!C16*1000/85</f>
        <v>176.47058823529412</v>
      </c>
      <c r="AH12" s="368">
        <f>'Lpg (2)'!D16*1000/85</f>
        <v>1000</v>
      </c>
      <c r="AI12" s="653">
        <f t="shared" si="13"/>
        <v>5176470.5882352944</v>
      </c>
      <c r="AJ12" s="652">
        <f t="shared" si="4"/>
        <v>47058.823529411107</v>
      </c>
      <c r="AK12" s="145"/>
    </row>
    <row r="13" spans="1:37" ht="18" thickBot="1">
      <c r="A13" s="95">
        <f>[1]Gen!A18</f>
        <v>43746</v>
      </c>
      <c r="B13" s="643">
        <f>'Summery Report'!E12</f>
        <v>12</v>
      </c>
      <c r="C13" s="160">
        <f>Gen!B18</f>
        <v>0.156</v>
      </c>
      <c r="D13" s="644">
        <f>'Summery Report'!D12</f>
        <v>12</v>
      </c>
      <c r="E13" s="645">
        <f t="shared" si="14"/>
        <v>1.3262195121951219</v>
      </c>
      <c r="F13" s="646">
        <f t="shared" si="5"/>
        <v>247.82621951219514</v>
      </c>
      <c r="G13" s="646">
        <f t="shared" si="0"/>
        <v>258.21604420731711</v>
      </c>
      <c r="H13" s="645">
        <f>Gen!C18</f>
        <v>45161.890000000029</v>
      </c>
      <c r="I13" s="647">
        <f>Gen!D18</f>
        <v>0</v>
      </c>
      <c r="J13" s="143">
        <f>Gen!S18</f>
        <v>2242.4</v>
      </c>
      <c r="K13" s="143">
        <f>Gen!AJ18</f>
        <v>94.01</v>
      </c>
      <c r="L13" s="143">
        <f t="shared" si="1"/>
        <v>2336.4100000000003</v>
      </c>
      <c r="M13" s="701">
        <f>'Water-Meter'!K53</f>
        <v>405.62537760431866</v>
      </c>
      <c r="N13" s="226"/>
      <c r="O13" s="237">
        <v>2.1</v>
      </c>
      <c r="P13" s="237">
        <v>18518</v>
      </c>
      <c r="Q13" s="648">
        <f t="shared" si="2"/>
        <v>16</v>
      </c>
      <c r="R13" s="649">
        <f t="shared" si="6"/>
        <v>33.6</v>
      </c>
      <c r="S13" s="237">
        <v>4.7</v>
      </c>
      <c r="T13" s="415">
        <v>15719</v>
      </c>
      <c r="U13" s="648">
        <f t="shared" si="7"/>
        <v>0</v>
      </c>
      <c r="V13" s="650">
        <f t="shared" si="16"/>
        <v>0</v>
      </c>
      <c r="W13" s="237">
        <v>5.0999999999999996</v>
      </c>
      <c r="X13" s="569">
        <v>20827</v>
      </c>
      <c r="Y13" s="648">
        <f t="shared" si="9"/>
        <v>3</v>
      </c>
      <c r="Z13" s="650">
        <f t="shared" si="10"/>
        <v>15.299999999999999</v>
      </c>
      <c r="AA13" s="650">
        <f t="shared" si="11"/>
        <v>318882.59999999998</v>
      </c>
      <c r="AB13" s="556">
        <v>13078</v>
      </c>
      <c r="AC13" s="139">
        <f t="shared" si="12"/>
        <v>52</v>
      </c>
      <c r="AD13" s="237">
        <v>189929</v>
      </c>
      <c r="AE13" s="244">
        <f t="shared" si="15"/>
        <v>50</v>
      </c>
      <c r="AF13" s="366">
        <f>'Lpg (2)'!B17*2000/85</f>
        <v>2000</v>
      </c>
      <c r="AG13" s="367">
        <f>'Lpg (2)'!C17*1000/85</f>
        <v>105.88235294117646</v>
      </c>
      <c r="AH13" s="368">
        <f>'Lpg (2)'!D17*1000/85</f>
        <v>1000</v>
      </c>
      <c r="AI13" s="653">
        <f t="shared" si="13"/>
        <v>5105882.3529411759</v>
      </c>
      <c r="AJ13" s="652">
        <f t="shared" si="4"/>
        <v>70588.235294118524</v>
      </c>
      <c r="AK13" s="146"/>
    </row>
    <row r="14" spans="1:37" ht="18" thickBot="1">
      <c r="A14" s="95">
        <f>[1]Gen!A19</f>
        <v>43747</v>
      </c>
      <c r="B14" s="643">
        <f>'Summery Report'!E13</f>
        <v>34</v>
      </c>
      <c r="C14" s="160">
        <f>Gen!B19</f>
        <v>0.442</v>
      </c>
      <c r="D14" s="644">
        <f>'Summery Report'!D13</f>
        <v>34</v>
      </c>
      <c r="E14" s="645">
        <f t="shared" si="14"/>
        <v>1.3262195121951219</v>
      </c>
      <c r="F14" s="646">
        <f t="shared" si="5"/>
        <v>94.79622040889528</v>
      </c>
      <c r="G14" s="646">
        <f t="shared" si="0"/>
        <v>105.90642934002869</v>
      </c>
      <c r="H14" s="645">
        <f>Gen!C19</f>
        <v>42825.480000000025</v>
      </c>
      <c r="I14" s="647">
        <f>Gen!D19</f>
        <v>0</v>
      </c>
      <c r="J14" s="143">
        <f>Gen!S19</f>
        <v>2430.2700000000004</v>
      </c>
      <c r="K14" s="143">
        <f>Gen!AJ19</f>
        <v>284.83</v>
      </c>
      <c r="L14" s="143">
        <f t="shared" si="1"/>
        <v>2715.1000000000004</v>
      </c>
      <c r="M14" s="701">
        <f>'Water-Meter'!K54</f>
        <v>446.72540616726076</v>
      </c>
      <c r="N14" s="226"/>
      <c r="O14" s="237">
        <v>2.2999999999999998</v>
      </c>
      <c r="P14" s="237">
        <v>18532</v>
      </c>
      <c r="Q14" s="648">
        <f t="shared" si="2"/>
        <v>14</v>
      </c>
      <c r="R14" s="649">
        <f t="shared" si="6"/>
        <v>32.199999999999996</v>
      </c>
      <c r="S14" s="237">
        <v>4.7</v>
      </c>
      <c r="T14" s="415">
        <v>15719</v>
      </c>
      <c r="U14" s="648">
        <f t="shared" si="7"/>
        <v>0</v>
      </c>
      <c r="V14" s="650">
        <f t="shared" si="16"/>
        <v>0</v>
      </c>
      <c r="W14" s="237">
        <v>5.0999999999999996</v>
      </c>
      <c r="X14" s="569">
        <v>20827</v>
      </c>
      <c r="Y14" s="648">
        <f t="shared" si="9"/>
        <v>0</v>
      </c>
      <c r="Z14" s="650">
        <f t="shared" si="10"/>
        <v>0</v>
      </c>
      <c r="AA14" s="650">
        <f t="shared" si="11"/>
        <v>0</v>
      </c>
      <c r="AB14" s="556">
        <v>13111</v>
      </c>
      <c r="AC14" s="139">
        <f t="shared" si="12"/>
        <v>33</v>
      </c>
      <c r="AD14" s="237">
        <v>189977</v>
      </c>
      <c r="AE14" s="244">
        <f t="shared" si="15"/>
        <v>48</v>
      </c>
      <c r="AF14" s="366">
        <f>'Lpg (2)'!B18*2000/85</f>
        <v>2000</v>
      </c>
      <c r="AG14" s="367">
        <f>'Lpg (2)'!C18*1000/85</f>
        <v>58.823529411764703</v>
      </c>
      <c r="AH14" s="368">
        <f>'Lpg (2)'!D18*1000/85</f>
        <v>894.11764705882354</v>
      </c>
      <c r="AI14" s="653">
        <f t="shared" si="13"/>
        <v>4952941.176470588</v>
      </c>
      <c r="AJ14" s="652">
        <f t="shared" si="4"/>
        <v>152941.17647058796</v>
      </c>
      <c r="AK14" s="145"/>
    </row>
    <row r="15" spans="1:37" ht="18" thickBot="1">
      <c r="A15" s="95">
        <f>[1]Gen!A20</f>
        <v>43748</v>
      </c>
      <c r="B15" s="643">
        <f>'Summery Report'!E14</f>
        <v>25</v>
      </c>
      <c r="C15" s="160">
        <f>Gen!B20</f>
        <v>0.32500000000000001</v>
      </c>
      <c r="D15" s="644">
        <f>'Summery Report'!D14</f>
        <v>25</v>
      </c>
      <c r="E15" s="645">
        <f t="shared" si="14"/>
        <v>1.3262195121951219</v>
      </c>
      <c r="F15" s="646">
        <f t="shared" si="5"/>
        <v>130.69999390243902</v>
      </c>
      <c r="G15" s="646">
        <f t="shared" si="0"/>
        <v>136.32528658536586</v>
      </c>
      <c r="H15" s="645">
        <f>Gen!C20</f>
        <v>40110.380000000026</v>
      </c>
      <c r="I15" s="647">
        <f>Gen!D20</f>
        <v>0</v>
      </c>
      <c r="J15" s="143">
        <f>Gen!S20</f>
        <v>2463.77</v>
      </c>
      <c r="K15" s="143">
        <f>Gen!AJ20</f>
        <v>106.04</v>
      </c>
      <c r="L15" s="143">
        <f t="shared" si="1"/>
        <v>2569.81</v>
      </c>
      <c r="M15" s="701">
        <f>'Water-Meter'!K55</f>
        <v>451.55780491890368</v>
      </c>
      <c r="N15" s="226"/>
      <c r="O15" s="237">
        <v>2.2999999999999998</v>
      </c>
      <c r="P15" s="237">
        <v>18532</v>
      </c>
      <c r="Q15" s="648">
        <f t="shared" si="2"/>
        <v>0</v>
      </c>
      <c r="R15" s="649">
        <f t="shared" si="6"/>
        <v>0</v>
      </c>
      <c r="S15" s="237">
        <v>4.7</v>
      </c>
      <c r="T15" s="415">
        <v>15719</v>
      </c>
      <c r="U15" s="648">
        <f t="shared" si="7"/>
        <v>0</v>
      </c>
      <c r="V15" s="650">
        <f t="shared" si="16"/>
        <v>0</v>
      </c>
      <c r="W15" s="237">
        <v>3.2</v>
      </c>
      <c r="X15" s="569">
        <v>20842</v>
      </c>
      <c r="Y15" s="648">
        <f t="shared" si="9"/>
        <v>15</v>
      </c>
      <c r="Z15" s="650">
        <f t="shared" si="10"/>
        <v>48</v>
      </c>
      <c r="AA15" s="650">
        <f t="shared" si="11"/>
        <v>1001760</v>
      </c>
      <c r="AB15" s="556">
        <v>13193</v>
      </c>
      <c r="AC15" s="139">
        <f t="shared" si="12"/>
        <v>82</v>
      </c>
      <c r="AD15" s="237">
        <v>190024</v>
      </c>
      <c r="AE15" s="244">
        <f>AD15-AD14</f>
        <v>47</v>
      </c>
      <c r="AF15" s="366">
        <f>'Lpg (2)'!B19*2000/85</f>
        <v>2000</v>
      </c>
      <c r="AG15" s="367">
        <f>'Lpg (2)'!C19*1000/85</f>
        <v>58.823529411764703</v>
      </c>
      <c r="AH15" s="368">
        <f>'Lpg (2)'!D19*1000/85</f>
        <v>870.58823529411768</v>
      </c>
      <c r="AI15" s="653">
        <f t="shared" ref="AI15:AI35" si="17">SUM(AF15*2000)+(AG15*1000)+(AH15*1000)</f>
        <v>4929411.7647058824</v>
      </c>
      <c r="AJ15" s="652">
        <f t="shared" si="4"/>
        <v>23529.411764705554</v>
      </c>
      <c r="AK15" s="145"/>
    </row>
    <row r="16" spans="1:37" ht="18" thickBot="1">
      <c r="A16" s="95">
        <f>[1]Gen!A21</f>
        <v>43749</v>
      </c>
      <c r="B16" s="643">
        <f>'Summery Report'!E15</f>
        <v>35</v>
      </c>
      <c r="C16" s="160">
        <f>Gen!B21</f>
        <v>0.45500000000000002</v>
      </c>
      <c r="D16" s="644">
        <f>'Summery Report'!D15</f>
        <v>35</v>
      </c>
      <c r="E16" s="645">
        <f t="shared" si="14"/>
        <v>1.3262195121951219</v>
      </c>
      <c r="F16" s="646">
        <f t="shared" si="5"/>
        <v>87.537687282229967</v>
      </c>
      <c r="G16" s="646">
        <f t="shared" si="0"/>
        <v>97.506689895470387</v>
      </c>
      <c r="H16" s="645">
        <f>Gen!C21</f>
        <v>37540.570000000029</v>
      </c>
      <c r="I16" s="647">
        <f>Gen!D21</f>
        <v>0</v>
      </c>
      <c r="J16" s="143">
        <f>Gen!S21</f>
        <v>2310.19</v>
      </c>
      <c r="K16" s="143">
        <f>Gen!AJ21</f>
        <v>263.09000000000003</v>
      </c>
      <c r="L16" s="143">
        <f t="shared" si="1"/>
        <v>2573.2800000000002</v>
      </c>
      <c r="M16" s="701">
        <f>'Water-Meter'!K56</f>
        <v>427.4781540186475</v>
      </c>
      <c r="N16" s="226"/>
      <c r="O16" s="237">
        <v>2.2999999999999998</v>
      </c>
      <c r="P16" s="237">
        <v>18532</v>
      </c>
      <c r="Q16" s="648">
        <f t="shared" si="2"/>
        <v>0</v>
      </c>
      <c r="R16" s="649">
        <f t="shared" si="6"/>
        <v>0</v>
      </c>
      <c r="S16" s="237">
        <v>4.7</v>
      </c>
      <c r="T16" s="415">
        <v>15719</v>
      </c>
      <c r="U16" s="648">
        <f t="shared" si="7"/>
        <v>0</v>
      </c>
      <c r="V16" s="650">
        <f t="shared" si="16"/>
        <v>0</v>
      </c>
      <c r="W16" s="237">
        <v>5.0999999999999996</v>
      </c>
      <c r="X16" s="569">
        <v>20866</v>
      </c>
      <c r="Y16" s="648">
        <f t="shared" si="9"/>
        <v>24</v>
      </c>
      <c r="Z16" s="650">
        <f t="shared" si="10"/>
        <v>122.39999999999999</v>
      </c>
      <c r="AA16" s="650">
        <f t="shared" si="11"/>
        <v>2557058.4</v>
      </c>
      <c r="AB16" s="556">
        <v>13308</v>
      </c>
      <c r="AC16" s="139">
        <f t="shared" si="12"/>
        <v>115</v>
      </c>
      <c r="AD16" s="237">
        <v>190071</v>
      </c>
      <c r="AE16" s="244">
        <f t="shared" si="15"/>
        <v>47</v>
      </c>
      <c r="AF16" s="366">
        <f>'Lpg (2)'!B20*2000/85</f>
        <v>2000</v>
      </c>
      <c r="AG16" s="367">
        <f>'Lpg (2)'!C20*1000/85</f>
        <v>58.823529411764703</v>
      </c>
      <c r="AH16" s="368">
        <f>'Lpg (2)'!D20*1000/85</f>
        <v>847.05882352941171</v>
      </c>
      <c r="AI16" s="653">
        <f t="shared" si="17"/>
        <v>4905882.3529411769</v>
      </c>
      <c r="AJ16" s="652">
        <f t="shared" si="4"/>
        <v>23529.411764705554</v>
      </c>
      <c r="AK16" s="145"/>
    </row>
    <row r="17" spans="1:37" ht="18" thickBot="1">
      <c r="A17" s="95">
        <f>[1]Gen!A22</f>
        <v>43750</v>
      </c>
      <c r="B17" s="643">
        <f>'Summery Report'!E16</f>
        <v>32</v>
      </c>
      <c r="C17" s="160">
        <f>Gen!B22</f>
        <v>0.41599999999999998</v>
      </c>
      <c r="D17" s="644">
        <f>'Summery Report'!D16</f>
        <v>32</v>
      </c>
      <c r="E17" s="645">
        <f t="shared" si="14"/>
        <v>1.3262195121951219</v>
      </c>
      <c r="F17" s="646">
        <f t="shared" si="5"/>
        <v>100.67539538871951</v>
      </c>
      <c r="G17" s="646">
        <f t="shared" si="0"/>
        <v>113.49662252286586</v>
      </c>
      <c r="H17" s="645">
        <f>Gen!C22</f>
        <v>34967.29000000003</v>
      </c>
      <c r="I17" s="647">
        <f>Gen!D22</f>
        <v>0</v>
      </c>
      <c r="J17" s="143">
        <f>Gen!S22</f>
        <v>2429.17</v>
      </c>
      <c r="K17" s="143">
        <f>Gen!AJ22</f>
        <v>309.36</v>
      </c>
      <c r="L17" s="143">
        <f t="shared" si="1"/>
        <v>2738.53</v>
      </c>
      <c r="M17" s="701">
        <f>'Water-Meter'!K57</f>
        <v>395.83546374155458</v>
      </c>
      <c r="N17" s="226"/>
      <c r="O17" s="237">
        <v>2.2999999999999998</v>
      </c>
      <c r="P17" s="237">
        <v>18532</v>
      </c>
      <c r="Q17" s="648">
        <f>SUM(P18-P16)</f>
        <v>0</v>
      </c>
      <c r="R17" s="649">
        <f t="shared" si="6"/>
        <v>0</v>
      </c>
      <c r="S17" s="237">
        <v>4.7</v>
      </c>
      <c r="T17" s="415">
        <v>15719</v>
      </c>
      <c r="U17" s="648">
        <f t="shared" si="7"/>
        <v>0</v>
      </c>
      <c r="V17" s="650">
        <f t="shared" ref="V17:V36" si="18">SUM(U17*S17)</f>
        <v>0</v>
      </c>
      <c r="W17" s="237">
        <v>5</v>
      </c>
      <c r="X17" s="569">
        <v>20870</v>
      </c>
      <c r="Y17" s="648">
        <f t="shared" si="9"/>
        <v>4</v>
      </c>
      <c r="Z17" s="650">
        <f t="shared" si="10"/>
        <v>20</v>
      </c>
      <c r="AA17" s="650">
        <f t="shared" si="11"/>
        <v>417880</v>
      </c>
      <c r="AB17" s="556">
        <v>13329</v>
      </c>
      <c r="AC17" s="139">
        <f t="shared" si="12"/>
        <v>21</v>
      </c>
      <c r="AD17" s="237">
        <v>190117</v>
      </c>
      <c r="AE17" s="244">
        <f t="shared" si="15"/>
        <v>46</v>
      </c>
      <c r="AF17" s="366">
        <f>'Lpg (2)'!B21*2000/85</f>
        <v>2000</v>
      </c>
      <c r="AG17" s="367">
        <f>'Lpg (2)'!C21*1000/85</f>
        <v>58.823529411764703</v>
      </c>
      <c r="AH17" s="368">
        <f>'Lpg (2)'!D21*1000/85</f>
        <v>800</v>
      </c>
      <c r="AI17" s="653">
        <f t="shared" si="17"/>
        <v>4858823.5294117648</v>
      </c>
      <c r="AJ17" s="652">
        <f t="shared" si="4"/>
        <v>47058.823529412039</v>
      </c>
      <c r="AK17" s="145"/>
    </row>
    <row r="18" spans="1:37" ht="18" thickBot="1">
      <c r="A18" s="95">
        <f>[1]Gen!A23</f>
        <v>43751</v>
      </c>
      <c r="B18" s="643">
        <f>'Summery Report'!E17</f>
        <v>30</v>
      </c>
      <c r="C18" s="160">
        <f>Gen!B23</f>
        <v>0.39</v>
      </c>
      <c r="D18" s="644">
        <f>'Summery Report'!D17</f>
        <v>30</v>
      </c>
      <c r="E18" s="645">
        <f t="shared" si="14"/>
        <v>1.3262195121951219</v>
      </c>
      <c r="F18" s="646">
        <f t="shared" si="5"/>
        <v>99.445685975609734</v>
      </c>
      <c r="G18" s="646">
        <f t="shared" si="0"/>
        <v>102.26522865853659</v>
      </c>
      <c r="H18" s="645">
        <f>Gen!C23</f>
        <v>32228.760000000031</v>
      </c>
      <c r="I18" s="647">
        <f>Gen!D23</f>
        <v>0</v>
      </c>
      <c r="J18" s="143">
        <f>Gen!S23</f>
        <v>2249.5299999999997</v>
      </c>
      <c r="K18" s="143">
        <f>Gen!AJ23</f>
        <v>63.78</v>
      </c>
      <c r="L18" s="143">
        <f t="shared" si="1"/>
        <v>2313.31</v>
      </c>
      <c r="M18" s="701">
        <f>'Water-Meter'!K58</f>
        <v>434.03478721210303</v>
      </c>
      <c r="N18" s="226"/>
      <c r="O18" s="237">
        <v>2.2999999999999998</v>
      </c>
      <c r="P18" s="237">
        <v>18532</v>
      </c>
      <c r="Q18" s="648"/>
      <c r="R18" s="649">
        <f t="shared" si="6"/>
        <v>0</v>
      </c>
      <c r="S18" s="237">
        <v>4.7</v>
      </c>
      <c r="T18" s="415">
        <v>15719</v>
      </c>
      <c r="U18" s="648">
        <f t="shared" si="7"/>
        <v>0</v>
      </c>
      <c r="V18" s="650">
        <f t="shared" si="18"/>
        <v>0</v>
      </c>
      <c r="W18" s="237">
        <v>5.2</v>
      </c>
      <c r="X18" s="569">
        <v>20891</v>
      </c>
      <c r="Y18" s="648">
        <f t="shared" si="9"/>
        <v>21</v>
      </c>
      <c r="Z18" s="650">
        <f t="shared" si="10"/>
        <v>109.2</v>
      </c>
      <c r="AA18" s="650">
        <f t="shared" si="11"/>
        <v>2282716.8000000003</v>
      </c>
      <c r="AB18" s="556">
        <v>13431</v>
      </c>
      <c r="AC18" s="139">
        <f t="shared" si="12"/>
        <v>102</v>
      </c>
      <c r="AD18" s="237">
        <v>190168</v>
      </c>
      <c r="AE18" s="244">
        <f t="shared" si="15"/>
        <v>51</v>
      </c>
      <c r="AF18" s="366">
        <f>'Lpg (2)'!B22*2000/85</f>
        <v>2000</v>
      </c>
      <c r="AG18" s="367">
        <f>'Lpg (2)'!C22*1000/85</f>
        <v>58.823529411764703</v>
      </c>
      <c r="AH18" s="368">
        <f>'Lpg (2)'!D22*1000/85</f>
        <v>764.70588235294122</v>
      </c>
      <c r="AI18" s="653">
        <f t="shared" si="17"/>
        <v>4823529.4117647056</v>
      </c>
      <c r="AJ18" s="652">
        <f t="shared" si="4"/>
        <v>35294.117647059262</v>
      </c>
      <c r="AK18" s="145"/>
    </row>
    <row r="19" spans="1:37" ht="18" thickBot="1">
      <c r="A19" s="95">
        <f>[1]Gen!A24</f>
        <v>43752</v>
      </c>
      <c r="B19" s="643">
        <f>'Summery Report'!E18</f>
        <v>49</v>
      </c>
      <c r="C19" s="160">
        <f>Gen!B24</f>
        <v>0.63600000000000001</v>
      </c>
      <c r="D19" s="644">
        <f>'Summery Report'!D18</f>
        <v>49</v>
      </c>
      <c r="E19" s="645">
        <f t="shared" si="14"/>
        <v>1.3262195121951219</v>
      </c>
      <c r="F19" s="646">
        <f t="shared" si="5"/>
        <v>65.619988178198113</v>
      </c>
      <c r="G19" s="646">
        <f t="shared" si="0"/>
        <v>72.299804006968657</v>
      </c>
      <c r="H19" s="645">
        <f>Gen!C24</f>
        <v>29915.45000000003</v>
      </c>
      <c r="I19" s="647">
        <f>Gen!D24</f>
        <v>0</v>
      </c>
      <c r="J19" s="143">
        <f>Gen!S24</f>
        <v>2424.4700000000003</v>
      </c>
      <c r="K19" s="143">
        <f>Gen!AJ24</f>
        <v>246.8</v>
      </c>
      <c r="L19" s="143">
        <f t="shared" si="1"/>
        <v>2671.2700000000004</v>
      </c>
      <c r="M19" s="701">
        <f>'Water-Meter'!K59</f>
        <v>491.18386593816797</v>
      </c>
      <c r="N19" s="226"/>
      <c r="O19" s="237">
        <v>2.2999999999999998</v>
      </c>
      <c r="P19" s="237">
        <v>18532</v>
      </c>
      <c r="Q19" s="648"/>
      <c r="R19" s="649">
        <f t="shared" si="6"/>
        <v>0</v>
      </c>
      <c r="S19" s="237">
        <v>4.7</v>
      </c>
      <c r="T19" s="415">
        <v>15719</v>
      </c>
      <c r="U19" s="648">
        <f t="shared" si="7"/>
        <v>0</v>
      </c>
      <c r="V19" s="650">
        <f t="shared" si="18"/>
        <v>0</v>
      </c>
      <c r="W19" s="237">
        <v>5.2</v>
      </c>
      <c r="X19" s="569">
        <v>20894</v>
      </c>
      <c r="Y19" s="648">
        <f t="shared" si="9"/>
        <v>3</v>
      </c>
      <c r="Z19" s="650">
        <f t="shared" si="10"/>
        <v>15.600000000000001</v>
      </c>
      <c r="AA19" s="650">
        <f t="shared" si="11"/>
        <v>326476.80000000005</v>
      </c>
      <c r="AB19" s="556">
        <v>13444</v>
      </c>
      <c r="AC19" s="139">
        <f t="shared" si="12"/>
        <v>13</v>
      </c>
      <c r="AD19" s="237">
        <v>190218</v>
      </c>
      <c r="AE19" s="244">
        <f t="shared" si="15"/>
        <v>50</v>
      </c>
      <c r="AF19" s="366">
        <f>'Lpg (2)'!B23*2000/85</f>
        <v>2000</v>
      </c>
      <c r="AG19" s="367">
        <f>'Lpg (2)'!C23*1000/85</f>
        <v>58.823529411764703</v>
      </c>
      <c r="AH19" s="368">
        <f>'Lpg (2)'!D23*1000/85</f>
        <v>682.35294117647061</v>
      </c>
      <c r="AI19" s="653">
        <f t="shared" si="17"/>
        <v>4741176.4705882352</v>
      </c>
      <c r="AJ19" s="652">
        <f t="shared" si="4"/>
        <v>82352.941176470369</v>
      </c>
      <c r="AK19" s="145"/>
    </row>
    <row r="20" spans="1:37" ht="18" thickBot="1">
      <c r="A20" s="95">
        <f>[1]Gen!A25</f>
        <v>43753</v>
      </c>
      <c r="B20" s="643">
        <f>'Summery Report'!E19</f>
        <v>66</v>
      </c>
      <c r="C20" s="160">
        <f>Gen!B25</f>
        <v>0.84399999999999997</v>
      </c>
      <c r="D20" s="644">
        <f>'Summery Report'!D19</f>
        <v>66</v>
      </c>
      <c r="E20" s="645">
        <f t="shared" si="14"/>
        <v>1.3262195121951219</v>
      </c>
      <c r="F20" s="646">
        <f t="shared" si="5"/>
        <v>53.698025221729488</v>
      </c>
      <c r="G20" s="646">
        <f t="shared" si="0"/>
        <v>55.316816796008865</v>
      </c>
      <c r="H20" s="645">
        <f>Gen!C25</f>
        <v>42244.180000000029</v>
      </c>
      <c r="I20" s="647">
        <f>Gen!D25</f>
        <v>15000</v>
      </c>
      <c r="J20" s="143">
        <f>Gen!S25</f>
        <v>2672.31</v>
      </c>
      <c r="K20" s="143">
        <f>Gen!AJ25</f>
        <v>80.56</v>
      </c>
      <c r="L20" s="143">
        <f t="shared" si="1"/>
        <v>2752.87</v>
      </c>
      <c r="M20" s="701">
        <f>'Water-Meter'!K60</f>
        <v>505.79747178587223</v>
      </c>
      <c r="N20" s="226"/>
      <c r="O20" s="237">
        <v>2.2999999999999998</v>
      </c>
      <c r="P20" s="237">
        <v>18532</v>
      </c>
      <c r="Q20" s="648">
        <f t="shared" si="2"/>
        <v>0</v>
      </c>
      <c r="R20" s="649">
        <f t="shared" si="6"/>
        <v>0</v>
      </c>
      <c r="S20" s="237">
        <v>4.7</v>
      </c>
      <c r="T20" s="415">
        <v>15719</v>
      </c>
      <c r="U20" s="648">
        <f t="shared" si="7"/>
        <v>0</v>
      </c>
      <c r="V20" s="650">
        <f t="shared" si="18"/>
        <v>0</v>
      </c>
      <c r="W20" s="237">
        <v>5.4</v>
      </c>
      <c r="X20" s="569">
        <v>20904</v>
      </c>
      <c r="Y20" s="648">
        <f t="shared" si="9"/>
        <v>10</v>
      </c>
      <c r="Z20" s="650">
        <f t="shared" si="10"/>
        <v>54</v>
      </c>
      <c r="AA20" s="650">
        <f t="shared" si="11"/>
        <v>1130922</v>
      </c>
      <c r="AB20" s="556">
        <v>13492</v>
      </c>
      <c r="AC20" s="139">
        <f t="shared" si="12"/>
        <v>48</v>
      </c>
      <c r="AD20" s="237">
        <v>190269</v>
      </c>
      <c r="AE20" s="244">
        <f t="shared" si="15"/>
        <v>51</v>
      </c>
      <c r="AF20" s="366">
        <f>'Lpg (2)'!B24*2000/85</f>
        <v>2000</v>
      </c>
      <c r="AG20" s="367">
        <f>'Lpg (2)'!C24*1000/85</f>
        <v>58.823529411764703</v>
      </c>
      <c r="AH20" s="368">
        <f>'Lpg (2)'!D24*1000/85</f>
        <v>623.52941176470586</v>
      </c>
      <c r="AI20" s="653">
        <f t="shared" si="17"/>
        <v>4682352.9411764704</v>
      </c>
      <c r="AJ20" s="652">
        <f t="shared" si="4"/>
        <v>58823.529411764815</v>
      </c>
      <c r="AK20" s="145"/>
    </row>
    <row r="21" spans="1:37" ht="18" thickBot="1">
      <c r="A21" s="95">
        <f>[1]Gen!A26</f>
        <v>43754</v>
      </c>
      <c r="B21" s="643">
        <f>'Summery Report'!E20</f>
        <v>63</v>
      </c>
      <c r="C21" s="160">
        <f>Gen!B26</f>
        <v>0.81799999999999995</v>
      </c>
      <c r="D21" s="644">
        <f>'Summery Report'!D20</f>
        <v>63</v>
      </c>
      <c r="E21" s="645">
        <f t="shared" si="14"/>
        <v>1.3262195121951219</v>
      </c>
      <c r="F21" s="646">
        <f t="shared" si="5"/>
        <v>57.715810104529616</v>
      </c>
      <c r="G21" s="646">
        <f t="shared" si="0"/>
        <v>59.132970383275257</v>
      </c>
      <c r="H21" s="645">
        <f>Gen!C26</f>
        <v>39491.310000000027</v>
      </c>
      <c r="I21" s="647">
        <f>Gen!D26</f>
        <v>0</v>
      </c>
      <c r="J21" s="143">
        <f>Gen!S26</f>
        <v>2741.7</v>
      </c>
      <c r="K21" s="143">
        <f>Gen!AJ26</f>
        <v>67.319999999999993</v>
      </c>
      <c r="L21" s="143">
        <f t="shared" si="1"/>
        <v>2809.02</v>
      </c>
      <c r="M21" s="701">
        <f>'Water-Meter'!K61</f>
        <v>466.71866616526336</v>
      </c>
      <c r="N21" s="226"/>
      <c r="O21" s="237">
        <v>2.2999999999999998</v>
      </c>
      <c r="P21" s="237">
        <v>18532</v>
      </c>
      <c r="Q21" s="648">
        <f t="shared" si="2"/>
        <v>0</v>
      </c>
      <c r="R21" s="649">
        <f t="shared" si="6"/>
        <v>0</v>
      </c>
      <c r="S21" s="237">
        <v>4.7</v>
      </c>
      <c r="T21" s="415">
        <v>15719</v>
      </c>
      <c r="U21" s="648">
        <f t="shared" si="7"/>
        <v>0</v>
      </c>
      <c r="V21" s="650">
        <f t="shared" si="18"/>
        <v>0</v>
      </c>
      <c r="W21" s="237">
        <v>4.9000000000000004</v>
      </c>
      <c r="X21" s="569">
        <v>20928</v>
      </c>
      <c r="Y21" s="648">
        <f t="shared" si="9"/>
        <v>24</v>
      </c>
      <c r="Z21" s="650">
        <f t="shared" si="10"/>
        <v>117.60000000000001</v>
      </c>
      <c r="AA21" s="650">
        <f t="shared" si="11"/>
        <v>2465484</v>
      </c>
      <c r="AB21" s="556">
        <v>13611</v>
      </c>
      <c r="AC21" s="139">
        <f t="shared" si="12"/>
        <v>119</v>
      </c>
      <c r="AD21" s="237">
        <v>190318</v>
      </c>
      <c r="AE21" s="244">
        <f t="shared" si="15"/>
        <v>49</v>
      </c>
      <c r="AF21" s="366">
        <f>'Lpg (2)'!B25*2000/85</f>
        <v>2000</v>
      </c>
      <c r="AG21" s="367">
        <f>'Lpg (2)'!C25*1000/85</f>
        <v>58.823529411764703</v>
      </c>
      <c r="AH21" s="368">
        <f>'Lpg (2)'!D25*1000/85</f>
        <v>564.70588235294122</v>
      </c>
      <c r="AI21" s="653">
        <f t="shared" si="17"/>
        <v>4623529.4117647056</v>
      </c>
      <c r="AJ21" s="652">
        <f t="shared" si="4"/>
        <v>58823.529411764815</v>
      </c>
      <c r="AK21" s="145"/>
    </row>
    <row r="22" spans="1:37" ht="18" thickBot="1">
      <c r="A22" s="95">
        <f>[1]Gen!A27</f>
        <v>43755</v>
      </c>
      <c r="B22" s="643">
        <f>'Summery Report'!E21</f>
        <v>16</v>
      </c>
      <c r="C22" s="160">
        <f>Gen!B27</f>
        <v>0.20799999999999999</v>
      </c>
      <c r="D22" s="644">
        <f>'Summery Report'!D21</f>
        <v>16</v>
      </c>
      <c r="E22" s="645">
        <f t="shared" si="14"/>
        <v>1.3262195121951219</v>
      </c>
      <c r="F22" s="646">
        <f t="shared" si="5"/>
        <v>192.39383574695123</v>
      </c>
      <c r="G22" s="646">
        <f t="shared" si="0"/>
        <v>241.95300114329268</v>
      </c>
      <c r="H22" s="645">
        <f>Gen!C27</f>
        <v>36682.29000000003</v>
      </c>
      <c r="I22" s="647">
        <f>Gen!D27</f>
        <v>0</v>
      </c>
      <c r="J22" s="143">
        <f>Gen!S27</f>
        <v>2321.11</v>
      </c>
      <c r="K22" s="143">
        <f>Gen!AJ27</f>
        <v>597.9</v>
      </c>
      <c r="L22" s="143">
        <f t="shared" si="1"/>
        <v>2919.01</v>
      </c>
      <c r="M22" s="701">
        <f>'Water-Meter'!K62</f>
        <v>489.58382968741228</v>
      </c>
      <c r="N22" s="226"/>
      <c r="O22" s="237">
        <v>2.2999999999999998</v>
      </c>
      <c r="P22" s="237">
        <v>18532</v>
      </c>
      <c r="Q22" s="648">
        <f t="shared" si="2"/>
        <v>0</v>
      </c>
      <c r="R22" s="649">
        <f t="shared" si="6"/>
        <v>0</v>
      </c>
      <c r="S22" s="237">
        <v>4.7</v>
      </c>
      <c r="T22" s="415">
        <v>15719</v>
      </c>
      <c r="U22" s="648">
        <f t="shared" si="7"/>
        <v>0</v>
      </c>
      <c r="V22" s="650">
        <f t="shared" si="18"/>
        <v>0</v>
      </c>
      <c r="W22" s="237">
        <v>5.3</v>
      </c>
      <c r="X22" s="569">
        <v>20943</v>
      </c>
      <c r="Y22" s="648">
        <f t="shared" si="9"/>
        <v>15</v>
      </c>
      <c r="Z22" s="650">
        <f t="shared" si="10"/>
        <v>79.5</v>
      </c>
      <c r="AA22" s="650">
        <f t="shared" si="11"/>
        <v>1666717.5</v>
      </c>
      <c r="AB22" s="556">
        <v>13681</v>
      </c>
      <c r="AC22" s="139">
        <f t="shared" si="12"/>
        <v>70</v>
      </c>
      <c r="AD22" s="237">
        <v>190359</v>
      </c>
      <c r="AE22" s="244">
        <f t="shared" si="15"/>
        <v>41</v>
      </c>
      <c r="AF22" s="366">
        <f>'Lpg (2)'!B26*2000/85</f>
        <v>2000</v>
      </c>
      <c r="AG22" s="367">
        <f>'Lpg (2)'!C26*1000/85</f>
        <v>58.823529411764703</v>
      </c>
      <c r="AH22" s="368">
        <f>'Lpg (2)'!D26*1000/85</f>
        <v>517.64705882352939</v>
      </c>
      <c r="AI22" s="653">
        <f t="shared" si="17"/>
        <v>4576470.5882352944</v>
      </c>
      <c r="AJ22" s="652">
        <f t="shared" si="4"/>
        <v>47058.823529411107</v>
      </c>
      <c r="AK22" s="145"/>
    </row>
    <row r="23" spans="1:37" ht="18" thickBot="1">
      <c r="A23" s="95">
        <f>[1]Gen!A28</f>
        <v>43756</v>
      </c>
      <c r="B23" s="643">
        <f>'Summery Report'!E22</f>
        <v>17</v>
      </c>
      <c r="C23" s="160">
        <f>Gen!B28</f>
        <v>0.221</v>
      </c>
      <c r="D23" s="644">
        <f>'Summery Report'!D22</f>
        <v>17</v>
      </c>
      <c r="E23" s="645">
        <f t="shared" si="14"/>
        <v>1.3262195121951219</v>
      </c>
      <c r="F23" s="646">
        <f t="shared" si="5"/>
        <v>172.00598995695842</v>
      </c>
      <c r="G23" s="646">
        <f t="shared" si="0"/>
        <v>189.77187051649929</v>
      </c>
      <c r="H23" s="645">
        <f>Gen!C28</f>
        <v>33763.280000000028</v>
      </c>
      <c r="I23" s="647">
        <f>Gen!D28</f>
        <v>0</v>
      </c>
      <c r="J23" s="143">
        <f>Gen!S28</f>
        <v>2204.84</v>
      </c>
      <c r="K23" s="143">
        <f>Gen!AJ28</f>
        <v>227.73000000000002</v>
      </c>
      <c r="L23" s="143">
        <f t="shared" si="1"/>
        <v>2432.5700000000002</v>
      </c>
      <c r="M23" s="701">
        <f>'Water-Meter'!K63</f>
        <v>511.7187999395203</v>
      </c>
      <c r="N23" s="226"/>
      <c r="O23" s="237">
        <v>2.2999999999999998</v>
      </c>
      <c r="P23" s="237">
        <v>18532</v>
      </c>
      <c r="Q23" s="648">
        <f t="shared" si="2"/>
        <v>0</v>
      </c>
      <c r="R23" s="649">
        <f t="shared" si="6"/>
        <v>0</v>
      </c>
      <c r="S23" s="237">
        <v>4.7</v>
      </c>
      <c r="T23" s="415">
        <v>15719</v>
      </c>
      <c r="U23" s="648">
        <f t="shared" si="7"/>
        <v>0</v>
      </c>
      <c r="V23" s="650">
        <f t="shared" si="18"/>
        <v>0</v>
      </c>
      <c r="W23" s="237">
        <v>5.3</v>
      </c>
      <c r="X23" s="569">
        <v>20965</v>
      </c>
      <c r="Y23" s="648">
        <f t="shared" si="9"/>
        <v>22</v>
      </c>
      <c r="Z23" s="650">
        <f t="shared" si="10"/>
        <v>116.6</v>
      </c>
      <c r="AA23" s="650">
        <f t="shared" si="11"/>
        <v>2449882.6</v>
      </c>
      <c r="AB23" s="556">
        <v>13790</v>
      </c>
      <c r="AC23" s="139">
        <f t="shared" si="12"/>
        <v>109</v>
      </c>
      <c r="AD23" s="237">
        <v>190369</v>
      </c>
      <c r="AE23" s="244">
        <f t="shared" si="15"/>
        <v>10</v>
      </c>
      <c r="AF23" s="366">
        <f>'Lpg (2)'!B27*2000/85</f>
        <v>2000</v>
      </c>
      <c r="AG23" s="367">
        <f>'Lpg (2)'!C27*1000/85</f>
        <v>58.823529411764703</v>
      </c>
      <c r="AH23" s="368">
        <f>'Lpg (2)'!D27*1000/85</f>
        <v>458.8235294117647</v>
      </c>
      <c r="AI23" s="653">
        <f t="shared" si="17"/>
        <v>4517647.0588235296</v>
      </c>
      <c r="AJ23" s="652">
        <f t="shared" si="4"/>
        <v>58823.529411764815</v>
      </c>
      <c r="AK23" s="145"/>
    </row>
    <row r="24" spans="1:37" ht="18" thickBot="1">
      <c r="A24" s="95">
        <f>[1]Gen!A29</f>
        <v>43757</v>
      </c>
      <c r="B24" s="643">
        <f>'Summery Report'!E23</f>
        <v>9</v>
      </c>
      <c r="C24" s="160">
        <f>Gen!B29</f>
        <v>0.11700000000000001</v>
      </c>
      <c r="D24" s="644">
        <f>'Summery Report'!D23</f>
        <v>9</v>
      </c>
      <c r="E24" s="645">
        <f t="shared" si="14"/>
        <v>1.3262195121951219</v>
      </c>
      <c r="F24" s="646">
        <f t="shared" si="5"/>
        <v>271.90152439024394</v>
      </c>
      <c r="G24" s="646">
        <f t="shared" si="0"/>
        <v>284.91173780487804</v>
      </c>
      <c r="H24" s="645">
        <f>Gen!C29</f>
        <v>31330.710000000028</v>
      </c>
      <c r="I24" s="647">
        <f>Gen!D29</f>
        <v>0</v>
      </c>
      <c r="J24" s="143">
        <f>Gen!S29</f>
        <v>1845.1800000000003</v>
      </c>
      <c r="K24" s="143">
        <f>Gen!AJ29</f>
        <v>88.289999999999992</v>
      </c>
      <c r="L24" s="143">
        <f t="shared" si="1"/>
        <v>1933.4700000000003</v>
      </c>
      <c r="M24" s="701">
        <f>'Water-Meter'!K64</f>
        <v>514.91402155848971</v>
      </c>
      <c r="N24" s="226"/>
      <c r="O24" s="237">
        <v>2.2999999999999998</v>
      </c>
      <c r="P24" s="237">
        <v>18532</v>
      </c>
      <c r="Q24" s="648">
        <f t="shared" si="2"/>
        <v>0</v>
      </c>
      <c r="R24" s="649">
        <f t="shared" si="6"/>
        <v>0</v>
      </c>
      <c r="S24" s="237">
        <v>4.7</v>
      </c>
      <c r="T24" s="415">
        <v>15719</v>
      </c>
      <c r="U24" s="648">
        <f t="shared" si="7"/>
        <v>0</v>
      </c>
      <c r="V24" s="650">
        <f t="shared" si="18"/>
        <v>0</v>
      </c>
      <c r="W24" s="237">
        <v>5</v>
      </c>
      <c r="X24" s="569">
        <v>20965</v>
      </c>
      <c r="Y24" s="648">
        <f t="shared" si="9"/>
        <v>0</v>
      </c>
      <c r="Z24" s="650">
        <f t="shared" si="10"/>
        <v>0</v>
      </c>
      <c r="AA24" s="650">
        <f t="shared" si="11"/>
        <v>0</v>
      </c>
      <c r="AB24" s="556">
        <v>13899</v>
      </c>
      <c r="AC24" s="139">
        <f t="shared" si="12"/>
        <v>109</v>
      </c>
      <c r="AD24" s="237">
        <v>190376</v>
      </c>
      <c r="AE24" s="244">
        <f t="shared" si="15"/>
        <v>7</v>
      </c>
      <c r="AF24" s="366">
        <f>'Lpg (2)'!B28*2000/85</f>
        <v>2000</v>
      </c>
      <c r="AG24" s="367">
        <f>'Lpg (2)'!C28*1000/85</f>
        <v>58.823529411764703</v>
      </c>
      <c r="AH24" s="368">
        <f>'Lpg (2)'!D28*1000/85</f>
        <v>411.76470588235293</v>
      </c>
      <c r="AI24" s="653">
        <f t="shared" si="17"/>
        <v>4470588.2352941176</v>
      </c>
      <c r="AJ24" s="652">
        <f t="shared" si="4"/>
        <v>47058.823529412039</v>
      </c>
      <c r="AK24" s="145"/>
    </row>
    <row r="25" spans="1:37" ht="18" thickBot="1">
      <c r="A25" s="95">
        <f>[1]Gen!A30</f>
        <v>43758</v>
      </c>
      <c r="B25" s="643">
        <f>'Summery Report'!E24</f>
        <v>44</v>
      </c>
      <c r="C25" s="160">
        <f>Gen!B30</f>
        <v>0.57099999999999995</v>
      </c>
      <c r="D25" s="644">
        <f>'Summery Report'!D24</f>
        <v>44</v>
      </c>
      <c r="E25" s="645">
        <f t="shared" si="14"/>
        <v>1.3262195121951219</v>
      </c>
      <c r="F25" s="646">
        <f t="shared" si="5"/>
        <v>84.305664495565395</v>
      </c>
      <c r="G25" s="646">
        <f t="shared" si="0"/>
        <v>89.849262056541022</v>
      </c>
      <c r="H25" s="645">
        <f>Gen!C30</f>
        <v>29397.240000000027</v>
      </c>
      <c r="I25" s="647">
        <f>Gen!D30</f>
        <v>0</v>
      </c>
      <c r="J25" s="143">
        <f>Gen!S30</f>
        <v>2797.0099999999998</v>
      </c>
      <c r="K25" s="143">
        <f>Gen!AJ30</f>
        <v>183.92000000000002</v>
      </c>
      <c r="L25" s="143">
        <f t="shared" si="1"/>
        <v>2980.93</v>
      </c>
      <c r="M25" s="701">
        <f>'Water-Meter'!K65</f>
        <v>534.973736777711</v>
      </c>
      <c r="N25" s="226"/>
      <c r="O25" s="237">
        <v>2.2999999999999998</v>
      </c>
      <c r="P25" s="237">
        <v>18532</v>
      </c>
      <c r="Q25" s="648">
        <f t="shared" si="2"/>
        <v>0</v>
      </c>
      <c r="R25" s="649">
        <f t="shared" si="6"/>
        <v>0</v>
      </c>
      <c r="S25" s="237">
        <v>4.7</v>
      </c>
      <c r="T25" s="415">
        <v>15719</v>
      </c>
      <c r="U25" s="648">
        <f t="shared" si="7"/>
        <v>0</v>
      </c>
      <c r="V25" s="650">
        <f t="shared" si="18"/>
        <v>0</v>
      </c>
      <c r="W25" s="237">
        <v>5</v>
      </c>
      <c r="X25" s="569">
        <v>21011</v>
      </c>
      <c r="Y25" s="648">
        <f t="shared" si="9"/>
        <v>46</v>
      </c>
      <c r="Z25" s="650">
        <f t="shared" si="10"/>
        <v>230</v>
      </c>
      <c r="AA25" s="650">
        <f t="shared" si="11"/>
        <v>4842190</v>
      </c>
      <c r="AB25" s="556">
        <v>14008</v>
      </c>
      <c r="AC25" s="139">
        <f t="shared" si="12"/>
        <v>109</v>
      </c>
      <c r="AD25" s="237">
        <v>190426</v>
      </c>
      <c r="AE25" s="244">
        <f t="shared" si="15"/>
        <v>50</v>
      </c>
      <c r="AF25" s="366">
        <f>'Lpg (2)'!B29*2000/85</f>
        <v>2000</v>
      </c>
      <c r="AG25" s="367">
        <f>'Lpg (2)'!C29*1000/85</f>
        <v>58.823529411764703</v>
      </c>
      <c r="AH25" s="368">
        <f>'Lpg (2)'!D29*1000/85</f>
        <v>341.1764705882353</v>
      </c>
      <c r="AI25" s="653">
        <f t="shared" si="17"/>
        <v>4400000</v>
      </c>
      <c r="AJ25" s="652">
        <f t="shared" si="4"/>
        <v>70588.235294117592</v>
      </c>
      <c r="AK25" s="145"/>
    </row>
    <row r="26" spans="1:37" ht="18" thickBot="1">
      <c r="A26" s="95">
        <f>[1]Gen!A31</f>
        <v>43759</v>
      </c>
      <c r="B26" s="643">
        <f>'Summery Report'!E25</f>
        <v>43</v>
      </c>
      <c r="C26" s="160">
        <f>Gen!B31</f>
        <v>0.55800000000000005</v>
      </c>
      <c r="D26" s="644">
        <f>'Summery Report'!D25</f>
        <v>43</v>
      </c>
      <c r="E26" s="645">
        <f t="shared" si="14"/>
        <v>1.3262195121951219</v>
      </c>
      <c r="F26" s="646">
        <f t="shared" si="5"/>
        <v>69.77024957458876</v>
      </c>
      <c r="G26" s="646">
        <f t="shared" si="0"/>
        <v>75.076669739081112</v>
      </c>
      <c r="H26" s="645">
        <f>Gen!C31</f>
        <v>41416.310000000027</v>
      </c>
      <c r="I26" s="647">
        <f>Gen!D31</f>
        <v>15000</v>
      </c>
      <c r="J26" s="143">
        <f>Gen!S31</f>
        <v>2262.16</v>
      </c>
      <c r="K26" s="143">
        <f>Gen!AJ31</f>
        <v>172.05</v>
      </c>
      <c r="L26" s="143">
        <f t="shared" si="1"/>
        <v>2434.21</v>
      </c>
      <c r="M26" s="701">
        <f>'Water-Meter'!K66</f>
        <v>501.49009757538329</v>
      </c>
      <c r="N26" s="226"/>
      <c r="O26" s="237">
        <v>2.2999999999999998</v>
      </c>
      <c r="P26" s="237">
        <v>18532</v>
      </c>
      <c r="Q26" s="648">
        <f t="shared" si="2"/>
        <v>0</v>
      </c>
      <c r="R26" s="649">
        <f t="shared" si="6"/>
        <v>0</v>
      </c>
      <c r="S26" s="237">
        <v>4.7</v>
      </c>
      <c r="T26" s="415">
        <v>15719</v>
      </c>
      <c r="U26" s="648">
        <f t="shared" si="7"/>
        <v>0</v>
      </c>
      <c r="V26" s="650">
        <f t="shared" si="18"/>
        <v>0</v>
      </c>
      <c r="W26" s="237">
        <v>5</v>
      </c>
      <c r="X26" s="569">
        <v>21036</v>
      </c>
      <c r="Y26" s="648">
        <f t="shared" si="9"/>
        <v>25</v>
      </c>
      <c r="Z26" s="650">
        <f t="shared" si="10"/>
        <v>125</v>
      </c>
      <c r="AA26" s="650">
        <f t="shared" si="11"/>
        <v>2633375</v>
      </c>
      <c r="AB26" s="556">
        <v>14121</v>
      </c>
      <c r="AC26" s="139">
        <f t="shared" si="12"/>
        <v>113</v>
      </c>
      <c r="AD26" s="237">
        <v>190475</v>
      </c>
      <c r="AE26" s="244">
        <f t="shared" si="15"/>
        <v>49</v>
      </c>
      <c r="AF26" s="366">
        <f>'Lpg (2)'!B30*2000/85</f>
        <v>2000</v>
      </c>
      <c r="AG26" s="367">
        <f>'Lpg (2)'!C30*1000/85</f>
        <v>58.823529411764703</v>
      </c>
      <c r="AH26" s="368">
        <f>'Lpg (2)'!D30*1000/85</f>
        <v>282.35294117647061</v>
      </c>
      <c r="AI26" s="653">
        <f t="shared" si="17"/>
        <v>4341176.4705882352</v>
      </c>
      <c r="AJ26" s="652">
        <f t="shared" si="4"/>
        <v>58823.529411764815</v>
      </c>
      <c r="AK26" s="145"/>
    </row>
    <row r="27" spans="1:37" ht="18" thickBot="1">
      <c r="A27" s="95">
        <f>[1]Gen!A32</f>
        <v>43760</v>
      </c>
      <c r="B27" s="643">
        <f>'Summery Report'!E26</f>
        <v>31</v>
      </c>
      <c r="C27" s="160">
        <f>Gen!B32</f>
        <v>0.40300000000000002</v>
      </c>
      <c r="D27" s="644">
        <f>'Summery Report'!D26</f>
        <v>31</v>
      </c>
      <c r="E27" s="645">
        <f t="shared" si="14"/>
        <v>1.3262195121951219</v>
      </c>
      <c r="F27" s="646">
        <f t="shared" si="5"/>
        <v>97.834785601888271</v>
      </c>
      <c r="G27" s="646">
        <f t="shared" si="0"/>
        <v>98.631800747442966</v>
      </c>
      <c r="H27" s="645">
        <f>Gen!C32</f>
        <v>38982.100000000028</v>
      </c>
      <c r="I27" s="647">
        <f>Gen!D32</f>
        <v>0</v>
      </c>
      <c r="J27" s="143">
        <f>Gen!S32</f>
        <v>2286.86</v>
      </c>
      <c r="K27" s="143">
        <f>Gen!AJ32</f>
        <v>18.63</v>
      </c>
      <c r="L27" s="143">
        <f t="shared" si="1"/>
        <v>2305.4900000000002</v>
      </c>
      <c r="M27" s="701">
        <f>'Water-Meter'!K67</f>
        <v>596.98933337632138</v>
      </c>
      <c r="N27" s="226"/>
      <c r="O27" s="237">
        <v>2.2999999999999998</v>
      </c>
      <c r="P27" s="237">
        <v>18537</v>
      </c>
      <c r="Q27" s="648">
        <f t="shared" si="2"/>
        <v>5</v>
      </c>
      <c r="R27" s="649">
        <f t="shared" si="6"/>
        <v>11.5</v>
      </c>
      <c r="S27" s="237">
        <v>4.7</v>
      </c>
      <c r="T27" s="415">
        <v>15719</v>
      </c>
      <c r="U27" s="648">
        <f t="shared" si="7"/>
        <v>0</v>
      </c>
      <c r="V27" s="650">
        <f t="shared" si="18"/>
        <v>0</v>
      </c>
      <c r="W27" s="237">
        <v>5</v>
      </c>
      <c r="X27" s="569">
        <v>21053</v>
      </c>
      <c r="Y27" s="648">
        <f t="shared" si="9"/>
        <v>17</v>
      </c>
      <c r="Z27" s="650">
        <f t="shared" si="10"/>
        <v>85</v>
      </c>
      <c r="AA27" s="650">
        <f t="shared" si="11"/>
        <v>1792650</v>
      </c>
      <c r="AB27" s="556">
        <v>14208</v>
      </c>
      <c r="AC27" s="139">
        <f t="shared" si="12"/>
        <v>87</v>
      </c>
      <c r="AD27" s="237">
        <v>190505</v>
      </c>
      <c r="AE27" s="244">
        <f t="shared" si="15"/>
        <v>30</v>
      </c>
      <c r="AF27" s="366">
        <f>'Lpg (2)'!B31*2000/85</f>
        <v>2000</v>
      </c>
      <c r="AG27" s="367">
        <f>'Lpg (2)'!C31*1000/85</f>
        <v>1000</v>
      </c>
      <c r="AH27" s="368">
        <f>'Lpg (2)'!D31*1000/85</f>
        <v>1000</v>
      </c>
      <c r="AI27" s="653">
        <f t="shared" si="17"/>
        <v>6000000</v>
      </c>
      <c r="AJ27" s="652">
        <f t="shared" si="4"/>
        <v>-1658823.5294117648</v>
      </c>
      <c r="AK27" s="145"/>
    </row>
    <row r="28" spans="1:37" ht="18" thickBot="1">
      <c r="A28" s="95">
        <f>[1]Gen!A33</f>
        <v>43761</v>
      </c>
      <c r="B28" s="643">
        <f>'Summery Report'!E27</f>
        <v>19</v>
      </c>
      <c r="C28" s="160">
        <f>Gen!B33</f>
        <v>0.24</v>
      </c>
      <c r="D28" s="644">
        <f>'Summery Report'!D27</f>
        <v>19</v>
      </c>
      <c r="E28" s="645">
        <f t="shared" si="14"/>
        <v>1.3262195121951219</v>
      </c>
      <c r="F28" s="646">
        <f t="shared" si="5"/>
        <v>149.95354621309369</v>
      </c>
      <c r="G28" s="646">
        <f t="shared" si="0"/>
        <v>171.68539794608469</v>
      </c>
      <c r="H28" s="645">
        <f>Gen!C33</f>
        <v>36676.61000000003</v>
      </c>
      <c r="I28" s="647">
        <f>Gen!D33</f>
        <v>0</v>
      </c>
      <c r="J28" s="143">
        <f>Gen!S33</f>
        <v>2148.2999999999997</v>
      </c>
      <c r="K28" s="143">
        <f>Gen!AJ33</f>
        <v>311.34000000000003</v>
      </c>
      <c r="L28" s="143">
        <f t="shared" si="1"/>
        <v>2459.64</v>
      </c>
      <c r="M28" s="701">
        <f>'Water-Meter'!K68</f>
        <v>512.12687923869703</v>
      </c>
      <c r="N28" s="226"/>
      <c r="O28" s="237">
        <v>2.2999999999999998</v>
      </c>
      <c r="P28" s="237">
        <v>18537</v>
      </c>
      <c r="Q28" s="648">
        <f t="shared" si="2"/>
        <v>0</v>
      </c>
      <c r="R28" s="649">
        <f t="shared" si="6"/>
        <v>0</v>
      </c>
      <c r="S28" s="237">
        <v>4.7</v>
      </c>
      <c r="T28" s="415">
        <v>15719</v>
      </c>
      <c r="U28" s="648">
        <f t="shared" si="7"/>
        <v>0</v>
      </c>
      <c r="V28" s="650">
        <f t="shared" si="18"/>
        <v>0</v>
      </c>
      <c r="W28" s="237">
        <v>5</v>
      </c>
      <c r="X28" s="569">
        <v>21067</v>
      </c>
      <c r="Y28" s="648">
        <f t="shared" si="9"/>
        <v>14</v>
      </c>
      <c r="Z28" s="650">
        <f t="shared" si="10"/>
        <v>70</v>
      </c>
      <c r="AA28" s="650">
        <f t="shared" si="11"/>
        <v>1477420</v>
      </c>
      <c r="AB28" s="556">
        <v>14268</v>
      </c>
      <c r="AC28" s="139">
        <f t="shared" ref="AC28:AC37" si="19">SUM(AB28-AB27)</f>
        <v>60</v>
      </c>
      <c r="AD28" s="237">
        <v>190519</v>
      </c>
      <c r="AE28" s="244">
        <f t="shared" si="15"/>
        <v>14</v>
      </c>
      <c r="AF28" s="366">
        <f>'Lpg (2)'!B32*2000/85</f>
        <v>1976.4705882352941</v>
      </c>
      <c r="AG28" s="367">
        <f>'Lpg (2)'!C32*1000/85</f>
        <v>1000</v>
      </c>
      <c r="AH28" s="368">
        <f>'Lpg (2)'!D32*1000/85</f>
        <v>1000</v>
      </c>
      <c r="AI28" s="653">
        <f t="shared" si="17"/>
        <v>5952941.1764705889</v>
      </c>
      <c r="AJ28" s="652">
        <f t="shared" si="4"/>
        <v>47058.823529411107</v>
      </c>
      <c r="AK28" s="145"/>
    </row>
    <row r="29" spans="1:37" ht="18" thickBot="1">
      <c r="A29" s="95">
        <f>[1]Gen!A34</f>
        <v>43762</v>
      </c>
      <c r="B29" s="643">
        <f>'Summery Report'!E28</f>
        <v>7</v>
      </c>
      <c r="C29" s="160">
        <f>Gen!B34</f>
        <v>0.09</v>
      </c>
      <c r="D29" s="644">
        <f>'Summery Report'!D28</f>
        <v>7</v>
      </c>
      <c r="E29" s="645">
        <f t="shared" si="14"/>
        <v>1.3262195121951219</v>
      </c>
      <c r="F29" s="646">
        <f t="shared" si="5"/>
        <v>400.37998693379785</v>
      </c>
      <c r="G29" s="646">
        <f t="shared" si="0"/>
        <v>472.5073824041811</v>
      </c>
      <c r="H29" s="645">
        <f>Gen!C34</f>
        <v>44216.97000000003</v>
      </c>
      <c r="I29" s="647">
        <f>Gen!D34</f>
        <v>10000</v>
      </c>
      <c r="J29" s="143">
        <f>Gen!S34</f>
        <v>2113.27</v>
      </c>
      <c r="K29" s="143">
        <f>Gen!AJ34</f>
        <v>380.7</v>
      </c>
      <c r="L29" s="143">
        <f t="shared" si="1"/>
        <v>2493.9699999999998</v>
      </c>
      <c r="M29" s="701">
        <f>'Water-Meter'!K69</f>
        <v>502.84143956672528</v>
      </c>
      <c r="N29" s="226"/>
      <c r="O29" s="237">
        <v>2.2999999999999998</v>
      </c>
      <c r="P29" s="237">
        <v>18537</v>
      </c>
      <c r="Q29" s="648">
        <f t="shared" si="2"/>
        <v>0</v>
      </c>
      <c r="R29" s="649">
        <f t="shared" si="6"/>
        <v>0</v>
      </c>
      <c r="S29" s="237">
        <v>4.7</v>
      </c>
      <c r="T29" s="415">
        <v>15719</v>
      </c>
      <c r="U29" s="648">
        <f t="shared" si="7"/>
        <v>0</v>
      </c>
      <c r="V29" s="650">
        <f t="shared" si="18"/>
        <v>0</v>
      </c>
      <c r="W29" s="237">
        <v>5.2</v>
      </c>
      <c r="X29" s="569">
        <v>21090</v>
      </c>
      <c r="Y29" s="648">
        <f t="shared" si="9"/>
        <v>23</v>
      </c>
      <c r="Z29" s="650">
        <f t="shared" si="10"/>
        <v>119.60000000000001</v>
      </c>
      <c r="AA29" s="650">
        <f t="shared" si="11"/>
        <v>2527267.6</v>
      </c>
      <c r="AB29" s="556">
        <v>14378</v>
      </c>
      <c r="AC29" s="139">
        <f t="shared" si="19"/>
        <v>110</v>
      </c>
      <c r="AD29" s="237">
        <v>190549</v>
      </c>
      <c r="AE29" s="244">
        <f t="shared" si="15"/>
        <v>30</v>
      </c>
      <c r="AF29" s="366">
        <f>'Lpg (2)'!B33*2000/85</f>
        <v>1905.8823529411766</v>
      </c>
      <c r="AG29" s="367">
        <f>'Lpg (2)'!C33*1000/85</f>
        <v>1000</v>
      </c>
      <c r="AH29" s="368">
        <f>'Lpg (2)'!D33*1000/85</f>
        <v>1000</v>
      </c>
      <c r="AI29" s="653">
        <f t="shared" si="17"/>
        <v>5811764.7058823537</v>
      </c>
      <c r="AJ29" s="652">
        <f t="shared" si="4"/>
        <v>141176.47058823518</v>
      </c>
      <c r="AK29" s="145"/>
    </row>
    <row r="30" spans="1:37" ht="18" thickBot="1">
      <c r="A30" s="95">
        <f>[1]Gen!A35</f>
        <v>43763</v>
      </c>
      <c r="B30" s="643">
        <f>'Summery Report'!E29</f>
        <v>19</v>
      </c>
      <c r="C30" s="160">
        <f>Gen!B35</f>
        <v>0.28599999999999998</v>
      </c>
      <c r="D30" s="644">
        <f>'Summery Report'!D29</f>
        <v>19</v>
      </c>
      <c r="E30" s="645">
        <f t="shared" si="14"/>
        <v>1.3262195121951219</v>
      </c>
      <c r="F30" s="646">
        <f t="shared" si="5"/>
        <v>146.89765725288834</v>
      </c>
      <c r="G30" s="646">
        <f t="shared" si="0"/>
        <v>165.97916399229783</v>
      </c>
      <c r="H30" s="645">
        <f>Gen!C35</f>
        <v>41723.000000000029</v>
      </c>
      <c r="I30" s="647">
        <f>Gen!D35</f>
        <v>0</v>
      </c>
      <c r="J30" s="143">
        <f>Gen!S35</f>
        <v>2104.5200000000004</v>
      </c>
      <c r="K30" s="143">
        <f>Gen!AJ35</f>
        <v>273.37</v>
      </c>
      <c r="L30" s="143">
        <f t="shared" si="1"/>
        <v>2377.8900000000003</v>
      </c>
      <c r="M30" s="701">
        <f>'Water-Meter'!K70</f>
        <v>521.63170022418626</v>
      </c>
      <c r="N30" s="226"/>
      <c r="O30" s="237">
        <v>2.2999999999999998</v>
      </c>
      <c r="P30" s="237">
        <v>18537</v>
      </c>
      <c r="Q30" s="648">
        <f t="shared" si="2"/>
        <v>0</v>
      </c>
      <c r="R30" s="649">
        <f t="shared" si="6"/>
        <v>0</v>
      </c>
      <c r="S30" s="237">
        <v>4.7</v>
      </c>
      <c r="T30" s="415">
        <v>15719</v>
      </c>
      <c r="U30" s="648">
        <f t="shared" si="7"/>
        <v>0</v>
      </c>
      <c r="V30" s="650">
        <f t="shared" si="18"/>
        <v>0</v>
      </c>
      <c r="W30" s="237">
        <v>5</v>
      </c>
      <c r="X30" s="569">
        <v>21106</v>
      </c>
      <c r="Y30" s="648">
        <f t="shared" si="9"/>
        <v>16</v>
      </c>
      <c r="Z30" s="650">
        <f t="shared" si="10"/>
        <v>80</v>
      </c>
      <c r="AA30" s="650">
        <f t="shared" si="11"/>
        <v>1692400</v>
      </c>
      <c r="AB30" s="556">
        <v>14454</v>
      </c>
      <c r="AC30" s="139">
        <f t="shared" si="19"/>
        <v>76</v>
      </c>
      <c r="AD30" s="237">
        <v>190600</v>
      </c>
      <c r="AE30" s="244">
        <f t="shared" si="15"/>
        <v>51</v>
      </c>
      <c r="AF30" s="366">
        <f>'Lpg (2)'!B34*2000/85</f>
        <v>1952.9411764705883</v>
      </c>
      <c r="AG30" s="367">
        <f>'Lpg (2)'!C34*1000/85</f>
        <v>1000</v>
      </c>
      <c r="AH30" s="368">
        <f>'Lpg (2)'!D34*1000/85</f>
        <v>1000</v>
      </c>
      <c r="AI30" s="653">
        <f t="shared" si="17"/>
        <v>5905882.3529411759</v>
      </c>
      <c r="AJ30" s="652">
        <f t="shared" si="4"/>
        <v>-94117.647058822215</v>
      </c>
      <c r="AK30" s="145"/>
    </row>
    <row r="31" spans="1:37" ht="18" thickBot="1">
      <c r="A31" s="95">
        <f>[1]Gen!A36</f>
        <v>43764</v>
      </c>
      <c r="B31" s="643">
        <f>'Summery Report'!E30</f>
        <v>42</v>
      </c>
      <c r="C31" s="160">
        <f>Gen!B36</f>
        <v>0.54500000000000004</v>
      </c>
      <c r="D31" s="644">
        <f>'Summery Report'!D30</f>
        <v>42</v>
      </c>
      <c r="E31" s="645">
        <f t="shared" si="14"/>
        <v>1.3262195121951219</v>
      </c>
      <c r="F31" s="646">
        <f t="shared" si="5"/>
        <v>78.001916376306625</v>
      </c>
      <c r="G31" s="646">
        <f t="shared" si="0"/>
        <v>90.523954703832757</v>
      </c>
      <c r="H31" s="645">
        <f>Gen!C36</f>
        <v>39345.11000000003</v>
      </c>
      <c r="I31" s="647">
        <f>Gen!D36</f>
        <v>0</v>
      </c>
      <c r="J31" s="143">
        <f>Gen!S36</f>
        <v>2470.2400000000002</v>
      </c>
      <c r="K31" s="143">
        <f>Gen!AJ36</f>
        <v>396.56</v>
      </c>
      <c r="L31" s="143">
        <f t="shared" si="1"/>
        <v>2866.8</v>
      </c>
      <c r="M31" s="701">
        <f>'Water-Meter'!K71</f>
        <v>482.25716287806983</v>
      </c>
      <c r="N31" s="226"/>
      <c r="O31" s="237">
        <v>2.2999999999999998</v>
      </c>
      <c r="P31" s="237">
        <v>18537</v>
      </c>
      <c r="Q31" s="648">
        <f t="shared" si="2"/>
        <v>0</v>
      </c>
      <c r="R31" s="649">
        <f t="shared" si="6"/>
        <v>0</v>
      </c>
      <c r="S31" s="237">
        <v>4.7</v>
      </c>
      <c r="T31" s="415">
        <v>15719</v>
      </c>
      <c r="U31" s="648">
        <f t="shared" si="7"/>
        <v>0</v>
      </c>
      <c r="V31" s="650">
        <f t="shared" si="18"/>
        <v>0</v>
      </c>
      <c r="W31" s="237">
        <v>5.3</v>
      </c>
      <c r="X31" s="569">
        <v>21131</v>
      </c>
      <c r="Y31" s="648">
        <f t="shared" si="9"/>
        <v>25</v>
      </c>
      <c r="Z31" s="650">
        <f t="shared" si="10"/>
        <v>132.5</v>
      </c>
      <c r="AA31" s="650">
        <f t="shared" si="11"/>
        <v>2806217.5</v>
      </c>
      <c r="AB31" s="556">
        <v>14570</v>
      </c>
      <c r="AC31" s="139">
        <f t="shared" si="19"/>
        <v>116</v>
      </c>
      <c r="AD31" s="237">
        <v>190646</v>
      </c>
      <c r="AE31" s="244">
        <f t="shared" si="15"/>
        <v>46</v>
      </c>
      <c r="AF31" s="366">
        <f>'Lpg (2)'!B35*2000/85</f>
        <v>1905.8823529411766</v>
      </c>
      <c r="AG31" s="367">
        <f>'Lpg (2)'!C35*1000/85</f>
        <v>1000</v>
      </c>
      <c r="AH31" s="368">
        <f>'Lpg (2)'!D35*1000/85</f>
        <v>1000</v>
      </c>
      <c r="AI31" s="653">
        <f t="shared" si="17"/>
        <v>5811764.7058823537</v>
      </c>
      <c r="AJ31" s="652">
        <f t="shared" si="4"/>
        <v>94117.647058822215</v>
      </c>
      <c r="AK31" s="145"/>
    </row>
    <row r="32" spans="1:37" ht="18" thickBot="1">
      <c r="A32" s="95">
        <f>[1]Gen!A37</f>
        <v>43765</v>
      </c>
      <c r="B32" s="643">
        <f>'Summery Report'!E31</f>
        <v>52</v>
      </c>
      <c r="C32" s="160">
        <f>Gen!B37</f>
        <v>0.67500000000000004</v>
      </c>
      <c r="D32" s="644">
        <f>'Summery Report'!D31</f>
        <v>52</v>
      </c>
      <c r="E32" s="645">
        <f t="shared" si="14"/>
        <v>1.3262195121951219</v>
      </c>
      <c r="F32" s="646">
        <f t="shared" si="5"/>
        <v>59.265179409005626</v>
      </c>
      <c r="G32" s="646">
        <f t="shared" si="0"/>
        <v>66.422429057223255</v>
      </c>
      <c r="H32" s="645">
        <f>Gen!C37</f>
        <v>36478.310000000027</v>
      </c>
      <c r="I32" s="647">
        <f>Gen!D37</f>
        <v>0</v>
      </c>
      <c r="J32" s="143">
        <f>Gen!S37</f>
        <v>2323.7399999999998</v>
      </c>
      <c r="K32" s="143">
        <f>Gen!AJ37</f>
        <v>280.63</v>
      </c>
      <c r="L32" s="143">
        <f t="shared" si="1"/>
        <v>2604.37</v>
      </c>
      <c r="M32" s="701">
        <f>'Water-Meter'!K72</f>
        <v>457.77812220195733</v>
      </c>
      <c r="N32" s="226"/>
      <c r="O32" s="237">
        <v>2.2999999999999998</v>
      </c>
      <c r="P32" s="237">
        <v>18537</v>
      </c>
      <c r="Q32" s="648">
        <f t="shared" si="2"/>
        <v>0</v>
      </c>
      <c r="R32" s="649">
        <f t="shared" si="6"/>
        <v>0</v>
      </c>
      <c r="S32" s="237">
        <v>4.7</v>
      </c>
      <c r="T32" s="415">
        <v>15719</v>
      </c>
      <c r="U32" s="648">
        <f t="shared" si="7"/>
        <v>0</v>
      </c>
      <c r="V32" s="650">
        <f t="shared" si="18"/>
        <v>0</v>
      </c>
      <c r="W32" s="237">
        <v>5.3</v>
      </c>
      <c r="X32" s="569">
        <v>21155</v>
      </c>
      <c r="Y32" s="648">
        <f t="shared" si="9"/>
        <v>24</v>
      </c>
      <c r="Z32" s="650">
        <f t="shared" si="10"/>
        <v>127.19999999999999</v>
      </c>
      <c r="AA32" s="650">
        <f t="shared" si="11"/>
        <v>2696894.4</v>
      </c>
      <c r="AB32" s="556">
        <v>14687</v>
      </c>
      <c r="AC32" s="139">
        <f t="shared" si="19"/>
        <v>117</v>
      </c>
      <c r="AD32" s="237">
        <v>190676</v>
      </c>
      <c r="AE32" s="244">
        <f t="shared" si="15"/>
        <v>30</v>
      </c>
      <c r="AF32" s="366">
        <f>'Lpg (2)'!B36*2000/85</f>
        <v>1882.3529411764705</v>
      </c>
      <c r="AG32" s="367">
        <f>'Lpg (2)'!C36*1000/85</f>
        <v>1000</v>
      </c>
      <c r="AH32" s="368">
        <f>'Lpg (2)'!D36*1000/85</f>
        <v>1000</v>
      </c>
      <c r="AI32" s="653">
        <f t="shared" si="17"/>
        <v>5764705.8823529407</v>
      </c>
      <c r="AJ32" s="652">
        <f t="shared" si="4"/>
        <v>47058.82352941297</v>
      </c>
      <c r="AK32" s="145"/>
    </row>
    <row r="33" spans="1:37" ht="18" thickBot="1">
      <c r="A33" s="95">
        <f>[1]Gen!A38</f>
        <v>43766</v>
      </c>
      <c r="B33" s="643">
        <f>'Summery Report'!E32</f>
        <v>21</v>
      </c>
      <c r="C33" s="160">
        <f>Gen!B38</f>
        <v>0.27300000000000002</v>
      </c>
      <c r="D33" s="644">
        <f>'Summery Report'!D32</f>
        <v>21</v>
      </c>
      <c r="E33" s="645">
        <f t="shared" si="14"/>
        <v>1.3262195121951219</v>
      </c>
      <c r="F33" s="646">
        <f t="shared" si="5"/>
        <v>128.31679006968639</v>
      </c>
      <c r="G33" s="646">
        <f t="shared" si="0"/>
        <v>171.02674216027873</v>
      </c>
      <c r="H33" s="645">
        <f>Gen!C38</f>
        <v>44873.940000000024</v>
      </c>
      <c r="I33" s="647">
        <f>Gen!D38</f>
        <v>11000</v>
      </c>
      <c r="J33" s="143">
        <f>Gen!S38</f>
        <v>2031.83</v>
      </c>
      <c r="K33" s="143">
        <f>Gen!AJ38</f>
        <v>676.29</v>
      </c>
      <c r="L33" s="143">
        <f t="shared" si="1"/>
        <v>2708.12</v>
      </c>
      <c r="M33" s="701">
        <f>'Water-Meter'!K73</f>
        <v>478.72678789842894</v>
      </c>
      <c r="N33" s="226"/>
      <c r="O33" s="237">
        <v>2.2999999999999998</v>
      </c>
      <c r="P33" s="237">
        <v>18537</v>
      </c>
      <c r="Q33" s="648">
        <f t="shared" si="2"/>
        <v>0</v>
      </c>
      <c r="R33" s="649">
        <f t="shared" si="6"/>
        <v>0</v>
      </c>
      <c r="S33" s="237">
        <v>4.7</v>
      </c>
      <c r="T33" s="415">
        <v>15719</v>
      </c>
      <c r="U33" s="648">
        <f t="shared" si="7"/>
        <v>0</v>
      </c>
      <c r="V33" s="650">
        <f t="shared" si="18"/>
        <v>0</v>
      </c>
      <c r="W33" s="237">
        <v>5.4</v>
      </c>
      <c r="X33" s="569">
        <v>21179</v>
      </c>
      <c r="Y33" s="648">
        <f t="shared" si="9"/>
        <v>24</v>
      </c>
      <c r="Z33" s="650">
        <f t="shared" si="10"/>
        <v>129.60000000000002</v>
      </c>
      <c r="AA33" s="650">
        <f t="shared" si="11"/>
        <v>2752315.2000000007</v>
      </c>
      <c r="AB33" s="556">
        <v>14805</v>
      </c>
      <c r="AC33" s="139">
        <f t="shared" si="19"/>
        <v>118</v>
      </c>
      <c r="AD33" s="237">
        <v>190720</v>
      </c>
      <c r="AE33" s="244">
        <f t="shared" si="15"/>
        <v>44</v>
      </c>
      <c r="AF33" s="366">
        <f>'Lpg (2)'!B37*2000/85</f>
        <v>1835.2941176470588</v>
      </c>
      <c r="AG33" s="367">
        <f>'Lpg (2)'!C37*1000/85</f>
        <v>1000</v>
      </c>
      <c r="AH33" s="368">
        <f>'Lpg (2)'!D37*1000/85</f>
        <v>1000</v>
      </c>
      <c r="AI33" s="653">
        <f t="shared" si="17"/>
        <v>5670588.2352941176</v>
      </c>
      <c r="AJ33" s="652">
        <f t="shared" si="4"/>
        <v>94117.647058823146</v>
      </c>
      <c r="AK33" s="145"/>
    </row>
    <row r="34" spans="1:37" ht="18" thickBot="1">
      <c r="A34" s="95">
        <f>[1]Gen!A39</f>
        <v>43767</v>
      </c>
      <c r="B34" s="643">
        <f>'Summery Report'!E33</f>
        <v>32</v>
      </c>
      <c r="C34" s="160">
        <f>Gen!B39</f>
        <v>0.41599999999999998</v>
      </c>
      <c r="D34" s="644">
        <f>'Summery Report'!D33</f>
        <v>32</v>
      </c>
      <c r="E34" s="645">
        <f t="shared" si="14"/>
        <v>1.3262195121951219</v>
      </c>
      <c r="F34" s="646">
        <f t="shared" si="5"/>
        <v>88.333265053353657</v>
      </c>
      <c r="G34" s="646">
        <f t="shared" si="0"/>
        <v>93.335599275914618</v>
      </c>
      <c r="H34" s="645">
        <f>Gen!C39</f>
        <v>42165.820000000022</v>
      </c>
      <c r="I34" s="647">
        <f>Gen!D39</f>
        <v>0</v>
      </c>
      <c r="J34" s="143">
        <f>Gen!S39</f>
        <v>2131.37</v>
      </c>
      <c r="K34" s="143">
        <f>Gen!AJ39</f>
        <v>120.7</v>
      </c>
      <c r="L34" s="143">
        <f t="shared" si="1"/>
        <v>2252.0699999999997</v>
      </c>
      <c r="M34" s="701">
        <f>'Water-Meter'!K74</f>
        <v>469.77864987243493</v>
      </c>
      <c r="N34" s="226">
        <f>'[1]Water-Meter'!E34</f>
        <v>0</v>
      </c>
      <c r="O34" s="237">
        <v>2.2999999999999998</v>
      </c>
      <c r="P34" s="237">
        <v>18537</v>
      </c>
      <c r="Q34" s="648">
        <f t="shared" si="2"/>
        <v>0</v>
      </c>
      <c r="R34" s="649">
        <f t="shared" si="6"/>
        <v>0</v>
      </c>
      <c r="S34" s="237">
        <v>4.7</v>
      </c>
      <c r="T34" s="415">
        <v>15719</v>
      </c>
      <c r="U34" s="648">
        <f t="shared" si="7"/>
        <v>0</v>
      </c>
      <c r="V34" s="650">
        <f t="shared" si="18"/>
        <v>0</v>
      </c>
      <c r="W34" s="237">
        <v>5.4</v>
      </c>
      <c r="X34" s="569">
        <v>21202</v>
      </c>
      <c r="Y34" s="648">
        <f t="shared" si="9"/>
        <v>23</v>
      </c>
      <c r="Z34" s="650">
        <f t="shared" si="10"/>
        <v>124.2</v>
      </c>
      <c r="AA34" s="650">
        <f t="shared" si="11"/>
        <v>0</v>
      </c>
      <c r="AB34" s="556">
        <v>14921</v>
      </c>
      <c r="AC34" s="139">
        <f t="shared" si="19"/>
        <v>116</v>
      </c>
      <c r="AD34" s="237">
        <v>190758</v>
      </c>
      <c r="AE34" s="244">
        <f t="shared" si="15"/>
        <v>38</v>
      </c>
      <c r="AF34" s="366">
        <f>'Lpg (2)'!B38*2000/85</f>
        <v>1811.7647058823529</v>
      </c>
      <c r="AG34" s="367">
        <f>'Lpg (2)'!C38*1000/85</f>
        <v>1000</v>
      </c>
      <c r="AH34" s="368">
        <f>'Lpg (2)'!D38*1000/85</f>
        <v>1000</v>
      </c>
      <c r="AI34" s="653">
        <f t="shared" si="17"/>
        <v>5623529.4117647056</v>
      </c>
      <c r="AJ34" s="652">
        <f t="shared" si="4"/>
        <v>47058.823529412039</v>
      </c>
      <c r="AK34" s="145"/>
    </row>
    <row r="35" spans="1:37" ht="18" thickBot="1">
      <c r="A35" s="95">
        <f>[1]Gen!A40</f>
        <v>43768</v>
      </c>
      <c r="B35" s="643">
        <f>'Summery Report'!E34</f>
        <v>32</v>
      </c>
      <c r="C35" s="160">
        <f>Gen!B40</f>
        <v>0.42899999999999999</v>
      </c>
      <c r="D35" s="644">
        <f>'Summery Report'!D34</f>
        <v>32</v>
      </c>
      <c r="E35" s="645">
        <f t="shared" si="14"/>
        <v>1.3262195121951219</v>
      </c>
      <c r="F35" s="646">
        <f t="shared" si="5"/>
        <v>84.287052210365857</v>
      </c>
      <c r="G35" s="646">
        <f t="shared" si="0"/>
        <v>85.344712271341464</v>
      </c>
      <c r="H35" s="645">
        <f>Gen!C40</f>
        <v>39913.750000000022</v>
      </c>
      <c r="I35" s="647">
        <f>Gen!D40</f>
        <v>0</v>
      </c>
      <c r="J35" s="143">
        <f>Gen!S40</f>
        <v>2033.74</v>
      </c>
      <c r="K35" s="143">
        <f>Gen!AJ40</f>
        <v>25.52</v>
      </c>
      <c r="L35" s="143">
        <f t="shared" si="1"/>
        <v>2059.2600000000002</v>
      </c>
      <c r="M35" s="701">
        <f>'Water-Meter'!K75</f>
        <v>441.46815874918218</v>
      </c>
      <c r="N35" s="226">
        <f>'[1]Water-Meter'!E35</f>
        <v>0</v>
      </c>
      <c r="O35" s="237">
        <v>2.2999999999999998</v>
      </c>
      <c r="P35" s="237">
        <v>18537</v>
      </c>
      <c r="Q35" s="648">
        <f t="shared" si="2"/>
        <v>0</v>
      </c>
      <c r="R35" s="649">
        <f t="shared" si="6"/>
        <v>0</v>
      </c>
      <c r="S35" s="237">
        <v>4.7</v>
      </c>
      <c r="T35" s="415">
        <v>15719</v>
      </c>
      <c r="U35" s="648">
        <f t="shared" si="7"/>
        <v>0</v>
      </c>
      <c r="V35" s="650">
        <f t="shared" si="18"/>
        <v>0</v>
      </c>
      <c r="W35" s="237">
        <v>5.4</v>
      </c>
      <c r="X35" s="569">
        <v>21237</v>
      </c>
      <c r="Y35" s="648">
        <f t="shared" si="9"/>
        <v>35</v>
      </c>
      <c r="Z35" s="650">
        <f t="shared" si="10"/>
        <v>189</v>
      </c>
      <c r="AA35" s="650">
        <f t="shared" si="11"/>
        <v>0</v>
      </c>
      <c r="AB35" s="556">
        <v>15043</v>
      </c>
      <c r="AC35" s="139">
        <f t="shared" si="19"/>
        <v>122</v>
      </c>
      <c r="AD35" s="237">
        <v>190789</v>
      </c>
      <c r="AE35" s="244">
        <f t="shared" si="15"/>
        <v>31</v>
      </c>
      <c r="AF35" s="366">
        <f>'Lpg (2)'!B39*2000/85</f>
        <v>1788.2352941176471</v>
      </c>
      <c r="AG35" s="367">
        <f>'Lpg (2)'!C39*1000/85</f>
        <v>1000</v>
      </c>
      <c r="AH35" s="368">
        <f>'Lpg (2)'!D39*1000/85</f>
        <v>1000</v>
      </c>
      <c r="AI35" s="653">
        <f t="shared" si="17"/>
        <v>5576470.5882352944</v>
      </c>
      <c r="AJ35" s="652">
        <f t="shared" si="4"/>
        <v>47058.823529411107</v>
      </c>
      <c r="AK35" s="147"/>
    </row>
    <row r="36" spans="1:37" ht="18" thickBot="1">
      <c r="A36" s="95">
        <f>[1]Gen!A41</f>
        <v>43769</v>
      </c>
      <c r="B36" s="643">
        <f>'Summery Report'!E35</f>
        <v>25</v>
      </c>
      <c r="C36" s="160">
        <f>Gen!B41</f>
        <v>0.32500000000000001</v>
      </c>
      <c r="D36" s="644">
        <f>'Summery Report'!D35</f>
        <v>25</v>
      </c>
      <c r="E36" s="645">
        <f t="shared" si="14"/>
        <v>1.3262195121951219</v>
      </c>
      <c r="F36" s="646">
        <f t="shared" si="5"/>
        <v>0</v>
      </c>
      <c r="G36" s="646">
        <f t="shared" si="0"/>
        <v>0</v>
      </c>
      <c r="H36" s="645">
        <f>Gen!C41</f>
        <v>37854.49000000002</v>
      </c>
      <c r="I36" s="647">
        <f>Gen!D41</f>
        <v>0</v>
      </c>
      <c r="J36" s="154">
        <f>SUM([1]Gen!S41)</f>
        <v>0</v>
      </c>
      <c r="K36" s="143">
        <f>[1]Gen!AJ41</f>
        <v>0</v>
      </c>
      <c r="L36" s="143">
        <f t="shared" si="1"/>
        <v>0</v>
      </c>
      <c r="M36" s="701">
        <f>'Water-Meter'!K76</f>
        <v>417.10187885421374</v>
      </c>
      <c r="N36" s="226">
        <f>'[1]Water-Meter'!E36</f>
        <v>0</v>
      </c>
      <c r="O36" s="237"/>
      <c r="P36" s="237"/>
      <c r="Q36" s="648">
        <f t="shared" si="2"/>
        <v>-18537</v>
      </c>
      <c r="R36" s="649">
        <f t="shared" si="6"/>
        <v>0</v>
      </c>
      <c r="S36" s="237"/>
      <c r="T36" s="415"/>
      <c r="U36" s="648">
        <f t="shared" si="7"/>
        <v>-15719</v>
      </c>
      <c r="V36" s="650">
        <f t="shared" si="18"/>
        <v>0</v>
      </c>
      <c r="W36" s="237"/>
      <c r="X36" s="569"/>
      <c r="Y36" s="648">
        <f t="shared" si="9"/>
        <v>-21237</v>
      </c>
      <c r="Z36" s="650">
        <f t="shared" si="10"/>
        <v>0</v>
      </c>
      <c r="AA36" s="650">
        <f t="shared" si="11"/>
        <v>0</v>
      </c>
      <c r="AB36" s="556">
        <v>15088</v>
      </c>
      <c r="AC36" s="139">
        <f t="shared" si="19"/>
        <v>45</v>
      </c>
      <c r="AD36" s="237">
        <v>190819</v>
      </c>
      <c r="AE36" s="244">
        <f t="shared" si="15"/>
        <v>30</v>
      </c>
      <c r="AF36" s="366">
        <f>'Lpg (2)'!B40*2000/85</f>
        <v>1764.7058823529412</v>
      </c>
      <c r="AG36" s="367">
        <f>'Lpg (2)'!C40*1000/85</f>
        <v>1000</v>
      </c>
      <c r="AH36" s="368">
        <f>'Lpg (2)'!D40*1000/85</f>
        <v>1000</v>
      </c>
      <c r="AI36" s="654">
        <f>SUM(AF36*1000)+(AG36*1000)+(AH36*2000)</f>
        <v>4764705.8823529407</v>
      </c>
      <c r="AJ36" s="655">
        <f t="shared" si="4"/>
        <v>811764.70588235371</v>
      </c>
      <c r="AK36" s="147"/>
    </row>
    <row r="37" spans="1:37" s="9" customFormat="1" ht="15.75" thickBot="1">
      <c r="A37" s="163" t="s">
        <v>69</v>
      </c>
      <c r="B37" s="164">
        <v>0</v>
      </c>
      <c r="C37" s="165"/>
      <c r="D37" s="165"/>
      <c r="E37" s="165"/>
      <c r="F37" s="165"/>
      <c r="G37" s="165"/>
      <c r="H37" s="166"/>
      <c r="I37" s="167"/>
      <c r="J37" s="168">
        <f>SUM(J6:J36)</f>
        <v>69779.819999999992</v>
      </c>
      <c r="K37" s="168"/>
      <c r="L37" s="143">
        <f t="shared" si="1"/>
        <v>69779.819999999992</v>
      </c>
      <c r="M37" s="169"/>
      <c r="N37" s="144">
        <f>'[1]Water-Meter'!E37</f>
        <v>0</v>
      </c>
      <c r="O37" s="169"/>
      <c r="P37" s="169"/>
      <c r="Q37" s="169"/>
      <c r="R37" s="169"/>
      <c r="S37" s="169"/>
      <c r="T37" s="169"/>
      <c r="U37" s="392"/>
      <c r="V37" s="169"/>
      <c r="W37" s="169"/>
      <c r="X37" s="169"/>
      <c r="Y37" s="169"/>
      <c r="Z37" s="169"/>
      <c r="AA37" s="656"/>
      <c r="AB37" s="170"/>
      <c r="AC37" s="139">
        <f t="shared" si="19"/>
        <v>-15088</v>
      </c>
      <c r="AD37" s="237"/>
      <c r="AE37" s="244">
        <f t="shared" si="15"/>
        <v>-190819</v>
      </c>
      <c r="AF37" s="169"/>
      <c r="AG37" s="169"/>
      <c r="AH37" s="169"/>
      <c r="AI37" s="166"/>
      <c r="AJ37" s="171">
        <f>SUM(AJ6:AJ36)</f>
        <v>-4764705.8823529407</v>
      </c>
      <c r="AK37" s="172">
        <f>SUM(AK6:AK36)</f>
        <v>0</v>
      </c>
    </row>
    <row r="38" spans="1:37" s="75" customFormat="1">
      <c r="A38" s="388"/>
      <c r="B38" s="389"/>
      <c r="C38" s="390"/>
      <c r="D38" s="390"/>
      <c r="E38" s="390"/>
      <c r="F38" s="390"/>
      <c r="G38" s="390"/>
      <c r="H38" s="389"/>
      <c r="I38" s="389"/>
      <c r="J38" s="391"/>
      <c r="K38" s="391"/>
      <c r="L38" s="391"/>
      <c r="M38" s="392"/>
      <c r="N38" s="392"/>
      <c r="O38" s="392"/>
      <c r="P38" s="392"/>
      <c r="Q38" s="392"/>
      <c r="R38" s="392"/>
      <c r="S38" s="392"/>
      <c r="T38" s="392"/>
      <c r="U38" s="392"/>
      <c r="V38" s="392"/>
      <c r="W38" s="392"/>
      <c r="X38" s="161"/>
      <c r="Y38" s="161"/>
      <c r="Z38" s="161"/>
      <c r="AA38" s="140"/>
      <c r="AB38" s="140"/>
      <c r="AC38" s="162"/>
      <c r="AD38" s="140"/>
      <c r="AE38" s="162"/>
      <c r="AF38" s="161"/>
      <c r="AG38" s="161"/>
      <c r="AH38" s="161"/>
      <c r="AI38" s="140"/>
      <c r="AJ38" s="140"/>
      <c r="AK38" s="161"/>
    </row>
    <row r="39" spans="1:37">
      <c r="C39" s="141"/>
      <c r="J39" s="141"/>
      <c r="X39" s="141"/>
      <c r="AF39" s="141"/>
      <c r="AH39" s="140"/>
    </row>
    <row r="40" spans="1:37" ht="30.75" customHeight="1">
      <c r="C40" s="141"/>
      <c r="J40" s="141"/>
      <c r="X40" s="141"/>
    </row>
    <row r="41" spans="1:37">
      <c r="C41" s="141"/>
      <c r="J41" s="141"/>
    </row>
    <row r="42" spans="1:37">
      <c r="C42" s="141"/>
      <c r="J42" s="141"/>
    </row>
    <row r="43" spans="1:37" ht="15">
      <c r="C43" s="141"/>
      <c r="J43" s="141"/>
      <c r="X43" s="657"/>
    </row>
    <row r="44" spans="1:37" ht="15">
      <c r="C44" s="141"/>
      <c r="J44" s="141"/>
      <c r="X44" s="658"/>
    </row>
    <row r="45" spans="1:37" ht="15">
      <c r="C45" s="141"/>
      <c r="J45" s="141"/>
      <c r="X45" s="657"/>
    </row>
    <row r="46" spans="1:37" ht="15">
      <c r="C46" s="141"/>
      <c r="J46" s="141"/>
      <c r="X46" s="658"/>
    </row>
    <row r="47" spans="1:37">
      <c r="C47" s="141"/>
      <c r="J47" s="141"/>
    </row>
    <row r="48" spans="1:37">
      <c r="C48" s="141"/>
      <c r="J48" s="141"/>
    </row>
    <row r="49" spans="3:10">
      <c r="C49" s="141"/>
      <c r="J49" s="141"/>
    </row>
    <row r="50" spans="3:10">
      <c r="C50" s="141"/>
      <c r="J50" s="141"/>
    </row>
    <row r="51" spans="3:10">
      <c r="C51" s="141"/>
      <c r="J51" s="141"/>
    </row>
    <row r="52" spans="3:10">
      <c r="C52" s="141"/>
      <c r="J52" s="141"/>
    </row>
    <row r="53" spans="3:10">
      <c r="C53" s="141"/>
      <c r="J53" s="141"/>
    </row>
    <row r="54" spans="3:10">
      <c r="C54" s="141"/>
      <c r="J54" s="141"/>
    </row>
    <row r="55" spans="3:10">
      <c r="C55" s="141"/>
      <c r="J55" s="141"/>
    </row>
    <row r="56" spans="3:10">
      <c r="C56" s="141"/>
      <c r="J56" s="141"/>
    </row>
    <row r="57" spans="3:10">
      <c r="C57" s="141"/>
      <c r="J57" s="141"/>
    </row>
    <row r="58" spans="3:10">
      <c r="C58" s="141"/>
      <c r="J58" s="141"/>
    </row>
    <row r="59" spans="3:10">
      <c r="C59" s="141"/>
      <c r="J59" s="141"/>
    </row>
    <row r="60" spans="3:10">
      <c r="C60" s="141"/>
      <c r="J60" s="141"/>
    </row>
    <row r="61" spans="3:10">
      <c r="C61" s="141"/>
      <c r="J61" s="141"/>
    </row>
    <row r="62" spans="3:10">
      <c r="C62" s="141"/>
      <c r="J62" s="141"/>
    </row>
    <row r="63" spans="3:10">
      <c r="C63" s="141"/>
      <c r="J63" s="141"/>
    </row>
    <row r="64" spans="3:10">
      <c r="C64" s="141"/>
      <c r="J64" s="141"/>
    </row>
    <row r="65" spans="3:24">
      <c r="C65" s="141"/>
      <c r="J65" s="141"/>
    </row>
    <row r="66" spans="3:24" ht="15">
      <c r="C66" s="141"/>
      <c r="J66" s="141"/>
      <c r="X66" s="659"/>
    </row>
    <row r="67" spans="3:24" ht="15">
      <c r="C67" s="141"/>
      <c r="J67" s="141"/>
      <c r="X67" s="660"/>
    </row>
    <row r="68" spans="3:24" ht="15">
      <c r="C68" s="141"/>
      <c r="J68" s="141"/>
      <c r="X68" s="660"/>
    </row>
    <row r="69" spans="3:24" ht="15">
      <c r="C69" s="141"/>
      <c r="J69" s="141"/>
      <c r="X69" s="660"/>
    </row>
    <row r="70" spans="3:24" ht="15">
      <c r="C70" s="141"/>
      <c r="J70" s="141"/>
      <c r="X70" s="660"/>
    </row>
    <row r="71" spans="3:24" ht="15">
      <c r="C71" s="141"/>
      <c r="J71" s="141"/>
      <c r="X71" s="660"/>
    </row>
    <row r="72" spans="3:24">
      <c r="C72" s="141"/>
      <c r="J72" s="141"/>
      <c r="X72" s="20"/>
    </row>
    <row r="73" spans="3:24">
      <c r="C73" s="141"/>
      <c r="J73" s="141"/>
      <c r="X73" s="20"/>
    </row>
    <row r="74" spans="3:24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7" zoomScale="86" zoomScaleNormal="86" workbookViewId="0">
      <selection activeCell="S26" sqref="S26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" customWidth="1"/>
    <col min="7" max="7" width="7.85546875" hidden="1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26" t="s">
        <v>152</v>
      </c>
      <c r="C1" s="727"/>
      <c r="D1" s="727"/>
      <c r="E1" s="727"/>
      <c r="F1" s="728"/>
      <c r="G1" s="195"/>
      <c r="H1" s="726" t="s">
        <v>153</v>
      </c>
      <c r="I1" s="727"/>
      <c r="J1" s="727"/>
      <c r="K1" s="727"/>
      <c r="L1" s="728"/>
      <c r="M1" s="726" t="s">
        <v>174</v>
      </c>
      <c r="N1" s="727"/>
      <c r="O1" s="727"/>
      <c r="P1" s="727"/>
      <c r="Q1" s="728"/>
      <c r="R1" s="195"/>
      <c r="T1" s="726" t="s">
        <v>170</v>
      </c>
      <c r="U1" s="727"/>
      <c r="V1" s="727"/>
      <c r="W1" s="727"/>
      <c r="X1" s="728"/>
      <c r="Y1" s="726" t="s">
        <v>173</v>
      </c>
      <c r="Z1" s="727"/>
      <c r="AA1" s="727"/>
      <c r="AB1" s="727"/>
      <c r="AC1" s="728"/>
    </row>
    <row r="2" spans="1:34" ht="75.75" thickBot="1">
      <c r="A2" s="214" t="s">
        <v>24</v>
      </c>
      <c r="B2" s="196" t="s">
        <v>154</v>
      </c>
      <c r="C2" s="197" t="s">
        <v>155</v>
      </c>
      <c r="D2" s="198" t="s">
        <v>156</v>
      </c>
      <c r="E2" s="198" t="s">
        <v>157</v>
      </c>
      <c r="F2" s="199" t="s">
        <v>163</v>
      </c>
      <c r="G2" s="200"/>
      <c r="H2" s="196" t="s">
        <v>154</v>
      </c>
      <c r="I2" s="197" t="s">
        <v>155</v>
      </c>
      <c r="J2" s="198" t="s">
        <v>167</v>
      </c>
      <c r="K2" s="198" t="s">
        <v>166</v>
      </c>
      <c r="L2" s="217" t="s">
        <v>164</v>
      </c>
      <c r="M2" s="196" t="s">
        <v>154</v>
      </c>
      <c r="N2" s="197" t="s">
        <v>155</v>
      </c>
      <c r="O2" s="198" t="s">
        <v>167</v>
      </c>
      <c r="P2" s="198" t="s">
        <v>166</v>
      </c>
      <c r="Q2" s="217" t="s">
        <v>164</v>
      </c>
      <c r="R2" s="479" t="s">
        <v>165</v>
      </c>
      <c r="S2" s="480" t="s">
        <v>162</v>
      </c>
      <c r="T2" s="196" t="s">
        <v>154</v>
      </c>
      <c r="U2" s="197" t="s">
        <v>155</v>
      </c>
      <c r="V2" s="198" t="s">
        <v>172</v>
      </c>
      <c r="W2" s="198" t="s">
        <v>171</v>
      </c>
      <c r="X2" s="199" t="s">
        <v>163</v>
      </c>
      <c r="Y2" s="196" t="s">
        <v>154</v>
      </c>
      <c r="Z2" s="197" t="s">
        <v>155</v>
      </c>
      <c r="AA2" s="198" t="s">
        <v>167</v>
      </c>
      <c r="AB2" s="198" t="s">
        <v>166</v>
      </c>
      <c r="AC2" s="199" t="s">
        <v>164</v>
      </c>
    </row>
    <row r="3" spans="1:34" ht="31.5" customHeight="1" thickBot="1">
      <c r="A3" s="215">
        <v>43070</v>
      </c>
      <c r="B3" s="729" t="s">
        <v>160</v>
      </c>
      <c r="C3" s="730"/>
      <c r="D3" s="212"/>
      <c r="E3" s="573"/>
      <c r="F3" s="213" t="s">
        <v>161</v>
      </c>
      <c r="G3" s="203"/>
      <c r="H3" s="729" t="s">
        <v>160</v>
      </c>
      <c r="I3" s="730"/>
      <c r="J3" s="333"/>
      <c r="K3" s="478">
        <f>'[1]Water-Meter'!G5</f>
        <v>36423</v>
      </c>
      <c r="L3" s="333"/>
      <c r="M3" s="729" t="s">
        <v>160</v>
      </c>
      <c r="N3" s="730"/>
      <c r="O3" s="212"/>
      <c r="P3" s="221">
        <f>'[1]Water-Meter'!J5</f>
        <v>7351</v>
      </c>
      <c r="Q3" s="211"/>
      <c r="R3" s="333"/>
      <c r="S3" s="483"/>
      <c r="T3" s="729" t="s">
        <v>160</v>
      </c>
      <c r="U3" s="730"/>
      <c r="V3" s="212"/>
      <c r="W3" s="202"/>
      <c r="X3" s="210">
        <f t="shared" ref="X3:X35" si="0">(W3-V3)*200</f>
        <v>0</v>
      </c>
      <c r="Y3" s="729" t="s">
        <v>160</v>
      </c>
      <c r="Z3" s="730"/>
      <c r="AA3" s="212"/>
      <c r="AB3" s="221">
        <f>'[1]Water-Meter'!P5</f>
        <v>18541</v>
      </c>
      <c r="AC3" s="225"/>
    </row>
    <row r="4" spans="1:34" ht="19.5" thickBot="1">
      <c r="A4" s="216">
        <f>[1]Gen!B11</f>
        <v>0.623</v>
      </c>
      <c r="B4" s="95">
        <f>[1]Gen!A11</f>
        <v>43739</v>
      </c>
      <c r="C4" s="208"/>
      <c r="D4" s="201">
        <v>7909.6</v>
      </c>
      <c r="E4" s="573">
        <v>7913.1</v>
      </c>
      <c r="F4" s="210">
        <f t="shared" ref="F4:F15" si="1">SUM(E4-D4)*120</f>
        <v>420</v>
      </c>
      <c r="G4" s="203"/>
      <c r="H4" s="246">
        <f>B4</f>
        <v>43739</v>
      </c>
      <c r="I4" s="201"/>
      <c r="J4" s="201">
        <f t="shared" ref="J4:J30" si="2">SUM(K3)</f>
        <v>36423</v>
      </c>
      <c r="K4" s="685">
        <f>'Water-Meter'!G6</f>
        <v>36434</v>
      </c>
      <c r="L4" s="218">
        <f t="shared" ref="L4:L34" si="3">SUM(K4-J4)</f>
        <v>11</v>
      </c>
      <c r="M4" s="481">
        <f>H4</f>
        <v>43739</v>
      </c>
      <c r="N4" s="208"/>
      <c r="O4" s="208">
        <f t="shared" ref="O4:O35" si="4">SUM(P3)</f>
        <v>7351</v>
      </c>
      <c r="P4" s="482">
        <f>'Water-Meter'!J6</f>
        <v>7353</v>
      </c>
      <c r="Q4" s="218">
        <f t="shared" ref="Q4:Q34" si="5">SUM(P4-O4)</f>
        <v>2</v>
      </c>
      <c r="R4" s="222">
        <f t="shared" ref="R4:R20" si="6">SUM(Q4/1615)</f>
        <v>1.238390092879257E-3</v>
      </c>
      <c r="S4" s="223" t="e">
        <f>SUM(F4/[1]Gen!T10)</f>
        <v>#DIV/0!</v>
      </c>
      <c r="T4" s="481">
        <f>M4</f>
        <v>43739</v>
      </c>
      <c r="U4" s="208"/>
      <c r="V4" s="209">
        <v>7100.4</v>
      </c>
      <c r="W4" s="202">
        <v>7104.1</v>
      </c>
      <c r="X4" s="210">
        <f t="shared" si="0"/>
        <v>740.00000000014552</v>
      </c>
      <c r="Y4" s="246">
        <f>T4</f>
        <v>43739</v>
      </c>
      <c r="Z4" s="201"/>
      <c r="AA4" s="201">
        <v>3397.9</v>
      </c>
      <c r="AB4" s="221">
        <f>'Water-Meter'!P6</f>
        <v>18547</v>
      </c>
      <c r="AC4" s="210">
        <f t="shared" ref="AC4:AC34" si="7">SUM(AB4-AA4)</f>
        <v>15149.1</v>
      </c>
    </row>
    <row r="5" spans="1:34" ht="19.5" thickBot="1">
      <c r="A5" s="216">
        <f>[1]Gen!B12</f>
        <v>0.77900000000000003</v>
      </c>
      <c r="B5" s="95">
        <f>[1]Gen!A12</f>
        <v>43740</v>
      </c>
      <c r="C5" s="201"/>
      <c r="D5" s="201">
        <f t="shared" ref="D5:D23" si="8">E4</f>
        <v>7913.1</v>
      </c>
      <c r="E5" s="573">
        <v>7917.1</v>
      </c>
      <c r="F5" s="210">
        <f t="shared" si="1"/>
        <v>480</v>
      </c>
      <c r="G5" s="203"/>
      <c r="H5" s="246">
        <f t="shared" ref="H5:H35" si="9">B5</f>
        <v>43740</v>
      </c>
      <c r="I5" s="201"/>
      <c r="J5" s="201">
        <f t="shared" si="2"/>
        <v>36434</v>
      </c>
      <c r="K5" s="685">
        <f>'Water-Meter'!G7</f>
        <v>36454</v>
      </c>
      <c r="L5" s="218">
        <f t="shared" si="3"/>
        <v>20</v>
      </c>
      <c r="M5" s="246">
        <f t="shared" ref="M5:M35" si="10">H5</f>
        <v>43740</v>
      </c>
      <c r="N5" s="201"/>
      <c r="O5" s="201">
        <f t="shared" si="4"/>
        <v>7353</v>
      </c>
      <c r="P5" s="482">
        <f>'Water-Meter'!J7</f>
        <v>7357</v>
      </c>
      <c r="Q5" s="218">
        <f t="shared" si="5"/>
        <v>4</v>
      </c>
      <c r="R5" s="222">
        <f t="shared" si="6"/>
        <v>2.4767801857585141E-3</v>
      </c>
      <c r="S5" s="223">
        <f>SUM(F5/[1]Gen!T11)</f>
        <v>8.4671017816193336E-2</v>
      </c>
      <c r="T5" s="246">
        <f t="shared" ref="T5:T30" si="11">M5</f>
        <v>43740</v>
      </c>
      <c r="U5" s="201"/>
      <c r="V5" s="201">
        <f t="shared" ref="V5:V33" si="12">W4</f>
        <v>7104.1</v>
      </c>
      <c r="W5" s="202">
        <v>7108.6</v>
      </c>
      <c r="X5" s="210">
        <f t="shared" si="0"/>
        <v>900</v>
      </c>
      <c r="Y5" s="246">
        <f t="shared" ref="Y5:Y30" si="13">T5</f>
        <v>43740</v>
      </c>
      <c r="Z5" s="201"/>
      <c r="AA5" s="201">
        <f t="shared" ref="AA5:AA35" si="14">SUM(AB4)</f>
        <v>18547</v>
      </c>
      <c r="AB5" s="221">
        <f>'Water-Meter'!P7</f>
        <v>18554</v>
      </c>
      <c r="AC5" s="210">
        <f t="shared" si="7"/>
        <v>7</v>
      </c>
    </row>
    <row r="6" spans="1:34" ht="19.5" thickBot="1">
      <c r="A6" s="216">
        <f>[1]Gen!B13</f>
        <v>0.53200000000000003</v>
      </c>
      <c r="B6" s="95">
        <f>[1]Gen!A13</f>
        <v>43741</v>
      </c>
      <c r="C6" s="201"/>
      <c r="D6" s="201">
        <f t="shared" si="8"/>
        <v>7917.1</v>
      </c>
      <c r="E6" s="573">
        <v>7921.3</v>
      </c>
      <c r="F6" s="210">
        <f t="shared" si="1"/>
        <v>503.99999999997817</v>
      </c>
      <c r="G6" s="203"/>
      <c r="H6" s="246">
        <f t="shared" si="9"/>
        <v>43741</v>
      </c>
      <c r="I6" s="201"/>
      <c r="J6" s="201">
        <f t="shared" si="2"/>
        <v>36454</v>
      </c>
      <c r="K6" s="685">
        <f>'Water-Meter'!G8</f>
        <v>36472</v>
      </c>
      <c r="L6" s="218">
        <f t="shared" si="3"/>
        <v>18</v>
      </c>
      <c r="M6" s="246">
        <f t="shared" si="10"/>
        <v>43741</v>
      </c>
      <c r="N6" s="201"/>
      <c r="O6" s="201">
        <f t="shared" si="4"/>
        <v>7357</v>
      </c>
      <c r="P6" s="482">
        <f>'Water-Meter'!J8</f>
        <v>7360</v>
      </c>
      <c r="Q6" s="218">
        <f t="shared" si="5"/>
        <v>3</v>
      </c>
      <c r="R6" s="220">
        <f t="shared" si="6"/>
        <v>1.8575851393188853E-3</v>
      </c>
      <c r="S6" s="223">
        <f>SUM(F6/[1]Gen!T12)</f>
        <v>8.1831466147098256E-2</v>
      </c>
      <c r="T6" s="246">
        <f t="shared" si="11"/>
        <v>43741</v>
      </c>
      <c r="U6" s="201"/>
      <c r="V6" s="201">
        <f t="shared" si="12"/>
        <v>7108.6</v>
      </c>
      <c r="W6" s="202">
        <v>7113.3</v>
      </c>
      <c r="X6" s="210">
        <f t="shared" si="0"/>
        <v>939.99999999996362</v>
      </c>
      <c r="Y6" s="246">
        <f t="shared" si="13"/>
        <v>43741</v>
      </c>
      <c r="Z6" s="201"/>
      <c r="AA6" s="201">
        <f t="shared" si="14"/>
        <v>18554</v>
      </c>
      <c r="AB6" s="221">
        <f>'Water-Meter'!P8</f>
        <v>18563</v>
      </c>
      <c r="AC6" s="210">
        <f t="shared" si="7"/>
        <v>9</v>
      </c>
    </row>
    <row r="7" spans="1:34" ht="19.5" thickBot="1">
      <c r="A7" s="216">
        <f>[1]Gen!B14</f>
        <v>0.61</v>
      </c>
      <c r="B7" s="95">
        <f>[1]Gen!A14</f>
        <v>43742</v>
      </c>
      <c r="C7" s="201"/>
      <c r="D7" s="201">
        <f t="shared" si="8"/>
        <v>7921.3</v>
      </c>
      <c r="E7" s="573">
        <v>7925.6</v>
      </c>
      <c r="F7" s="210">
        <f t="shared" si="1"/>
        <v>516.00000000002183</v>
      </c>
      <c r="G7" s="203"/>
      <c r="H7" s="246">
        <f t="shared" si="9"/>
        <v>43742</v>
      </c>
      <c r="I7" s="201"/>
      <c r="J7" s="201">
        <f t="shared" si="2"/>
        <v>36472</v>
      </c>
      <c r="K7" s="685">
        <f>'Water-Meter'!G9</f>
        <v>36485</v>
      </c>
      <c r="L7" s="218">
        <f t="shared" si="3"/>
        <v>13</v>
      </c>
      <c r="M7" s="246">
        <f t="shared" si="10"/>
        <v>43742</v>
      </c>
      <c r="N7" s="201"/>
      <c r="O7" s="201">
        <f t="shared" si="4"/>
        <v>7360</v>
      </c>
      <c r="P7" s="482">
        <f>'Water-Meter'!J9</f>
        <v>7364</v>
      </c>
      <c r="Q7" s="218">
        <f t="shared" si="5"/>
        <v>4</v>
      </c>
      <c r="R7" s="220">
        <f t="shared" si="6"/>
        <v>2.4767801857585141E-3</v>
      </c>
      <c r="S7" s="223">
        <f>SUM(F7/[1]Gen!T13)</f>
        <v>7.8419452887541305E-2</v>
      </c>
      <c r="T7" s="246">
        <f t="shared" si="11"/>
        <v>43742</v>
      </c>
      <c r="U7" s="201"/>
      <c r="V7" s="201">
        <f t="shared" si="12"/>
        <v>7113.3</v>
      </c>
      <c r="W7" s="202">
        <v>7117.9</v>
      </c>
      <c r="X7" s="210">
        <f t="shared" si="0"/>
        <v>919.99999999989086</v>
      </c>
      <c r="Y7" s="246">
        <f t="shared" si="13"/>
        <v>43742</v>
      </c>
      <c r="Z7" s="201"/>
      <c r="AA7" s="201">
        <f t="shared" si="14"/>
        <v>18563</v>
      </c>
      <c r="AB7" s="221">
        <f>'Water-Meter'!P9</f>
        <v>18575</v>
      </c>
      <c r="AC7" s="210">
        <f t="shared" si="7"/>
        <v>12</v>
      </c>
    </row>
    <row r="8" spans="1:34" ht="19.5" thickBot="1">
      <c r="A8" s="216">
        <f>[1]Gen!B15</f>
        <v>0.68799999999999994</v>
      </c>
      <c r="B8" s="95">
        <f>[1]Gen!A15</f>
        <v>43743</v>
      </c>
      <c r="C8" s="201"/>
      <c r="D8" s="201">
        <f t="shared" si="8"/>
        <v>7925.6</v>
      </c>
      <c r="E8" s="573">
        <v>7930.1</v>
      </c>
      <c r="F8" s="210">
        <f t="shared" si="1"/>
        <v>540</v>
      </c>
      <c r="G8" s="203"/>
      <c r="H8" s="246">
        <f t="shared" si="9"/>
        <v>43743</v>
      </c>
      <c r="I8" s="201"/>
      <c r="J8" s="201">
        <f t="shared" si="2"/>
        <v>36485</v>
      </c>
      <c r="K8" s="685">
        <f>'Water-Meter'!G10</f>
        <v>36500</v>
      </c>
      <c r="L8" s="218">
        <f t="shared" si="3"/>
        <v>15</v>
      </c>
      <c r="M8" s="246">
        <f t="shared" si="10"/>
        <v>43743</v>
      </c>
      <c r="N8" s="201"/>
      <c r="O8" s="201">
        <f t="shared" si="4"/>
        <v>7364</v>
      </c>
      <c r="P8" s="482">
        <f>'Water-Meter'!J10</f>
        <v>7367</v>
      </c>
      <c r="Q8" s="218">
        <f t="shared" si="5"/>
        <v>3</v>
      </c>
      <c r="R8" s="220">
        <f t="shared" si="6"/>
        <v>1.8575851393188853E-3</v>
      </c>
      <c r="S8" s="223">
        <f>SUM(F8/[1]Gen!T14)</f>
        <v>8.6774867427285879E-2</v>
      </c>
      <c r="T8" s="246">
        <f t="shared" si="11"/>
        <v>43743</v>
      </c>
      <c r="U8" s="201"/>
      <c r="V8" s="201">
        <f t="shared" si="12"/>
        <v>7117.9</v>
      </c>
      <c r="W8" s="202">
        <v>7123.1</v>
      </c>
      <c r="X8" s="210">
        <f t="shared" si="0"/>
        <v>1040.0000000001455</v>
      </c>
      <c r="Y8" s="246">
        <f t="shared" si="13"/>
        <v>43743</v>
      </c>
      <c r="Z8" s="201"/>
      <c r="AA8" s="201">
        <f t="shared" si="14"/>
        <v>18575</v>
      </c>
      <c r="AB8" s="221">
        <f>'Water-Meter'!P10</f>
        <v>18586</v>
      </c>
      <c r="AC8" s="210">
        <f t="shared" si="7"/>
        <v>11</v>
      </c>
    </row>
    <row r="9" spans="1:34" ht="19.5" thickBot="1">
      <c r="A9" s="216">
        <f>[1]Gen!B16</f>
        <v>0.53200000000000003</v>
      </c>
      <c r="B9" s="95">
        <f>[1]Gen!A16</f>
        <v>43744</v>
      </c>
      <c r="C9" s="201"/>
      <c r="D9" s="201">
        <f t="shared" si="8"/>
        <v>7930.1</v>
      </c>
      <c r="E9" s="573">
        <v>7933.8</v>
      </c>
      <c r="F9" s="210">
        <f t="shared" si="1"/>
        <v>443.99999999997817</v>
      </c>
      <c r="G9" s="203"/>
      <c r="H9" s="246">
        <f t="shared" si="9"/>
        <v>43744</v>
      </c>
      <c r="I9" s="201"/>
      <c r="J9" s="201">
        <f t="shared" si="2"/>
        <v>36500</v>
      </c>
      <c r="K9" s="685">
        <f>'Water-Meter'!G11</f>
        <v>36516</v>
      </c>
      <c r="L9" s="218">
        <f t="shared" si="3"/>
        <v>16</v>
      </c>
      <c r="M9" s="246">
        <f t="shared" si="10"/>
        <v>43744</v>
      </c>
      <c r="N9" s="201"/>
      <c r="O9" s="201">
        <f t="shared" si="4"/>
        <v>7367</v>
      </c>
      <c r="P9" s="482">
        <f>'Water-Meter'!J11</f>
        <v>7369</v>
      </c>
      <c r="Q9" s="218">
        <f t="shared" si="5"/>
        <v>2</v>
      </c>
      <c r="R9" s="220">
        <f t="shared" si="6"/>
        <v>1.238390092879257E-3</v>
      </c>
      <c r="S9" s="223">
        <f>SUM(F9/[1]Gen!T15)</f>
        <v>7.41978609625632E-2</v>
      </c>
      <c r="T9" s="246">
        <f t="shared" si="11"/>
        <v>43744</v>
      </c>
      <c r="U9" s="201"/>
      <c r="V9" s="201">
        <f t="shared" si="12"/>
        <v>7123.1</v>
      </c>
      <c r="W9" s="202">
        <v>7128.4</v>
      </c>
      <c r="X9" s="210">
        <f t="shared" si="0"/>
        <v>1059.9999999998545</v>
      </c>
      <c r="Y9" s="246">
        <f t="shared" si="13"/>
        <v>43744</v>
      </c>
      <c r="Z9" s="201"/>
      <c r="AA9" s="201">
        <f t="shared" si="14"/>
        <v>18586</v>
      </c>
      <c r="AB9" s="221">
        <f>'Water-Meter'!P11</f>
        <v>18593</v>
      </c>
      <c r="AC9" s="210">
        <f t="shared" si="7"/>
        <v>7</v>
      </c>
    </row>
    <row r="10" spans="1:34" ht="19.5" thickBot="1">
      <c r="A10" s="216">
        <f>[1]Gen!B17</f>
        <v>0.753</v>
      </c>
      <c r="B10" s="95">
        <f>[1]Gen!A17</f>
        <v>43745</v>
      </c>
      <c r="C10" s="201"/>
      <c r="D10" s="201">
        <f t="shared" si="8"/>
        <v>7933.8</v>
      </c>
      <c r="E10" s="573">
        <v>7938.2</v>
      </c>
      <c r="F10" s="210">
        <f t="shared" si="1"/>
        <v>527.99999999995634</v>
      </c>
      <c r="G10" s="203"/>
      <c r="H10" s="246">
        <f t="shared" si="9"/>
        <v>43745</v>
      </c>
      <c r="I10" s="201"/>
      <c r="J10" s="201">
        <f t="shared" si="2"/>
        <v>36516</v>
      </c>
      <c r="K10" s="685">
        <f>'Water-Meter'!G12</f>
        <v>36529</v>
      </c>
      <c r="L10" s="218">
        <f t="shared" si="3"/>
        <v>13</v>
      </c>
      <c r="M10" s="246">
        <f t="shared" si="10"/>
        <v>43745</v>
      </c>
      <c r="N10" s="201"/>
      <c r="O10" s="201">
        <f t="shared" si="4"/>
        <v>7369</v>
      </c>
      <c r="P10" s="482">
        <f>'Water-Meter'!J12</f>
        <v>7372</v>
      </c>
      <c r="Q10" s="218">
        <f t="shared" si="5"/>
        <v>3</v>
      </c>
      <c r="R10" s="220">
        <f t="shared" si="6"/>
        <v>1.8575851393188853E-3</v>
      </c>
      <c r="S10" s="223">
        <f>SUM(F10/[1]Gen!T16)</f>
        <v>8.6514828772727564E-2</v>
      </c>
      <c r="T10" s="246">
        <f t="shared" si="11"/>
        <v>43745</v>
      </c>
      <c r="U10" s="201"/>
      <c r="V10" s="201">
        <f t="shared" si="12"/>
        <v>7128.4</v>
      </c>
      <c r="W10" s="202">
        <v>7134</v>
      </c>
      <c r="X10" s="210">
        <f t="shared" si="0"/>
        <v>1120.0000000000728</v>
      </c>
      <c r="Y10" s="246">
        <f t="shared" si="13"/>
        <v>43745</v>
      </c>
      <c r="Z10" s="201"/>
      <c r="AA10" s="201">
        <f t="shared" si="14"/>
        <v>18593</v>
      </c>
      <c r="AB10" s="221">
        <f>'Water-Meter'!P12</f>
        <v>18606</v>
      </c>
      <c r="AC10" s="210">
        <f t="shared" si="7"/>
        <v>13</v>
      </c>
      <c r="AH10">
        <v>5850</v>
      </c>
    </row>
    <row r="11" spans="1:34" ht="19.5" thickBot="1">
      <c r="A11" s="216">
        <f>[1]Gen!B18</f>
        <v>0.156</v>
      </c>
      <c r="B11" s="95">
        <f>[1]Gen!A18</f>
        <v>43746</v>
      </c>
      <c r="C11" s="201"/>
      <c r="D11" s="201">
        <f t="shared" si="8"/>
        <v>7938.2</v>
      </c>
      <c r="E11" s="573">
        <v>7942.3</v>
      </c>
      <c r="F11" s="210">
        <f t="shared" si="1"/>
        <v>492.00000000004366</v>
      </c>
      <c r="G11" s="203"/>
      <c r="H11" s="246">
        <f t="shared" si="9"/>
        <v>43746</v>
      </c>
      <c r="I11" s="201"/>
      <c r="J11" s="201">
        <f t="shared" si="2"/>
        <v>36529</v>
      </c>
      <c r="K11" s="685">
        <f>'Water-Meter'!G13</f>
        <v>36543</v>
      </c>
      <c r="L11" s="218">
        <f t="shared" si="3"/>
        <v>14</v>
      </c>
      <c r="M11" s="246">
        <f t="shared" si="10"/>
        <v>43746</v>
      </c>
      <c r="N11" s="201"/>
      <c r="O11" s="201">
        <f t="shared" si="4"/>
        <v>7372</v>
      </c>
      <c r="P11" s="482">
        <f>'Water-Meter'!J13</f>
        <v>7374</v>
      </c>
      <c r="Q11" s="218">
        <f t="shared" si="5"/>
        <v>2</v>
      </c>
      <c r="R11" s="220">
        <f t="shared" si="6"/>
        <v>1.238390092879257E-3</v>
      </c>
      <c r="S11" s="223">
        <f>SUM(F11/[1]Gen!T17)</f>
        <v>8.8235294117654892E-2</v>
      </c>
      <c r="T11" s="246">
        <f t="shared" si="11"/>
        <v>43746</v>
      </c>
      <c r="U11" s="201"/>
      <c r="V11" s="201">
        <f t="shared" si="12"/>
        <v>7134</v>
      </c>
      <c r="W11" s="202">
        <v>7138.5</v>
      </c>
      <c r="X11" s="210">
        <f t="shared" si="0"/>
        <v>900</v>
      </c>
      <c r="Y11" s="246">
        <f t="shared" si="13"/>
        <v>43746</v>
      </c>
      <c r="Z11" s="201"/>
      <c r="AA11" s="201">
        <f t="shared" si="14"/>
        <v>18606</v>
      </c>
      <c r="AB11" s="221">
        <f>'Water-Meter'!P13</f>
        <v>18616</v>
      </c>
      <c r="AC11" s="210">
        <f t="shared" si="7"/>
        <v>10</v>
      </c>
    </row>
    <row r="12" spans="1:34" ht="19.5" thickBot="1">
      <c r="A12" s="216">
        <f>[1]Gen!B19</f>
        <v>0.442</v>
      </c>
      <c r="B12" s="95">
        <f>[1]Gen!A19</f>
        <v>43747</v>
      </c>
      <c r="C12" s="201"/>
      <c r="D12" s="201">
        <f t="shared" si="8"/>
        <v>7942.3</v>
      </c>
      <c r="E12" s="573">
        <v>7946.7</v>
      </c>
      <c r="F12" s="210">
        <f t="shared" si="1"/>
        <v>527.99999999995634</v>
      </c>
      <c r="G12" s="203"/>
      <c r="H12" s="246">
        <f t="shared" si="9"/>
        <v>43747</v>
      </c>
      <c r="I12" s="201"/>
      <c r="J12" s="201">
        <f t="shared" si="2"/>
        <v>36543</v>
      </c>
      <c r="K12" s="685">
        <f>'Water-Meter'!G14</f>
        <v>36560</v>
      </c>
      <c r="L12" s="218">
        <f t="shared" si="3"/>
        <v>17</v>
      </c>
      <c r="M12" s="246">
        <f t="shared" si="10"/>
        <v>43747</v>
      </c>
      <c r="N12" s="201"/>
      <c r="O12" s="201">
        <f t="shared" si="4"/>
        <v>7374</v>
      </c>
      <c r="P12" s="482">
        <f>'Water-Meter'!J14</f>
        <v>7377</v>
      </c>
      <c r="Q12" s="218">
        <f t="shared" si="5"/>
        <v>3</v>
      </c>
      <c r="R12" s="220">
        <f t="shared" si="6"/>
        <v>1.8575851393188853E-3</v>
      </c>
      <c r="S12" s="223">
        <f>SUM(F12/[1]Gen!T18)</f>
        <v>9.5444685466369555E-2</v>
      </c>
      <c r="T12" s="246">
        <f t="shared" si="11"/>
        <v>43747</v>
      </c>
      <c r="U12" s="201"/>
      <c r="V12" s="201">
        <f t="shared" si="12"/>
        <v>7138.5</v>
      </c>
      <c r="W12" s="202">
        <v>7142.8</v>
      </c>
      <c r="X12" s="210">
        <f t="shared" si="0"/>
        <v>860.00000000003638</v>
      </c>
      <c r="Y12" s="246">
        <f t="shared" si="13"/>
        <v>43747</v>
      </c>
      <c r="Z12" s="201"/>
      <c r="AA12" s="201">
        <f t="shared" si="14"/>
        <v>18616</v>
      </c>
      <c r="AB12" s="221">
        <f>'Water-Meter'!P14</f>
        <v>18623</v>
      </c>
      <c r="AC12" s="210">
        <f t="shared" si="7"/>
        <v>7</v>
      </c>
    </row>
    <row r="13" spans="1:34" ht="19.5" thickBot="1">
      <c r="A13" s="216">
        <f>[1]Gen!B20</f>
        <v>0.32500000000000001</v>
      </c>
      <c r="B13" s="95">
        <f>[1]Gen!A20</f>
        <v>43748</v>
      </c>
      <c r="C13" s="201"/>
      <c r="D13" s="201">
        <f t="shared" si="8"/>
        <v>7946.7</v>
      </c>
      <c r="E13" s="573">
        <v>7951.1</v>
      </c>
      <c r="F13" s="210">
        <f t="shared" si="1"/>
        <v>528.00000000006548</v>
      </c>
      <c r="G13" s="203"/>
      <c r="H13" s="246">
        <f t="shared" si="9"/>
        <v>43748</v>
      </c>
      <c r="I13" s="201"/>
      <c r="J13" s="201">
        <f t="shared" si="2"/>
        <v>36560</v>
      </c>
      <c r="K13" s="685">
        <f>'Water-Meter'!G15</f>
        <v>36574</v>
      </c>
      <c r="L13" s="218">
        <f t="shared" si="3"/>
        <v>14</v>
      </c>
      <c r="M13" s="246">
        <f t="shared" si="10"/>
        <v>43748</v>
      </c>
      <c r="N13" s="201"/>
      <c r="O13" s="201">
        <f t="shared" si="4"/>
        <v>7377</v>
      </c>
      <c r="P13" s="482">
        <f>'Water-Meter'!J15</f>
        <v>7381</v>
      </c>
      <c r="Q13" s="218">
        <f t="shared" si="5"/>
        <v>4</v>
      </c>
      <c r="R13" s="220">
        <f t="shared" si="6"/>
        <v>2.4767801857585141E-3</v>
      </c>
      <c r="S13" s="223">
        <f>SUM(F13/[1]Gen!T19)</f>
        <v>8.4710412321525028E-2</v>
      </c>
      <c r="T13" s="246">
        <f t="shared" si="11"/>
        <v>43748</v>
      </c>
      <c r="U13" s="201"/>
      <c r="V13" s="201">
        <f t="shared" si="12"/>
        <v>7142.8</v>
      </c>
      <c r="W13" s="202">
        <v>7146.7</v>
      </c>
      <c r="X13" s="210">
        <f t="shared" si="0"/>
        <v>779.99999999992724</v>
      </c>
      <c r="Y13" s="246">
        <f t="shared" si="13"/>
        <v>43748</v>
      </c>
      <c r="Z13" s="201"/>
      <c r="AA13" s="201">
        <f t="shared" si="14"/>
        <v>18623</v>
      </c>
      <c r="AB13" s="221">
        <f>'Water-Meter'!P15</f>
        <v>18634</v>
      </c>
      <c r="AC13" s="210">
        <f t="shared" si="7"/>
        <v>11</v>
      </c>
    </row>
    <row r="14" spans="1:34" ht="19.5" thickBot="1">
      <c r="A14" s="216">
        <f>[1]Gen!B21</f>
        <v>0.45500000000000002</v>
      </c>
      <c r="B14" s="95">
        <f>[1]Gen!A21</f>
        <v>43749</v>
      </c>
      <c r="C14" s="201"/>
      <c r="D14" s="201">
        <f t="shared" si="8"/>
        <v>7951.1</v>
      </c>
      <c r="E14" s="573">
        <v>7955.5</v>
      </c>
      <c r="F14" s="210">
        <f t="shared" si="1"/>
        <v>527.99999999995634</v>
      </c>
      <c r="G14" s="203"/>
      <c r="H14" s="246">
        <f t="shared" si="9"/>
        <v>43749</v>
      </c>
      <c r="I14" s="201"/>
      <c r="J14" s="201">
        <f t="shared" si="2"/>
        <v>36574</v>
      </c>
      <c r="K14" s="685">
        <f>'Water-Meter'!G16</f>
        <v>36591</v>
      </c>
      <c r="L14" s="218">
        <f t="shared" si="3"/>
        <v>17</v>
      </c>
      <c r="M14" s="246">
        <f t="shared" si="10"/>
        <v>43749</v>
      </c>
      <c r="N14" s="201"/>
      <c r="O14" s="201">
        <f t="shared" si="4"/>
        <v>7381</v>
      </c>
      <c r="P14" s="482">
        <f>'Water-Meter'!J16</f>
        <v>7385</v>
      </c>
      <c r="Q14" s="218">
        <f t="shared" si="5"/>
        <v>4</v>
      </c>
      <c r="R14" s="220">
        <f t="shared" si="6"/>
        <v>2.4767801857585141E-3</v>
      </c>
      <c r="S14" s="223">
        <f>SUM(F14/[1]Gen!T20)</f>
        <v>8.7085601187523731E-2</v>
      </c>
      <c r="T14" s="246">
        <f t="shared" si="11"/>
        <v>43749</v>
      </c>
      <c r="U14" s="201"/>
      <c r="V14" s="201">
        <f t="shared" si="12"/>
        <v>7146.7</v>
      </c>
      <c r="W14" s="202">
        <v>7151.2</v>
      </c>
      <c r="X14" s="210">
        <f t="shared" si="0"/>
        <v>900</v>
      </c>
      <c r="Y14" s="246">
        <f t="shared" si="13"/>
        <v>43749</v>
      </c>
      <c r="Z14" s="201"/>
      <c r="AA14" s="201">
        <f t="shared" si="14"/>
        <v>18634</v>
      </c>
      <c r="AB14" s="221">
        <f>'Water-Meter'!P16</f>
        <v>18643</v>
      </c>
      <c r="AC14" s="210">
        <f t="shared" si="7"/>
        <v>9</v>
      </c>
    </row>
    <row r="15" spans="1:34" ht="19.5" thickBot="1">
      <c r="A15" s="216">
        <f>[1]Gen!B22</f>
        <v>0.41599999999999998</v>
      </c>
      <c r="B15" s="95">
        <f>[1]Gen!A22</f>
        <v>43750</v>
      </c>
      <c r="C15" s="201"/>
      <c r="D15" s="201">
        <f t="shared" si="8"/>
        <v>7955.5</v>
      </c>
      <c r="E15" s="573">
        <v>7960.1</v>
      </c>
      <c r="F15" s="210">
        <f t="shared" si="1"/>
        <v>552.00000000004366</v>
      </c>
      <c r="G15" s="203"/>
      <c r="H15" s="246">
        <f t="shared" si="9"/>
        <v>43750</v>
      </c>
      <c r="I15" s="201"/>
      <c r="J15" s="201">
        <f t="shared" si="2"/>
        <v>36591</v>
      </c>
      <c r="K15" s="685">
        <f>'Water-Meter'!G17</f>
        <v>36605</v>
      </c>
      <c r="L15" s="218">
        <f t="shared" si="3"/>
        <v>14</v>
      </c>
      <c r="M15" s="246">
        <f t="shared" si="10"/>
        <v>43750</v>
      </c>
      <c r="N15" s="201"/>
      <c r="O15" s="201">
        <f t="shared" si="4"/>
        <v>7385</v>
      </c>
      <c r="P15" s="482">
        <f>'Water-Meter'!J17</f>
        <v>7388</v>
      </c>
      <c r="Q15" s="218">
        <f t="shared" si="5"/>
        <v>3</v>
      </c>
      <c r="R15" s="220">
        <f t="shared" si="6"/>
        <v>1.8575851393188853E-3</v>
      </c>
      <c r="S15" s="223">
        <f>SUM(F15/[1]Gen!T21)</f>
        <v>9.250879839115865E-2</v>
      </c>
      <c r="T15" s="246">
        <f t="shared" si="11"/>
        <v>43750</v>
      </c>
      <c r="U15" s="201"/>
      <c r="V15" s="201">
        <f t="shared" si="12"/>
        <v>7151.2</v>
      </c>
      <c r="W15" s="202">
        <v>7155.5</v>
      </c>
      <c r="X15" s="210">
        <f t="shared" si="0"/>
        <v>860.00000000003638</v>
      </c>
      <c r="Y15" s="246">
        <f t="shared" si="13"/>
        <v>43750</v>
      </c>
      <c r="Z15" s="201"/>
      <c r="AA15" s="201">
        <f t="shared" si="14"/>
        <v>18643</v>
      </c>
      <c r="AB15" s="221">
        <f>'Water-Meter'!P17</f>
        <v>18652</v>
      </c>
      <c r="AC15" s="210">
        <f t="shared" si="7"/>
        <v>9</v>
      </c>
    </row>
    <row r="16" spans="1:34" ht="19.5" thickBot="1">
      <c r="A16" s="216">
        <f>[1]Gen!B23</f>
        <v>0.39</v>
      </c>
      <c r="B16" s="95">
        <f>[1]Gen!A23</f>
        <v>43751</v>
      </c>
      <c r="C16" s="201"/>
      <c r="D16" s="201">
        <f t="shared" si="8"/>
        <v>7960.1</v>
      </c>
      <c r="E16" s="573">
        <v>7964.1</v>
      </c>
      <c r="F16" s="210">
        <f>SUM(E16-D16)*120</f>
        <v>480</v>
      </c>
      <c r="G16" s="203"/>
      <c r="H16" s="246">
        <f t="shared" si="9"/>
        <v>43751</v>
      </c>
      <c r="I16" s="201"/>
      <c r="J16" s="201">
        <f t="shared" si="2"/>
        <v>36605</v>
      </c>
      <c r="K16" s="685">
        <f>'Water-Meter'!G18</f>
        <v>36619</v>
      </c>
      <c r="L16" s="218">
        <f t="shared" si="3"/>
        <v>14</v>
      </c>
      <c r="M16" s="246">
        <f t="shared" si="10"/>
        <v>43751</v>
      </c>
      <c r="N16" s="201"/>
      <c r="O16" s="201">
        <f t="shared" si="4"/>
        <v>7388</v>
      </c>
      <c r="P16" s="482">
        <f>'Water-Meter'!J18</f>
        <v>7390</v>
      </c>
      <c r="Q16" s="218">
        <f t="shared" si="5"/>
        <v>2</v>
      </c>
      <c r="R16" s="220">
        <f t="shared" si="6"/>
        <v>1.238390092879257E-3</v>
      </c>
      <c r="S16" s="223">
        <f>SUM(F16/[1]Gen!T22)</f>
        <v>8.1869350162033089E-2</v>
      </c>
      <c r="T16" s="246">
        <f t="shared" si="11"/>
        <v>43751</v>
      </c>
      <c r="U16" s="201"/>
      <c r="V16" s="201">
        <f t="shared" si="12"/>
        <v>7155.5</v>
      </c>
      <c r="W16" s="202">
        <v>7160.7</v>
      </c>
      <c r="X16" s="210">
        <f t="shared" si="0"/>
        <v>1039.9999999999636</v>
      </c>
      <c r="Y16" s="246">
        <f t="shared" si="13"/>
        <v>43751</v>
      </c>
      <c r="Z16" s="201"/>
      <c r="AA16" s="201">
        <f t="shared" si="14"/>
        <v>18652</v>
      </c>
      <c r="AB16" s="221">
        <f>'Water-Meter'!P18</f>
        <v>18661</v>
      </c>
      <c r="AC16" s="210">
        <f t="shared" si="7"/>
        <v>9</v>
      </c>
    </row>
    <row r="17" spans="1:29" ht="19.5" thickBot="1">
      <c r="A17" s="216">
        <f>[1]Gen!B24</f>
        <v>0.63600000000000001</v>
      </c>
      <c r="B17" s="95">
        <f>[1]Gen!A24</f>
        <v>43752</v>
      </c>
      <c r="C17" s="201"/>
      <c r="D17" s="201">
        <f t="shared" si="8"/>
        <v>7964.1</v>
      </c>
      <c r="E17" s="573">
        <v>7968.6</v>
      </c>
      <c r="F17" s="210">
        <f>SUM(E17-D17)*120</f>
        <v>540</v>
      </c>
      <c r="G17" s="203"/>
      <c r="H17" s="246">
        <f t="shared" si="9"/>
        <v>43752</v>
      </c>
      <c r="I17" s="201"/>
      <c r="J17" s="201">
        <f t="shared" si="2"/>
        <v>36619</v>
      </c>
      <c r="K17" s="685">
        <f>'Water-Meter'!G19</f>
        <v>36632</v>
      </c>
      <c r="L17" s="218">
        <f t="shared" si="3"/>
        <v>13</v>
      </c>
      <c r="M17" s="246">
        <f t="shared" si="10"/>
        <v>43752</v>
      </c>
      <c r="N17" s="201"/>
      <c r="O17" s="201">
        <f t="shared" si="4"/>
        <v>7390</v>
      </c>
      <c r="P17" s="482">
        <f>'Water-Meter'!J19</f>
        <v>7393</v>
      </c>
      <c r="Q17" s="218">
        <f t="shared" si="5"/>
        <v>3</v>
      </c>
      <c r="R17" s="220">
        <f t="shared" si="6"/>
        <v>1.8575851393188853E-3</v>
      </c>
      <c r="S17" s="223">
        <f>SUM(F17/[1]Gen!T23)</f>
        <v>9.4405594405594401E-2</v>
      </c>
      <c r="T17" s="246">
        <f t="shared" si="11"/>
        <v>43752</v>
      </c>
      <c r="U17" s="201"/>
      <c r="V17" s="201">
        <f t="shared" si="12"/>
        <v>7160.7</v>
      </c>
      <c r="W17" s="202">
        <v>7164.5</v>
      </c>
      <c r="X17" s="210">
        <f t="shared" si="0"/>
        <v>760.00000000003638</v>
      </c>
      <c r="Y17" s="246">
        <f t="shared" si="13"/>
        <v>43752</v>
      </c>
      <c r="Z17" s="201"/>
      <c r="AA17" s="201">
        <f t="shared" si="14"/>
        <v>18661</v>
      </c>
      <c r="AB17" s="221">
        <f>'Water-Meter'!P19</f>
        <v>18672</v>
      </c>
      <c r="AC17" s="210">
        <f t="shared" si="7"/>
        <v>11</v>
      </c>
    </row>
    <row r="18" spans="1:29" ht="19.5" thickBot="1">
      <c r="A18" s="216">
        <f>[1]Gen!B25</f>
        <v>0.84399999999999997</v>
      </c>
      <c r="B18" s="95">
        <f>[1]Gen!A25</f>
        <v>43753</v>
      </c>
      <c r="C18" s="201"/>
      <c r="D18" s="201">
        <f t="shared" si="8"/>
        <v>7968.6</v>
      </c>
      <c r="E18" s="573">
        <v>7972.9</v>
      </c>
      <c r="F18" s="210">
        <f t="shared" ref="F18:F22" si="15">SUM(E18-D18)*120</f>
        <v>515.99999999991269</v>
      </c>
      <c r="G18" s="203"/>
      <c r="H18" s="246">
        <f t="shared" si="9"/>
        <v>43753</v>
      </c>
      <c r="I18" s="201"/>
      <c r="J18" s="201">
        <f t="shared" si="2"/>
        <v>36632</v>
      </c>
      <c r="K18" s="685">
        <f>'Water-Meter'!G20</f>
        <v>36651</v>
      </c>
      <c r="L18" s="218">
        <f t="shared" si="3"/>
        <v>19</v>
      </c>
      <c r="M18" s="246">
        <f t="shared" si="10"/>
        <v>43753</v>
      </c>
      <c r="N18" s="201"/>
      <c r="O18" s="201">
        <f t="shared" si="4"/>
        <v>7393</v>
      </c>
      <c r="P18" s="482">
        <f>'Water-Meter'!J20</f>
        <v>7396</v>
      </c>
      <c r="Q18" s="218">
        <f t="shared" si="5"/>
        <v>3</v>
      </c>
      <c r="R18" s="220">
        <f t="shared" si="6"/>
        <v>1.8575851393188853E-3</v>
      </c>
      <c r="S18" s="223">
        <f>SUM(F18/[1]Gen!T24)</f>
        <v>8.3292978208218349E-2</v>
      </c>
      <c r="T18" s="246">
        <f t="shared" si="11"/>
        <v>43753</v>
      </c>
      <c r="U18" s="201"/>
      <c r="V18" s="201">
        <f t="shared" si="12"/>
        <v>7164.5</v>
      </c>
      <c r="W18" s="202">
        <v>7169.5</v>
      </c>
      <c r="X18" s="210">
        <f t="shared" si="0"/>
        <v>1000</v>
      </c>
      <c r="Y18" s="246">
        <f t="shared" si="13"/>
        <v>43753</v>
      </c>
      <c r="Z18" s="201"/>
      <c r="AA18" s="201">
        <f t="shared" si="14"/>
        <v>18672</v>
      </c>
      <c r="AB18" s="221">
        <f>'Water-Meter'!P20</f>
        <v>18680</v>
      </c>
      <c r="AC18" s="210">
        <f t="shared" si="7"/>
        <v>8</v>
      </c>
    </row>
    <row r="19" spans="1:29" ht="19.5" thickBot="1">
      <c r="A19" s="216">
        <f>[1]Gen!B26</f>
        <v>0.81799999999999995</v>
      </c>
      <c r="B19" s="95">
        <f>[1]Gen!A26</f>
        <v>43754</v>
      </c>
      <c r="C19" s="204"/>
      <c r="D19" s="201">
        <f t="shared" si="8"/>
        <v>7972.9</v>
      </c>
      <c r="E19" s="573">
        <v>7977.4</v>
      </c>
      <c r="F19" s="210">
        <f t="shared" si="15"/>
        <v>540</v>
      </c>
      <c r="G19" s="203"/>
      <c r="H19" s="246">
        <f t="shared" si="9"/>
        <v>43754</v>
      </c>
      <c r="I19" s="204"/>
      <c r="J19" s="201">
        <f t="shared" si="2"/>
        <v>36651</v>
      </c>
      <c r="K19" s="685">
        <f>'Water-Meter'!G21</f>
        <v>36668</v>
      </c>
      <c r="L19" s="218">
        <f t="shared" si="3"/>
        <v>17</v>
      </c>
      <c r="M19" s="246">
        <f t="shared" si="10"/>
        <v>43754</v>
      </c>
      <c r="N19" s="204"/>
      <c r="O19" s="201">
        <f t="shared" si="4"/>
        <v>7396</v>
      </c>
      <c r="P19" s="482">
        <f>'Water-Meter'!J21</f>
        <v>7398</v>
      </c>
      <c r="Q19" s="218">
        <f t="shared" si="5"/>
        <v>2</v>
      </c>
      <c r="R19" s="220">
        <f t="shared" si="6"/>
        <v>1.238390092879257E-3</v>
      </c>
      <c r="S19" s="223">
        <f>SUM(F19/[1]Gen!T25)</f>
        <v>8.3720930232558138E-2</v>
      </c>
      <c r="T19" s="246">
        <f t="shared" si="11"/>
        <v>43754</v>
      </c>
      <c r="U19" s="204"/>
      <c r="V19" s="201">
        <f t="shared" si="12"/>
        <v>7169.5</v>
      </c>
      <c r="W19" s="202">
        <v>7173.6</v>
      </c>
      <c r="X19" s="210">
        <f t="shared" si="0"/>
        <v>820.00000000007276</v>
      </c>
      <c r="Y19" s="246">
        <f t="shared" si="13"/>
        <v>43754</v>
      </c>
      <c r="Z19" s="204"/>
      <c r="AA19" s="201">
        <f t="shared" si="14"/>
        <v>18680</v>
      </c>
      <c r="AB19" s="221">
        <f>'Water-Meter'!P21</f>
        <v>18689</v>
      </c>
      <c r="AC19" s="210">
        <f t="shared" si="7"/>
        <v>9</v>
      </c>
    </row>
    <row r="20" spans="1:29" ht="19.5" thickBot="1">
      <c r="A20" s="216">
        <f>[1]Gen!B27</f>
        <v>0.20799999999999999</v>
      </c>
      <c r="B20" s="95">
        <f>[1]Gen!A27</f>
        <v>43755</v>
      </c>
      <c r="C20" s="204"/>
      <c r="D20" s="201">
        <f t="shared" si="8"/>
        <v>7977.4</v>
      </c>
      <c r="E20" s="573">
        <v>7982.2</v>
      </c>
      <c r="F20" s="210">
        <f t="shared" si="15"/>
        <v>576.00000000002183</v>
      </c>
      <c r="G20" s="203"/>
      <c r="H20" s="246">
        <f t="shared" si="9"/>
        <v>43755</v>
      </c>
      <c r="I20" s="204"/>
      <c r="J20" s="201">
        <f t="shared" si="2"/>
        <v>36668</v>
      </c>
      <c r="K20" s="685">
        <f>'Water-Meter'!G22</f>
        <v>36681</v>
      </c>
      <c r="L20" s="218">
        <f t="shared" si="3"/>
        <v>13</v>
      </c>
      <c r="M20" s="246">
        <f t="shared" si="10"/>
        <v>43755</v>
      </c>
      <c r="N20" s="204"/>
      <c r="O20" s="201">
        <f t="shared" si="4"/>
        <v>7398</v>
      </c>
      <c r="P20" s="482">
        <f>'Water-Meter'!J22</f>
        <v>7402</v>
      </c>
      <c r="Q20" s="218">
        <f t="shared" si="5"/>
        <v>4</v>
      </c>
      <c r="R20" s="220">
        <f t="shared" si="6"/>
        <v>2.4767801857585141E-3</v>
      </c>
      <c r="S20" s="223">
        <f>SUM(F20/[1]Gen!T26)</f>
        <v>8.3297180043387098E-2</v>
      </c>
      <c r="T20" s="246">
        <f t="shared" si="11"/>
        <v>43755</v>
      </c>
      <c r="U20" s="204"/>
      <c r="V20" s="201">
        <f t="shared" si="12"/>
        <v>7173.6</v>
      </c>
      <c r="W20" s="202">
        <v>7178.4</v>
      </c>
      <c r="X20" s="210">
        <f t="shared" si="0"/>
        <v>959.99999999985448</v>
      </c>
      <c r="Y20" s="246">
        <f t="shared" si="13"/>
        <v>43755</v>
      </c>
      <c r="Z20" s="204"/>
      <c r="AA20" s="201">
        <f t="shared" si="14"/>
        <v>18689</v>
      </c>
      <c r="AB20" s="221">
        <f>'Water-Meter'!P22</f>
        <v>18701</v>
      </c>
      <c r="AC20" s="210">
        <f t="shared" si="7"/>
        <v>12</v>
      </c>
    </row>
    <row r="21" spans="1:29" ht="19.5" thickBot="1">
      <c r="A21" s="216">
        <f>[1]Gen!B28</f>
        <v>0.221</v>
      </c>
      <c r="B21" s="95">
        <f>[1]Gen!A28</f>
        <v>43756</v>
      </c>
      <c r="C21" s="204"/>
      <c r="D21" s="201">
        <f t="shared" si="8"/>
        <v>7982.2</v>
      </c>
      <c r="E21" s="573">
        <v>7986.1</v>
      </c>
      <c r="F21" s="210">
        <f t="shared" si="15"/>
        <v>468.00000000006548</v>
      </c>
      <c r="G21" s="203"/>
      <c r="H21" s="246">
        <f t="shared" si="9"/>
        <v>43756</v>
      </c>
      <c r="I21" s="204"/>
      <c r="J21" s="201">
        <f t="shared" si="2"/>
        <v>36681</v>
      </c>
      <c r="K21" s="685">
        <f>'Water-Meter'!G23</f>
        <v>36696</v>
      </c>
      <c r="L21" s="218">
        <f t="shared" si="3"/>
        <v>15</v>
      </c>
      <c r="M21" s="246">
        <f t="shared" si="10"/>
        <v>43756</v>
      </c>
      <c r="N21" s="204"/>
      <c r="O21" s="201">
        <f t="shared" si="4"/>
        <v>7402</v>
      </c>
      <c r="P21" s="482">
        <f>'Water-Meter'!J23</f>
        <v>7404</v>
      </c>
      <c r="Q21" s="218">
        <f t="shared" si="5"/>
        <v>2</v>
      </c>
      <c r="R21" s="220">
        <f t="shared" ref="R21:R35" si="16">SUM(Q21/1615)</f>
        <v>1.238390092879257E-3</v>
      </c>
      <c r="S21" s="223">
        <f>SUM(F21/[1]Gen!T27)</f>
        <v>7.8497148607860695E-2</v>
      </c>
      <c r="T21" s="246">
        <f t="shared" si="11"/>
        <v>43756</v>
      </c>
      <c r="U21" s="204"/>
      <c r="V21" s="201">
        <f t="shared" si="12"/>
        <v>7178.4</v>
      </c>
      <c r="W21" s="202">
        <v>7186.1</v>
      </c>
      <c r="X21" s="210">
        <f t="shared" si="0"/>
        <v>1540.0000000001455</v>
      </c>
      <c r="Y21" s="246">
        <f t="shared" si="13"/>
        <v>43756</v>
      </c>
      <c r="Z21" s="204"/>
      <c r="AA21" s="201">
        <f t="shared" si="14"/>
        <v>18701</v>
      </c>
      <c r="AB21" s="221">
        <f>'Water-Meter'!P23</f>
        <v>18712</v>
      </c>
      <c r="AC21" s="210">
        <f t="shared" si="7"/>
        <v>11</v>
      </c>
    </row>
    <row r="22" spans="1:29" ht="19.5" thickBot="1">
      <c r="A22" s="216">
        <f>[1]Gen!B29</f>
        <v>0.11700000000000001</v>
      </c>
      <c r="B22" s="95">
        <f>[1]Gen!A29</f>
        <v>43757</v>
      </c>
      <c r="C22" s="201"/>
      <c r="D22" s="201">
        <f t="shared" si="8"/>
        <v>7986.1</v>
      </c>
      <c r="E22" s="573">
        <v>7990.1</v>
      </c>
      <c r="F22" s="210">
        <f t="shared" si="15"/>
        <v>480</v>
      </c>
      <c r="G22" s="203"/>
      <c r="H22" s="246">
        <f t="shared" si="9"/>
        <v>43757</v>
      </c>
      <c r="I22" s="201"/>
      <c r="J22" s="201">
        <f t="shared" si="2"/>
        <v>36696</v>
      </c>
      <c r="K22" s="685">
        <f>'Water-Meter'!G24</f>
        <v>36708</v>
      </c>
      <c r="L22" s="218">
        <f t="shared" si="3"/>
        <v>12</v>
      </c>
      <c r="M22" s="246">
        <f t="shared" si="10"/>
        <v>43757</v>
      </c>
      <c r="N22" s="201"/>
      <c r="O22" s="201">
        <f t="shared" si="4"/>
        <v>7404</v>
      </c>
      <c r="P22" s="482">
        <f>'Water-Meter'!J24</f>
        <v>7408</v>
      </c>
      <c r="Q22" s="218">
        <f t="shared" si="5"/>
        <v>4</v>
      </c>
      <c r="R22" s="220">
        <f t="shared" si="16"/>
        <v>2.4767801857585141E-3</v>
      </c>
      <c r="S22" s="223">
        <f>SUM(F22/[1]Gen!T28)</f>
        <v>9.130682898991821E-2</v>
      </c>
      <c r="T22" s="246">
        <f t="shared" si="11"/>
        <v>43757</v>
      </c>
      <c r="U22" s="201"/>
      <c r="V22" s="201">
        <f t="shared" si="12"/>
        <v>7186.1</v>
      </c>
      <c r="W22" s="202">
        <v>7189.1</v>
      </c>
      <c r="X22" s="210">
        <f t="shared" si="0"/>
        <v>600</v>
      </c>
      <c r="Y22" s="246">
        <f t="shared" si="13"/>
        <v>43757</v>
      </c>
      <c r="Z22" s="201"/>
      <c r="AA22" s="201">
        <f t="shared" si="14"/>
        <v>18712</v>
      </c>
      <c r="AB22" s="221">
        <f>'Water-Meter'!P24</f>
        <v>18719</v>
      </c>
      <c r="AC22" s="210">
        <f t="shared" si="7"/>
        <v>7</v>
      </c>
    </row>
    <row r="23" spans="1:29" ht="19.5" thickBot="1">
      <c r="A23" s="216">
        <f>[1]Gen!B30</f>
        <v>0.57099999999999995</v>
      </c>
      <c r="B23" s="95">
        <f>[1]Gen!A30</f>
        <v>43758</v>
      </c>
      <c r="C23" s="204"/>
      <c r="D23" s="201">
        <f t="shared" si="8"/>
        <v>7990.1</v>
      </c>
      <c r="E23" s="573">
        <v>7993.9</v>
      </c>
      <c r="F23" s="210">
        <f t="shared" ref="F23:F34" si="17">SUM(E23-D23)*120</f>
        <v>455.99999999991269</v>
      </c>
      <c r="G23" s="203"/>
      <c r="H23" s="246">
        <f t="shared" si="9"/>
        <v>43758</v>
      </c>
      <c r="I23" s="204"/>
      <c r="J23" s="201">
        <f t="shared" si="2"/>
        <v>36708</v>
      </c>
      <c r="K23" s="685">
        <f>'Water-Meter'!G25</f>
        <v>36724</v>
      </c>
      <c r="L23" s="218">
        <f t="shared" si="3"/>
        <v>16</v>
      </c>
      <c r="M23" s="246">
        <f t="shared" si="10"/>
        <v>43758</v>
      </c>
      <c r="N23" s="204"/>
      <c r="O23" s="201">
        <f t="shared" si="4"/>
        <v>7408</v>
      </c>
      <c r="P23" s="482">
        <f>'Water-Meter'!J25</f>
        <v>7412</v>
      </c>
      <c r="Q23" s="218">
        <f t="shared" si="5"/>
        <v>4</v>
      </c>
      <c r="R23" s="220">
        <f t="shared" si="16"/>
        <v>2.4767801857585141E-3</v>
      </c>
      <c r="S23" s="223">
        <f>SUM(F23/[1]Gen!T29)</f>
        <v>9.7207418460863934E-2</v>
      </c>
      <c r="T23" s="246">
        <f t="shared" si="11"/>
        <v>43758</v>
      </c>
      <c r="U23" s="204"/>
      <c r="V23" s="201">
        <f t="shared" si="12"/>
        <v>7189.1</v>
      </c>
      <c r="W23" s="202">
        <v>7193.6</v>
      </c>
      <c r="X23" s="210">
        <f t="shared" si="0"/>
        <v>900</v>
      </c>
      <c r="Y23" s="246">
        <f t="shared" si="13"/>
        <v>43758</v>
      </c>
      <c r="Z23" s="204"/>
      <c r="AA23" s="201">
        <f t="shared" si="14"/>
        <v>18719</v>
      </c>
      <c r="AB23" s="221">
        <f>'Water-Meter'!P25</f>
        <v>18728</v>
      </c>
      <c r="AC23" s="210">
        <f t="shared" si="7"/>
        <v>9</v>
      </c>
    </row>
    <row r="24" spans="1:29" ht="19.5" thickBot="1">
      <c r="A24" s="216">
        <f>[1]Gen!B31</f>
        <v>0.55800000000000005</v>
      </c>
      <c r="B24" s="95">
        <f>[1]Gen!A31</f>
        <v>43759</v>
      </c>
      <c r="C24" s="204"/>
      <c r="D24" s="201">
        <f t="shared" ref="D24:D35" si="18">SUM(E23)</f>
        <v>7993.9</v>
      </c>
      <c r="E24" s="573">
        <v>7997.9</v>
      </c>
      <c r="F24" s="210">
        <f t="shared" si="17"/>
        <v>480</v>
      </c>
      <c r="G24" s="203"/>
      <c r="H24" s="246">
        <f t="shared" si="9"/>
        <v>43759</v>
      </c>
      <c r="I24" s="204"/>
      <c r="J24" s="201">
        <f t="shared" si="2"/>
        <v>36724</v>
      </c>
      <c r="K24" s="685">
        <f>'Water-Meter'!G26</f>
        <v>36740</v>
      </c>
      <c r="L24" s="218">
        <f t="shared" si="3"/>
        <v>16</v>
      </c>
      <c r="M24" s="246">
        <f t="shared" si="10"/>
        <v>43759</v>
      </c>
      <c r="N24" s="204"/>
      <c r="O24" s="201">
        <f t="shared" si="4"/>
        <v>7412</v>
      </c>
      <c r="P24" s="482">
        <f>'Water-Meter'!J26</f>
        <v>7415</v>
      </c>
      <c r="Q24" s="218">
        <f t="shared" si="5"/>
        <v>3</v>
      </c>
      <c r="R24" s="220">
        <f t="shared" si="16"/>
        <v>1.8575851393188853E-3</v>
      </c>
      <c r="S24" s="223">
        <f>SUM(F24/[1]Gen!T30)</f>
        <v>8.4033613445378158E-2</v>
      </c>
      <c r="T24" s="246">
        <v>5835.7</v>
      </c>
      <c r="U24" s="204"/>
      <c r="V24" s="201">
        <f t="shared" si="12"/>
        <v>7193.6</v>
      </c>
      <c r="W24" s="202">
        <v>7197.1</v>
      </c>
      <c r="X24" s="210">
        <f t="shared" si="0"/>
        <v>700</v>
      </c>
      <c r="Y24" s="246">
        <f t="shared" si="13"/>
        <v>5835.7</v>
      </c>
      <c r="Z24" s="204"/>
      <c r="AA24" s="201">
        <f t="shared" si="14"/>
        <v>18728</v>
      </c>
      <c r="AB24" s="221">
        <f>'Water-Meter'!P26</f>
        <v>18737</v>
      </c>
      <c r="AC24" s="210">
        <f t="shared" si="7"/>
        <v>9</v>
      </c>
    </row>
    <row r="25" spans="1:29" ht="19.5" thickBot="1">
      <c r="A25" s="216">
        <f>[1]Gen!B32</f>
        <v>0.40300000000000002</v>
      </c>
      <c r="B25" s="95">
        <f>[1]Gen!A32</f>
        <v>43760</v>
      </c>
      <c r="C25" s="204"/>
      <c r="D25" s="201">
        <f t="shared" si="18"/>
        <v>7997.9</v>
      </c>
      <c r="E25" s="573">
        <v>8001.9</v>
      </c>
      <c r="F25" s="210">
        <f t="shared" si="17"/>
        <v>480</v>
      </c>
      <c r="G25" s="203"/>
      <c r="H25" s="246">
        <f t="shared" si="9"/>
        <v>43760</v>
      </c>
      <c r="I25" s="204"/>
      <c r="J25" s="201">
        <f t="shared" si="2"/>
        <v>36740</v>
      </c>
      <c r="K25" s="685">
        <f>'Water-Meter'!G27</f>
        <v>36754</v>
      </c>
      <c r="L25" s="218">
        <f t="shared" si="3"/>
        <v>14</v>
      </c>
      <c r="M25" s="246">
        <f t="shared" si="10"/>
        <v>43760</v>
      </c>
      <c r="N25" s="204"/>
      <c r="O25" s="201">
        <f t="shared" si="4"/>
        <v>7415</v>
      </c>
      <c r="P25" s="482">
        <f>'Water-Meter'!J27</f>
        <v>7418</v>
      </c>
      <c r="Q25" s="218">
        <f t="shared" si="5"/>
        <v>3</v>
      </c>
      <c r="R25" s="220">
        <f t="shared" si="16"/>
        <v>1.8575851393188853E-3</v>
      </c>
      <c r="S25" s="223">
        <f>SUM(F25/[1]Gen!T31)</f>
        <v>8.0794479043931999E-2</v>
      </c>
      <c r="T25" s="246">
        <f t="shared" si="11"/>
        <v>43760</v>
      </c>
      <c r="U25" s="204"/>
      <c r="V25" s="201">
        <f t="shared" si="12"/>
        <v>7197.1</v>
      </c>
      <c r="W25" s="202">
        <v>7202.1</v>
      </c>
      <c r="X25" s="210">
        <f t="shared" si="0"/>
        <v>1000</v>
      </c>
      <c r="Y25" s="246">
        <f t="shared" si="13"/>
        <v>43760</v>
      </c>
      <c r="Z25" s="204"/>
      <c r="AA25" s="201">
        <f t="shared" si="14"/>
        <v>18737</v>
      </c>
      <c r="AB25" s="221">
        <f>'Water-Meter'!P27</f>
        <v>18746</v>
      </c>
      <c r="AC25" s="210">
        <f t="shared" si="7"/>
        <v>9</v>
      </c>
    </row>
    <row r="26" spans="1:29" ht="19.5" thickBot="1">
      <c r="A26" s="216">
        <f>[1]Gen!B33</f>
        <v>0.24</v>
      </c>
      <c r="B26" s="95">
        <f>[1]Gen!A33</f>
        <v>43761</v>
      </c>
      <c r="C26" s="204"/>
      <c r="D26" s="201">
        <f t="shared" si="18"/>
        <v>8001.9</v>
      </c>
      <c r="E26" s="573">
        <v>8006.4</v>
      </c>
      <c r="F26" s="210">
        <f t="shared" si="17"/>
        <v>540</v>
      </c>
      <c r="G26" s="203"/>
      <c r="H26" s="246">
        <f t="shared" si="9"/>
        <v>43761</v>
      </c>
      <c r="I26" s="204"/>
      <c r="J26" s="201">
        <f t="shared" si="2"/>
        <v>36754</v>
      </c>
      <c r="K26" s="685">
        <f>'Water-Meter'!G28</f>
        <v>36767</v>
      </c>
      <c r="L26" s="218">
        <f t="shared" si="3"/>
        <v>13</v>
      </c>
      <c r="M26" s="246">
        <f t="shared" si="10"/>
        <v>43761</v>
      </c>
      <c r="N26" s="204"/>
      <c r="O26" s="201">
        <f t="shared" si="4"/>
        <v>7418</v>
      </c>
      <c r="P26" s="482">
        <f>'Water-Meter'!J28</f>
        <v>7421</v>
      </c>
      <c r="Q26" s="218">
        <f t="shared" si="5"/>
        <v>3</v>
      </c>
      <c r="R26" s="220">
        <f t="shared" si="16"/>
        <v>1.8575851393188853E-3</v>
      </c>
      <c r="S26" s="223">
        <f>SUM(F26/[1]Gen!T32)</f>
        <v>0.1</v>
      </c>
      <c r="T26" s="246">
        <f t="shared" si="11"/>
        <v>43761</v>
      </c>
      <c r="U26" s="204"/>
      <c r="V26" s="201">
        <f t="shared" si="12"/>
        <v>7202.1</v>
      </c>
      <c r="W26" s="202">
        <v>7206.1</v>
      </c>
      <c r="X26" s="210">
        <f t="shared" si="0"/>
        <v>800</v>
      </c>
      <c r="Y26" s="246">
        <f t="shared" si="13"/>
        <v>43761</v>
      </c>
      <c r="Z26" s="204"/>
      <c r="AA26" s="201">
        <f t="shared" si="14"/>
        <v>18746</v>
      </c>
      <c r="AB26" s="221">
        <f>'Water-Meter'!P28</f>
        <v>18754</v>
      </c>
      <c r="AC26" s="210">
        <f t="shared" si="7"/>
        <v>8</v>
      </c>
    </row>
    <row r="27" spans="1:29" ht="19.5" thickBot="1">
      <c r="A27" s="216">
        <f>[1]Gen!B34</f>
        <v>0.09</v>
      </c>
      <c r="B27" s="95">
        <f>[1]Gen!A34</f>
        <v>43762</v>
      </c>
      <c r="C27" s="204"/>
      <c r="D27" s="201">
        <f t="shared" si="18"/>
        <v>8006.4</v>
      </c>
      <c r="E27" s="573">
        <v>8010.9</v>
      </c>
      <c r="F27" s="210">
        <f t="shared" si="17"/>
        <v>540</v>
      </c>
      <c r="G27" s="203"/>
      <c r="H27" s="246">
        <f t="shared" si="9"/>
        <v>43762</v>
      </c>
      <c r="I27" s="204"/>
      <c r="J27" s="201">
        <f t="shared" si="2"/>
        <v>36767</v>
      </c>
      <c r="K27" s="685">
        <f>'Water-Meter'!G29</f>
        <v>36779</v>
      </c>
      <c r="L27" s="218">
        <f t="shared" si="3"/>
        <v>12</v>
      </c>
      <c r="M27" s="246">
        <f t="shared" si="10"/>
        <v>43762</v>
      </c>
      <c r="N27" s="204"/>
      <c r="O27" s="201">
        <f t="shared" si="4"/>
        <v>7421</v>
      </c>
      <c r="P27" s="482">
        <f>'Water-Meter'!J29</f>
        <v>7423</v>
      </c>
      <c r="Q27" s="218">
        <f t="shared" si="5"/>
        <v>2</v>
      </c>
      <c r="R27" s="220">
        <f t="shared" si="16"/>
        <v>1.238390092879257E-3</v>
      </c>
      <c r="S27" s="223">
        <f>SUM(F27/[1]Gen!T33)</f>
        <v>0.10053993669707689</v>
      </c>
      <c r="T27" s="246">
        <f t="shared" si="11"/>
        <v>43762</v>
      </c>
      <c r="U27" s="204"/>
      <c r="V27" s="201">
        <f t="shared" si="12"/>
        <v>7206.1</v>
      </c>
      <c r="W27" s="202">
        <v>7210.5</v>
      </c>
      <c r="X27" s="210">
        <f t="shared" si="0"/>
        <v>879.99999999992724</v>
      </c>
      <c r="Y27" s="246">
        <f t="shared" si="13"/>
        <v>43762</v>
      </c>
      <c r="Z27" s="204"/>
      <c r="AA27" s="201">
        <f t="shared" si="14"/>
        <v>18754</v>
      </c>
      <c r="AB27" s="221">
        <f>'Water-Meter'!P29</f>
        <v>18763</v>
      </c>
      <c r="AC27" s="210">
        <f t="shared" si="7"/>
        <v>9</v>
      </c>
    </row>
    <row r="28" spans="1:29" ht="19.5" thickBot="1">
      <c r="A28" s="216">
        <f>[1]Gen!B35</f>
        <v>0.28599999999999998</v>
      </c>
      <c r="B28" s="95">
        <f>[1]Gen!A35</f>
        <v>43763</v>
      </c>
      <c r="C28" s="204"/>
      <c r="D28" s="201">
        <f t="shared" si="18"/>
        <v>8010.9</v>
      </c>
      <c r="E28" s="573">
        <v>8014.9</v>
      </c>
      <c r="F28" s="210">
        <f t="shared" si="17"/>
        <v>480</v>
      </c>
      <c r="G28" s="203"/>
      <c r="H28" s="246">
        <f t="shared" si="9"/>
        <v>43763</v>
      </c>
      <c r="I28" s="204"/>
      <c r="J28" s="201">
        <f t="shared" si="2"/>
        <v>36779</v>
      </c>
      <c r="K28" s="685">
        <f>'Water-Meter'!G30</f>
        <v>36792</v>
      </c>
      <c r="L28" s="218">
        <f t="shared" si="3"/>
        <v>13</v>
      </c>
      <c r="M28" s="246">
        <f t="shared" si="10"/>
        <v>43763</v>
      </c>
      <c r="N28" s="204"/>
      <c r="O28" s="201">
        <f t="shared" si="4"/>
        <v>7423</v>
      </c>
      <c r="P28" s="482">
        <f>'Water-Meter'!J30</f>
        <v>7426</v>
      </c>
      <c r="Q28" s="218">
        <f t="shared" si="5"/>
        <v>3</v>
      </c>
      <c r="R28" s="220">
        <f t="shared" si="16"/>
        <v>1.8575851393188853E-3</v>
      </c>
      <c r="S28" s="223">
        <f>SUM(F28/[1]Gen!T34)</f>
        <v>9.0634441087613288E-2</v>
      </c>
      <c r="T28" s="246">
        <f t="shared" si="11"/>
        <v>43763</v>
      </c>
      <c r="U28" s="204"/>
      <c r="V28" s="201">
        <f t="shared" si="12"/>
        <v>7210.5</v>
      </c>
      <c r="W28" s="202">
        <v>7214.4</v>
      </c>
      <c r="X28" s="210">
        <f t="shared" si="0"/>
        <v>779.99999999992724</v>
      </c>
      <c r="Y28" s="246">
        <f t="shared" si="13"/>
        <v>43763</v>
      </c>
      <c r="Z28" s="204"/>
      <c r="AA28" s="201">
        <f t="shared" si="14"/>
        <v>18763</v>
      </c>
      <c r="AB28" s="221">
        <f>'Water-Meter'!P30</f>
        <v>18773</v>
      </c>
      <c r="AC28" s="210">
        <f t="shared" si="7"/>
        <v>10</v>
      </c>
    </row>
    <row r="29" spans="1:29" ht="19.5" thickBot="1">
      <c r="A29" s="216">
        <f>[1]Gen!B36</f>
        <v>0.54500000000000004</v>
      </c>
      <c r="B29" s="95">
        <f>[1]Gen!A36</f>
        <v>43764</v>
      </c>
      <c r="C29" s="204"/>
      <c r="D29" s="201">
        <f t="shared" si="18"/>
        <v>8014.9</v>
      </c>
      <c r="E29" s="573">
        <v>8019.1</v>
      </c>
      <c r="F29" s="210">
        <f t="shared" si="17"/>
        <v>504.00000000008731</v>
      </c>
      <c r="G29" s="203"/>
      <c r="H29" s="246">
        <f t="shared" si="9"/>
        <v>43764</v>
      </c>
      <c r="I29" s="204"/>
      <c r="J29" s="201">
        <f t="shared" si="2"/>
        <v>36792</v>
      </c>
      <c r="K29" s="685">
        <f>'Water-Meter'!G31</f>
        <v>36809</v>
      </c>
      <c r="L29" s="218">
        <f t="shared" si="3"/>
        <v>17</v>
      </c>
      <c r="M29" s="246">
        <f t="shared" si="10"/>
        <v>43764</v>
      </c>
      <c r="N29" s="204"/>
      <c r="O29" s="201">
        <f t="shared" si="4"/>
        <v>7426</v>
      </c>
      <c r="P29" s="482">
        <f>'Water-Meter'!J31</f>
        <v>7428</v>
      </c>
      <c r="Q29" s="218">
        <f t="shared" si="5"/>
        <v>2</v>
      </c>
      <c r="R29" s="220">
        <f t="shared" si="16"/>
        <v>1.238390092879257E-3</v>
      </c>
      <c r="S29" s="223">
        <f>SUM(F29/[1]Gen!T35)</f>
        <v>9.6533231181782669E-2</v>
      </c>
      <c r="T29" s="246">
        <f t="shared" si="11"/>
        <v>43764</v>
      </c>
      <c r="U29" s="204"/>
      <c r="V29" s="201">
        <f t="shared" si="12"/>
        <v>7214.4</v>
      </c>
      <c r="W29" s="202">
        <v>7218.1</v>
      </c>
      <c r="X29" s="210">
        <f t="shared" si="0"/>
        <v>740.00000000014552</v>
      </c>
      <c r="Y29" s="246">
        <f t="shared" si="13"/>
        <v>43764</v>
      </c>
      <c r="Z29" s="204"/>
      <c r="AA29" s="201">
        <f t="shared" si="14"/>
        <v>18773</v>
      </c>
      <c r="AB29" s="221">
        <f>'Water-Meter'!P31</f>
        <v>18782</v>
      </c>
      <c r="AC29" s="210">
        <f t="shared" si="7"/>
        <v>9</v>
      </c>
    </row>
    <row r="30" spans="1:29" ht="19.5" thickBot="1">
      <c r="A30" s="216">
        <f>[1]Gen!B37</f>
        <v>0.67500000000000004</v>
      </c>
      <c r="B30" s="95">
        <f>[1]Gen!A37</f>
        <v>43765</v>
      </c>
      <c r="C30" s="204"/>
      <c r="D30" s="201">
        <f t="shared" si="18"/>
        <v>8019.1</v>
      </c>
      <c r="E30" s="573">
        <v>8023.1</v>
      </c>
      <c r="F30" s="210">
        <f t="shared" si="17"/>
        <v>480</v>
      </c>
      <c r="G30" s="203"/>
      <c r="H30" s="246">
        <f t="shared" si="9"/>
        <v>43765</v>
      </c>
      <c r="I30" s="204"/>
      <c r="J30" s="201">
        <f t="shared" si="2"/>
        <v>36809</v>
      </c>
      <c r="K30" s="685">
        <f>'Water-Meter'!G32</f>
        <v>36825</v>
      </c>
      <c r="L30" s="218">
        <f t="shared" si="3"/>
        <v>16</v>
      </c>
      <c r="M30" s="246">
        <f t="shared" si="10"/>
        <v>43765</v>
      </c>
      <c r="N30" s="204"/>
      <c r="O30" s="201">
        <f t="shared" si="4"/>
        <v>7428</v>
      </c>
      <c r="P30" s="482">
        <f>'Water-Meter'!J32</f>
        <v>7432</v>
      </c>
      <c r="Q30" s="218">
        <f t="shared" si="5"/>
        <v>4</v>
      </c>
      <c r="R30" s="220">
        <f t="shared" si="16"/>
        <v>2.4767801857585141E-3</v>
      </c>
      <c r="S30" s="223">
        <f>SUM(F30/[1]Gen!T36)</f>
        <v>8.4730803177405126E-2</v>
      </c>
      <c r="T30" s="246">
        <f t="shared" si="11"/>
        <v>43765</v>
      </c>
      <c r="U30" s="204"/>
      <c r="V30" s="201">
        <f t="shared" si="12"/>
        <v>7218.1</v>
      </c>
      <c r="W30" s="202">
        <v>7222.9</v>
      </c>
      <c r="X30" s="210">
        <f t="shared" si="0"/>
        <v>959.99999999985448</v>
      </c>
      <c r="Y30" s="246">
        <f t="shared" si="13"/>
        <v>43765</v>
      </c>
      <c r="Z30" s="204"/>
      <c r="AA30" s="201">
        <f t="shared" si="14"/>
        <v>18782</v>
      </c>
      <c r="AB30" s="221">
        <f>'Water-Meter'!P32</f>
        <v>18790</v>
      </c>
      <c r="AC30" s="210">
        <f t="shared" si="7"/>
        <v>8</v>
      </c>
    </row>
    <row r="31" spans="1:29" ht="19.5" thickBot="1">
      <c r="A31" s="216">
        <f>[1]Gen!B38</f>
        <v>0.27300000000000002</v>
      </c>
      <c r="B31" s="95">
        <f>[1]Gen!A38</f>
        <v>43766</v>
      </c>
      <c r="C31" s="204"/>
      <c r="D31" s="201">
        <f t="shared" si="18"/>
        <v>8023.1</v>
      </c>
      <c r="E31" s="573">
        <v>8027.5</v>
      </c>
      <c r="F31" s="210">
        <f t="shared" si="17"/>
        <v>527.99999999995634</v>
      </c>
      <c r="G31" s="203"/>
      <c r="H31" s="246">
        <f t="shared" si="9"/>
        <v>43766</v>
      </c>
      <c r="I31" s="204"/>
      <c r="J31" s="201">
        <f t="shared" ref="J31:J35" si="19">SUM(K30)</f>
        <v>36825</v>
      </c>
      <c r="K31" s="685">
        <f>'Water-Meter'!G33</f>
        <v>36838</v>
      </c>
      <c r="L31" s="218">
        <f t="shared" si="3"/>
        <v>13</v>
      </c>
      <c r="M31" s="246">
        <f t="shared" si="10"/>
        <v>43766</v>
      </c>
      <c r="N31" s="204"/>
      <c r="O31" s="201">
        <f t="shared" si="4"/>
        <v>7432</v>
      </c>
      <c r="P31" s="482">
        <f>'Water-Meter'!J33</f>
        <v>7435</v>
      </c>
      <c r="Q31" s="218">
        <f t="shared" si="5"/>
        <v>3</v>
      </c>
      <c r="R31" s="220">
        <f t="shared" si="16"/>
        <v>1.8575851393188853E-3</v>
      </c>
      <c r="S31" s="223">
        <f>SUM(F31/[1]Gen!T37)</f>
        <v>8.6429857587159334E-2</v>
      </c>
      <c r="T31" s="246">
        <f>M31</f>
        <v>43766</v>
      </c>
      <c r="U31" s="204"/>
      <c r="V31" s="201">
        <f t="shared" si="12"/>
        <v>7222.9</v>
      </c>
      <c r="W31" s="202">
        <v>7226.8</v>
      </c>
      <c r="X31" s="210">
        <f t="shared" si="0"/>
        <v>780.00000000010914</v>
      </c>
      <c r="Y31" s="246">
        <f>T31</f>
        <v>43766</v>
      </c>
      <c r="Z31" s="204"/>
      <c r="AA31" s="201">
        <f t="shared" si="14"/>
        <v>18790</v>
      </c>
      <c r="AB31" s="221">
        <f>'Water-Meter'!P33</f>
        <v>18800</v>
      </c>
      <c r="AC31" s="210">
        <f t="shared" si="7"/>
        <v>10</v>
      </c>
    </row>
    <row r="32" spans="1:29" ht="19.5" thickBot="1">
      <c r="A32" s="216" t="e">
        <f>[1]Gen!B39</f>
        <v>#REF!</v>
      </c>
      <c r="B32" s="95">
        <f>[1]Gen!A39</f>
        <v>43767</v>
      </c>
      <c r="C32" s="204"/>
      <c r="D32" s="201">
        <f t="shared" si="18"/>
        <v>8027.5</v>
      </c>
      <c r="E32" s="573">
        <v>8031.4</v>
      </c>
      <c r="F32" s="210">
        <f t="shared" si="17"/>
        <v>467.99999999995634</v>
      </c>
      <c r="G32" s="203"/>
      <c r="H32" s="246">
        <f t="shared" si="9"/>
        <v>43767</v>
      </c>
      <c r="I32" s="204"/>
      <c r="J32" s="201">
        <f t="shared" si="19"/>
        <v>36838</v>
      </c>
      <c r="K32" s="685">
        <f>'Water-Meter'!G34</f>
        <v>36853</v>
      </c>
      <c r="L32" s="218">
        <f t="shared" si="3"/>
        <v>15</v>
      </c>
      <c r="M32" s="246">
        <f t="shared" si="10"/>
        <v>43767</v>
      </c>
      <c r="N32" s="204"/>
      <c r="O32" s="201">
        <f t="shared" si="4"/>
        <v>7435</v>
      </c>
      <c r="P32" s="482">
        <f>'Water-Meter'!J34</f>
        <v>7438</v>
      </c>
      <c r="Q32" s="218">
        <f t="shared" si="5"/>
        <v>3</v>
      </c>
      <c r="R32" s="220">
        <f t="shared" si="16"/>
        <v>1.8575851393188853E-3</v>
      </c>
      <c r="S32" s="223" t="e">
        <f>SUM(F32/[1]Gen!T38)</f>
        <v>#DIV/0!</v>
      </c>
      <c r="T32" s="246">
        <f t="shared" ref="T32:T35" si="20">M32</f>
        <v>43767</v>
      </c>
      <c r="U32" s="204"/>
      <c r="V32" s="201">
        <f t="shared" si="12"/>
        <v>7226.8</v>
      </c>
      <c r="W32" s="202">
        <v>7230.9</v>
      </c>
      <c r="X32" s="210">
        <f t="shared" si="0"/>
        <v>819.99999999989086</v>
      </c>
      <c r="Y32" s="246">
        <f t="shared" ref="Y32:Y35" si="21">T32</f>
        <v>43767</v>
      </c>
      <c r="Z32" s="204"/>
      <c r="AA32" s="201">
        <f t="shared" si="14"/>
        <v>18800</v>
      </c>
      <c r="AB32" s="221">
        <f>'Water-Meter'!P34</f>
        <v>18811</v>
      </c>
      <c r="AC32" s="210">
        <f t="shared" si="7"/>
        <v>11</v>
      </c>
    </row>
    <row r="33" spans="1:29" ht="19.5" thickBot="1">
      <c r="A33" s="216" t="e">
        <f>[1]Gen!B40</f>
        <v>#REF!</v>
      </c>
      <c r="B33" s="95">
        <f>[1]Gen!A40</f>
        <v>43768</v>
      </c>
      <c r="C33" s="204"/>
      <c r="D33" s="201">
        <f t="shared" si="18"/>
        <v>8031.4</v>
      </c>
      <c r="E33" s="573">
        <v>8039.4</v>
      </c>
      <c r="F33" s="210">
        <f t="shared" si="17"/>
        <v>960</v>
      </c>
      <c r="G33" s="203"/>
      <c r="H33" s="246">
        <f t="shared" si="9"/>
        <v>43768</v>
      </c>
      <c r="I33" s="204"/>
      <c r="J33" s="201">
        <f t="shared" si="19"/>
        <v>36853</v>
      </c>
      <c r="K33" s="685">
        <f>'Water-Meter'!G35</f>
        <v>36869</v>
      </c>
      <c r="L33" s="218">
        <f t="shared" si="3"/>
        <v>16</v>
      </c>
      <c r="M33" s="246">
        <f t="shared" si="10"/>
        <v>43768</v>
      </c>
      <c r="N33" s="204"/>
      <c r="O33" s="201">
        <f t="shared" si="4"/>
        <v>7438</v>
      </c>
      <c r="P33" s="482">
        <f>'Water-Meter'!J35</f>
        <v>7441</v>
      </c>
      <c r="Q33" s="218">
        <f t="shared" si="5"/>
        <v>3</v>
      </c>
      <c r="R33" s="220">
        <f t="shared" si="16"/>
        <v>1.8575851393188853E-3</v>
      </c>
      <c r="S33" s="223" t="e">
        <f>SUM(F33/[1]Gen!T39)</f>
        <v>#DIV/0!</v>
      </c>
      <c r="T33" s="246">
        <f t="shared" si="20"/>
        <v>43768</v>
      </c>
      <c r="U33" s="204"/>
      <c r="V33" s="201">
        <f t="shared" si="12"/>
        <v>7230.9</v>
      </c>
      <c r="W33" s="202">
        <v>7240.3</v>
      </c>
      <c r="X33" s="210">
        <f t="shared" si="0"/>
        <v>1880.0000000001091</v>
      </c>
      <c r="Y33" s="246">
        <f t="shared" si="21"/>
        <v>43768</v>
      </c>
      <c r="Z33" s="204"/>
      <c r="AA33" s="201">
        <f t="shared" si="14"/>
        <v>18811</v>
      </c>
      <c r="AB33" s="221">
        <f>'Water-Meter'!P35</f>
        <v>18819</v>
      </c>
      <c r="AC33" s="210">
        <f t="shared" si="7"/>
        <v>8</v>
      </c>
    </row>
    <row r="34" spans="1:29" ht="19.5" thickBot="1">
      <c r="A34" s="216" t="e">
        <f>[1]Gen!B41</f>
        <v>#REF!</v>
      </c>
      <c r="B34" s="95">
        <f>[1]Gen!A41</f>
        <v>43769</v>
      </c>
      <c r="C34" s="205"/>
      <c r="D34" s="201">
        <f t="shared" si="18"/>
        <v>8039.4</v>
      </c>
      <c r="E34" s="573">
        <v>8043.7</v>
      </c>
      <c r="F34" s="210">
        <f t="shared" si="17"/>
        <v>516.00000000002183</v>
      </c>
      <c r="G34" s="20"/>
      <c r="H34" s="246">
        <f t="shared" si="9"/>
        <v>43769</v>
      </c>
      <c r="I34" s="205"/>
      <c r="J34" s="201">
        <f t="shared" si="19"/>
        <v>36869</v>
      </c>
      <c r="K34" s="685">
        <f>'Water-Meter'!G36</f>
        <v>36884</v>
      </c>
      <c r="L34" s="218">
        <f t="shared" si="3"/>
        <v>15</v>
      </c>
      <c r="M34" s="246">
        <f t="shared" si="10"/>
        <v>43769</v>
      </c>
      <c r="N34" s="205"/>
      <c r="O34" s="201">
        <f t="shared" si="4"/>
        <v>7441</v>
      </c>
      <c r="P34" s="482">
        <f>'Water-Meter'!J36</f>
        <v>7444</v>
      </c>
      <c r="Q34" s="218">
        <f t="shared" si="5"/>
        <v>3</v>
      </c>
      <c r="R34" s="220">
        <f t="shared" si="16"/>
        <v>1.8575851393188853E-3</v>
      </c>
      <c r="S34" s="223" t="e">
        <f>SUM(F34/[1]Gen!T40)</f>
        <v>#DIV/0!</v>
      </c>
      <c r="T34" s="246">
        <f t="shared" si="20"/>
        <v>43769</v>
      </c>
      <c r="U34" s="205"/>
      <c r="V34" s="201">
        <f t="shared" ref="V34:V35" si="22">SUM(W33)</f>
        <v>7240.3</v>
      </c>
      <c r="W34" s="202">
        <v>7244.3</v>
      </c>
      <c r="X34" s="210">
        <f t="shared" si="0"/>
        <v>800</v>
      </c>
      <c r="Y34" s="246">
        <f t="shared" si="21"/>
        <v>43769</v>
      </c>
      <c r="Z34" s="205"/>
      <c r="AA34" s="201">
        <f t="shared" si="14"/>
        <v>18819</v>
      </c>
      <c r="AB34" s="221">
        <f>'Water-Meter'!P36</f>
        <v>18829</v>
      </c>
      <c r="AC34" s="210">
        <f t="shared" si="7"/>
        <v>10</v>
      </c>
    </row>
    <row r="35" spans="1:29" ht="20.25" customHeight="1" thickBot="1">
      <c r="A35" s="216" t="e">
        <f>[1]Gen!B42</f>
        <v>#REF!</v>
      </c>
      <c r="B35" s="95" t="e">
        <f>[1]Gen!A42</f>
        <v>#REF!</v>
      </c>
      <c r="D35" s="201">
        <f t="shared" si="18"/>
        <v>8043.7</v>
      </c>
      <c r="E35" s="573"/>
      <c r="F35" s="212">
        <f>SUM(F4:F6)</f>
        <v>1403.9999999999782</v>
      </c>
      <c r="G35" s="20"/>
      <c r="H35" s="246" t="e">
        <f t="shared" si="9"/>
        <v>#REF!</v>
      </c>
      <c r="J35" s="201">
        <f t="shared" si="19"/>
        <v>36884</v>
      </c>
      <c r="K35" s="685">
        <f>'Water-Meter'!G37</f>
        <v>0</v>
      </c>
      <c r="L35" s="212">
        <f>SUM(L5:L34)</f>
        <v>450</v>
      </c>
      <c r="M35" s="246" t="e">
        <f t="shared" si="10"/>
        <v>#REF!</v>
      </c>
      <c r="N35" s="205"/>
      <c r="O35" s="201">
        <f t="shared" si="4"/>
        <v>7444</v>
      </c>
      <c r="P35" s="482">
        <f>'Water-Meter'!J37</f>
        <v>0</v>
      </c>
      <c r="Q35" s="212">
        <f>SUM(Q5:Q34)</f>
        <v>91</v>
      </c>
      <c r="R35" s="220">
        <f t="shared" si="16"/>
        <v>5.6346749226006194E-2</v>
      </c>
      <c r="S35" s="223" t="e">
        <f>SUM(F35/[1]Gen!T41)</f>
        <v>#DIV/0!</v>
      </c>
      <c r="T35" s="246" t="e">
        <f t="shared" si="20"/>
        <v>#REF!</v>
      </c>
      <c r="V35" s="201">
        <f t="shared" si="22"/>
        <v>7244.3</v>
      </c>
      <c r="W35" s="202"/>
      <c r="X35" s="210">
        <f t="shared" si="0"/>
        <v>-1448860</v>
      </c>
      <c r="Y35" s="246" t="e">
        <f t="shared" si="21"/>
        <v>#REF!</v>
      </c>
      <c r="AA35" s="201">
        <f t="shared" si="14"/>
        <v>18829</v>
      </c>
      <c r="AB35" s="221">
        <f>'Water-Meter'!P37</f>
        <v>0</v>
      </c>
      <c r="AC35" s="224">
        <f>SUM(AC5:AC34)</f>
        <v>282</v>
      </c>
    </row>
    <row r="36" spans="1:29" ht="24.75" customHeight="1">
      <c r="E36" s="581">
        <v>321</v>
      </c>
      <c r="L36" s="155" t="s">
        <v>159</v>
      </c>
      <c r="Q36" s="155" t="s">
        <v>159</v>
      </c>
      <c r="R36" s="219"/>
      <c r="X36" s="575">
        <f>SUM(X4:X6)</f>
        <v>2580.0000000001091</v>
      </c>
      <c r="AC36" s="155" t="s">
        <v>159</v>
      </c>
    </row>
    <row r="37" spans="1:29" ht="12.75" customHeight="1">
      <c r="B37" t="s">
        <v>158</v>
      </c>
      <c r="E37" s="581">
        <v>321</v>
      </c>
      <c r="G37" s="20"/>
      <c r="H37" t="s">
        <v>20</v>
      </c>
      <c r="T37" t="s">
        <v>158</v>
      </c>
      <c r="Y37" t="s">
        <v>20</v>
      </c>
    </row>
    <row r="38" spans="1:29" ht="12.75" customHeight="1">
      <c r="B38" t="s">
        <v>14</v>
      </c>
      <c r="C38">
        <v>2856</v>
      </c>
      <c r="D38">
        <f>SUM(F35)*0.41</f>
        <v>575.63999999999101</v>
      </c>
      <c r="E38" s="206">
        <v>321</v>
      </c>
      <c r="G38" s="20"/>
      <c r="H38" t="s">
        <v>14</v>
      </c>
      <c r="I38">
        <v>985</v>
      </c>
      <c r="J38">
        <f>SUM(L35)</f>
        <v>450</v>
      </c>
      <c r="K38" s="206">
        <f>SUM(I38*J38)</f>
        <v>443250</v>
      </c>
      <c r="T38" t="s">
        <v>14</v>
      </c>
      <c r="U38">
        <v>2856</v>
      </c>
      <c r="V38">
        <f>SUM(X35)*0.41</f>
        <v>-594032.6</v>
      </c>
      <c r="W38" s="206">
        <f>SUM(U38*V38)</f>
        <v>-1696557105.5999999</v>
      </c>
      <c r="Y38" t="s">
        <v>14</v>
      </c>
      <c r="Z38">
        <v>985</v>
      </c>
      <c r="AA38">
        <f>SUM(AC35)</f>
        <v>282</v>
      </c>
      <c r="AB38" s="206">
        <f>SUM(Z38*AA38)</f>
        <v>277770</v>
      </c>
    </row>
    <row r="39" spans="1:29" ht="12.75" customHeight="1">
      <c r="E39" s="582">
        <v>321</v>
      </c>
      <c r="G39" s="20"/>
    </row>
    <row r="40" spans="1:29" ht="12.75" customHeight="1">
      <c r="D40" s="155"/>
      <c r="E40" s="206">
        <v>321</v>
      </c>
      <c r="G40" s="20"/>
      <c r="V40" s="155"/>
      <c r="W40" s="206"/>
    </row>
    <row r="41" spans="1:29" ht="12.75" customHeight="1">
      <c r="E41" s="582">
        <v>321</v>
      </c>
      <c r="G41" s="20"/>
    </row>
    <row r="42" spans="1:29" ht="12.75" customHeight="1">
      <c r="C42" s="207"/>
      <c r="E42" s="583">
        <v>321</v>
      </c>
      <c r="G42" s="20"/>
      <c r="U42" s="207"/>
      <c r="W42">
        <f>SUM(A4:A14)/11</f>
        <v>0.535909090909091</v>
      </c>
      <c r="X42">
        <f>SUM(X4:X14)/11</f>
        <v>923.63636363636692</v>
      </c>
    </row>
    <row r="43" spans="1:29" ht="18.75">
      <c r="E43" s="582">
        <v>321</v>
      </c>
    </row>
    <row r="44" spans="1:29">
      <c r="E44" s="583">
        <v>321</v>
      </c>
    </row>
    <row r="45" spans="1:29" ht="18.75">
      <c r="E45" s="582">
        <v>321</v>
      </c>
    </row>
    <row r="46" spans="1:29">
      <c r="E46" s="583">
        <v>321</v>
      </c>
    </row>
    <row r="47" spans="1:29" ht="18.75">
      <c r="E47" s="582">
        <v>321</v>
      </c>
    </row>
    <row r="48" spans="1:29">
      <c r="E48" s="583">
        <v>321</v>
      </c>
    </row>
    <row r="49" spans="5:5" ht="18.75">
      <c r="E49" s="582">
        <v>321</v>
      </c>
    </row>
    <row r="50" spans="5:5">
      <c r="E50" s="583">
        <v>321</v>
      </c>
    </row>
    <row r="51" spans="5:5" ht="18.75">
      <c r="E51" s="582">
        <v>321</v>
      </c>
    </row>
    <row r="52" spans="5:5">
      <c r="E52" s="583">
        <v>321</v>
      </c>
    </row>
    <row r="53" spans="5:5" ht="18.75">
      <c r="E53" s="582">
        <v>321111</v>
      </c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33" sqref="P33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31" t="s">
        <v>263</v>
      </c>
      <c r="B2" s="732"/>
      <c r="C2" s="732"/>
      <c r="D2" s="732"/>
      <c r="E2" s="733"/>
      <c r="F2" s="122"/>
      <c r="G2" s="122"/>
      <c r="H2" s="122"/>
      <c r="I2" s="122"/>
      <c r="J2" s="122"/>
      <c r="K2" s="122"/>
      <c r="L2" s="122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68</v>
      </c>
      <c r="C4" s="417" t="s">
        <v>52</v>
      </c>
      <c r="D4" s="53" t="s">
        <v>66</v>
      </c>
      <c r="E4" s="53" t="s">
        <v>67</v>
      </c>
      <c r="F4" s="74" t="s">
        <v>43</v>
      </c>
      <c r="G4" s="53" t="s">
        <v>208</v>
      </c>
      <c r="H4" s="53" t="s">
        <v>211</v>
      </c>
      <c r="I4" s="53" t="s">
        <v>209</v>
      </c>
      <c r="J4" s="53" t="s">
        <v>210</v>
      </c>
      <c r="K4" s="74" t="s">
        <v>53</v>
      </c>
      <c r="L4" s="74" t="s">
        <v>78</v>
      </c>
    </row>
    <row r="5" spans="1:13">
      <c r="A5" s="54">
        <f>[1]Gen!A11</f>
        <v>43739</v>
      </c>
      <c r="B5" s="697">
        <f>'Daily report Gen'!Z6</f>
        <v>57</v>
      </c>
      <c r="C5" s="89">
        <f>Gen!B11</f>
        <v>0.623</v>
      </c>
      <c r="D5" s="661">
        <f t="shared" ref="D5:D36" si="0">E5</f>
        <v>48</v>
      </c>
      <c r="E5" s="76">
        <v>48</v>
      </c>
      <c r="F5" s="72">
        <f>Gen!T11</f>
        <v>5669</v>
      </c>
      <c r="G5" s="87">
        <f>Gen!S11</f>
        <v>2179.4799999999996</v>
      </c>
      <c r="H5" s="87">
        <f>Gen!AJ11</f>
        <v>203.27999999999997</v>
      </c>
      <c r="I5" s="87">
        <f t="shared" ref="I5:I35" si="1">SUM(G5:H5)</f>
        <v>2382.7599999999993</v>
      </c>
      <c r="J5" s="87">
        <f>[1]Gen!AT11</f>
        <v>47806.650000000031</v>
      </c>
      <c r="K5" s="409">
        <f>'Water-Meter'!E6</f>
        <v>130</v>
      </c>
      <c r="L5" s="698">
        <f>'Lpg (2)'!G10</f>
        <v>95.963999999989767</v>
      </c>
      <c r="M5" s="81" t="e">
        <f>SUM(#REF!-#REF!)</f>
        <v>#REF!</v>
      </c>
    </row>
    <row r="6" spans="1:13">
      <c r="A6" s="54">
        <f>[1]Gen!A12</f>
        <v>43740</v>
      </c>
      <c r="B6" s="697">
        <f>'Daily report Gen'!Z7</f>
        <v>42</v>
      </c>
      <c r="C6" s="89">
        <f>Gen!B12</f>
        <v>0.77900000000000003</v>
      </c>
      <c r="D6" s="661">
        <f t="shared" si="0"/>
        <v>62</v>
      </c>
      <c r="E6" s="76">
        <v>62</v>
      </c>
      <c r="F6" s="72">
        <f>Gen!T12</f>
        <v>6159</v>
      </c>
      <c r="G6" s="87">
        <f>Gen!S12</f>
        <v>2472.85</v>
      </c>
      <c r="H6" s="87">
        <f>Gen!AJ12</f>
        <v>31.450000000000003</v>
      </c>
      <c r="I6" s="87">
        <f t="shared" si="1"/>
        <v>2504.2999999999997</v>
      </c>
      <c r="J6" s="87">
        <f>[1]Gen!AT12</f>
        <v>45423.890000000029</v>
      </c>
      <c r="K6" s="409">
        <f>'Water-Meter'!E7</f>
        <v>128</v>
      </c>
      <c r="L6" s="698">
        <f>'Lpg (2)'!G11</f>
        <v>112.59599999998464</v>
      </c>
      <c r="M6" s="81" t="e">
        <f>SUM(#REF!-#REF!)</f>
        <v>#REF!</v>
      </c>
    </row>
    <row r="7" spans="1:13">
      <c r="A7" s="54">
        <f>[1]Gen!A13</f>
        <v>43741</v>
      </c>
      <c r="B7" s="697">
        <f>'Daily report Gen'!Z8</f>
        <v>44</v>
      </c>
      <c r="C7" s="89">
        <f>Gen!B13</f>
        <v>0.53200000000000003</v>
      </c>
      <c r="D7" s="661">
        <f t="shared" si="0"/>
        <v>41</v>
      </c>
      <c r="E7" s="76">
        <v>41</v>
      </c>
      <c r="F7" s="72">
        <f>Gen!T13</f>
        <v>6580</v>
      </c>
      <c r="G7" s="87">
        <f>Gen!S13</f>
        <v>2554.3900000000003</v>
      </c>
      <c r="H7" s="87">
        <f>Gen!AJ13</f>
        <v>106.26</v>
      </c>
      <c r="I7" s="87">
        <f t="shared" si="1"/>
        <v>2660.6500000000005</v>
      </c>
      <c r="J7" s="87">
        <f>[1]Gen!AT13</f>
        <v>42919.590000000026</v>
      </c>
      <c r="K7" s="409">
        <f>'Water-Meter'!E8</f>
        <v>120</v>
      </c>
      <c r="L7" s="698">
        <f>'Lpg (2)'!G12</f>
        <v>116.1599999999744</v>
      </c>
      <c r="M7" s="81" t="e">
        <f>SUM(#REF!-#REF!)</f>
        <v>#REF!</v>
      </c>
    </row>
    <row r="8" spans="1:13">
      <c r="A8" s="54">
        <f>[1]Gen!A14</f>
        <v>43742</v>
      </c>
      <c r="B8" s="697">
        <f>'Daily report Gen'!Z9</f>
        <v>43</v>
      </c>
      <c r="C8" s="89">
        <f>Gen!B14</f>
        <v>0.61</v>
      </c>
      <c r="D8" s="661">
        <f>E8</f>
        <v>47</v>
      </c>
      <c r="E8" s="76">
        <v>47</v>
      </c>
      <c r="F8" s="72">
        <f>Gen!T14</f>
        <v>6223</v>
      </c>
      <c r="G8" s="87">
        <f>Gen!S14</f>
        <v>2441.42</v>
      </c>
      <c r="H8" s="87">
        <f>Gen!AJ14</f>
        <v>292.31</v>
      </c>
      <c r="I8" s="87">
        <f t="shared" si="1"/>
        <v>2733.73</v>
      </c>
      <c r="J8" s="87">
        <f>[1]Gen!AT14</f>
        <v>40258.940000000024</v>
      </c>
      <c r="K8" s="409">
        <f>'Water-Meter'!E9</f>
        <v>120</v>
      </c>
      <c r="L8" s="698">
        <f>'Lpg (2)'!G13</f>
        <v>117.92000000001282</v>
      </c>
      <c r="M8" s="81" t="e">
        <f>SUM(#REF!-#REF!)</f>
        <v>#REF!</v>
      </c>
    </row>
    <row r="9" spans="1:13">
      <c r="A9" s="54">
        <f>[1]Gen!A15</f>
        <v>43743</v>
      </c>
      <c r="B9" s="697">
        <f>'Daily report Gen'!Z10</f>
        <v>40</v>
      </c>
      <c r="C9" s="89">
        <f>Gen!B15</f>
        <v>0.68799999999999994</v>
      </c>
      <c r="D9" s="661">
        <f t="shared" si="0"/>
        <v>53</v>
      </c>
      <c r="E9" s="76">
        <v>53</v>
      </c>
      <c r="F9" s="72">
        <f>Gen!T15</f>
        <v>5984</v>
      </c>
      <c r="G9" s="87">
        <f>Gen!S15</f>
        <v>2338.3599999999997</v>
      </c>
      <c r="H9" s="87">
        <f>Gen!AJ15</f>
        <v>79.16</v>
      </c>
      <c r="I9" s="87">
        <f t="shared" si="1"/>
        <v>2417.5199999999995</v>
      </c>
      <c r="J9" s="87">
        <f>[1]Gen!AT15</f>
        <v>37525.210000000021</v>
      </c>
      <c r="K9" s="409">
        <f>'Water-Meter'!E10</f>
        <v>114</v>
      </c>
      <c r="L9" s="698">
        <f>'Lpg (2)'!G14</f>
        <v>121.44000000002562</v>
      </c>
      <c r="M9" s="81" t="e">
        <f>SUM(#REF!-#REF!)</f>
        <v>#REF!</v>
      </c>
    </row>
    <row r="10" spans="1:13">
      <c r="A10" s="54">
        <f>[1]Gen!A16</f>
        <v>43744</v>
      </c>
      <c r="B10" s="697">
        <f>'Daily report Gen'!Z11</f>
        <v>42</v>
      </c>
      <c r="C10" s="89">
        <f>Gen!B16</f>
        <v>0.53200000000000003</v>
      </c>
      <c r="D10" s="661">
        <f t="shared" si="0"/>
        <v>41</v>
      </c>
      <c r="E10" s="76">
        <v>41</v>
      </c>
      <c r="F10" s="72">
        <f>Gen!T16</f>
        <v>6103</v>
      </c>
      <c r="G10" s="87">
        <f>Gen!S16</f>
        <v>2478.9</v>
      </c>
      <c r="H10" s="87">
        <f>Gen!AJ16</f>
        <v>115.65</v>
      </c>
      <c r="I10" s="87">
        <f t="shared" si="1"/>
        <v>2594.5500000000002</v>
      </c>
      <c r="J10" s="87">
        <f>[1]Gen!AT16</f>
        <v>35107.690000000024</v>
      </c>
      <c r="K10" s="409">
        <f>'Water-Meter'!E11</f>
        <v>126</v>
      </c>
      <c r="L10" s="698">
        <f>'Lpg (2)'!G15</f>
        <v>120.55999999997439</v>
      </c>
      <c r="M10" s="81" t="e">
        <f>SUM(#REF!-#REF!)</f>
        <v>#REF!</v>
      </c>
    </row>
    <row r="11" spans="1:13">
      <c r="A11" s="54">
        <f>[1]Gen!A17</f>
        <v>43745</v>
      </c>
      <c r="B11" s="697">
        <f>'Daily report Gen'!Z12</f>
        <v>43</v>
      </c>
      <c r="C11" s="89">
        <f>Gen!B17</f>
        <v>0.753</v>
      </c>
      <c r="D11" s="661">
        <f t="shared" si="0"/>
        <v>58</v>
      </c>
      <c r="E11" s="76">
        <v>58</v>
      </c>
      <c r="F11" s="72">
        <f>Gen!T17</f>
        <v>5576</v>
      </c>
      <c r="G11" s="87">
        <f>Gen!S17</f>
        <v>2276.44</v>
      </c>
      <c r="H11" s="87">
        <f>Gen!AJ17</f>
        <v>74.81</v>
      </c>
      <c r="I11" s="87">
        <f t="shared" si="1"/>
        <v>2351.25</v>
      </c>
      <c r="J11" s="87">
        <f>[1]Gen!AT17</f>
        <v>47513.140000000029</v>
      </c>
      <c r="K11" s="409">
        <f>'Water-Meter'!E12</f>
        <v>116</v>
      </c>
      <c r="L11" s="698">
        <f>'Lpg (2)'!G16</f>
        <v>119.6799999999872</v>
      </c>
      <c r="M11" s="81" t="e">
        <f>SUM(#REF!-#REF!)</f>
        <v>#REF!</v>
      </c>
    </row>
    <row r="12" spans="1:13">
      <c r="A12" s="54">
        <f>[1]Gen!A18</f>
        <v>43746</v>
      </c>
      <c r="B12" s="697">
        <f>'Daily report Gen'!Z13</f>
        <v>42</v>
      </c>
      <c r="C12" s="89">
        <f>Gen!B18</f>
        <v>0.156</v>
      </c>
      <c r="D12" s="661">
        <f t="shared" si="0"/>
        <v>12</v>
      </c>
      <c r="E12" s="76">
        <v>12</v>
      </c>
      <c r="F12" s="72">
        <f>Gen!T18</f>
        <v>5532</v>
      </c>
      <c r="G12" s="87">
        <f>Gen!S18</f>
        <v>2242.4</v>
      </c>
      <c r="H12" s="87">
        <f>Gen!AJ18</f>
        <v>94.01</v>
      </c>
      <c r="I12" s="87">
        <f t="shared" si="1"/>
        <v>2336.4100000000003</v>
      </c>
      <c r="J12" s="87">
        <f>[1]Gen!AT18</f>
        <v>45161.890000000029</v>
      </c>
      <c r="K12" s="409">
        <f>'Water-Meter'!E13</f>
        <v>120</v>
      </c>
      <c r="L12" s="698">
        <f>'Lpg (2)'!G17</f>
        <v>118.36000000003843</v>
      </c>
      <c r="M12" s="81" t="e">
        <f>SUM(#REF!-#REF!)</f>
        <v>#REF!</v>
      </c>
    </row>
    <row r="13" spans="1:13">
      <c r="A13" s="54">
        <f>[1]Gen!A19</f>
        <v>43747</v>
      </c>
      <c r="B13" s="697">
        <f>'Daily report Gen'!Z14</f>
        <v>42</v>
      </c>
      <c r="C13" s="89">
        <f>Gen!B19</f>
        <v>0.442</v>
      </c>
      <c r="D13" s="661">
        <f t="shared" si="0"/>
        <v>34</v>
      </c>
      <c r="E13" s="76">
        <v>34</v>
      </c>
      <c r="F13" s="72">
        <f>Gen!T19</f>
        <v>6233</v>
      </c>
      <c r="G13" s="87">
        <f>Gen!S19</f>
        <v>2430.2700000000004</v>
      </c>
      <c r="H13" s="87">
        <f>Gen!AJ19</f>
        <v>284.83</v>
      </c>
      <c r="I13" s="87">
        <f t="shared" si="1"/>
        <v>2715.1000000000004</v>
      </c>
      <c r="J13" s="87">
        <f>[1]Gen!AT19</f>
        <v>42825.480000000025</v>
      </c>
      <c r="K13" s="409">
        <f>'Water-Meter'!E14</f>
        <v>107</v>
      </c>
      <c r="L13" s="698">
        <f>'Lpg (2)'!G18</f>
        <v>117.03999999996159</v>
      </c>
      <c r="M13" s="81" t="e">
        <f>SUM(#REF!-#REF!)</f>
        <v>#REF!</v>
      </c>
    </row>
    <row r="14" spans="1:13">
      <c r="A14" s="54">
        <f>[1]Gen!A20</f>
        <v>43748</v>
      </c>
      <c r="B14" s="697">
        <f>'Daily report Gen'!Z15</f>
        <v>42</v>
      </c>
      <c r="C14" s="89">
        <f>Gen!B20</f>
        <v>0.32500000000000001</v>
      </c>
      <c r="D14" s="661">
        <f t="shared" si="0"/>
        <v>25</v>
      </c>
      <c r="E14" s="76">
        <v>25</v>
      </c>
      <c r="F14" s="72">
        <f>Gen!T20</f>
        <v>6063</v>
      </c>
      <c r="G14" s="87">
        <f>Gen!S20</f>
        <v>2463.77</v>
      </c>
      <c r="H14" s="87">
        <f>Gen!AJ20</f>
        <v>106.04</v>
      </c>
      <c r="I14" s="87">
        <f t="shared" si="1"/>
        <v>2569.81</v>
      </c>
      <c r="J14" s="87">
        <f>[1]Gen!AT20</f>
        <v>40110.380000000026</v>
      </c>
      <c r="K14" s="409">
        <f>'Water-Meter'!E15</f>
        <v>123</v>
      </c>
      <c r="L14" s="698">
        <f>'Lpg (2)'!G19</f>
        <v>116.16000000003842</v>
      </c>
      <c r="M14" s="81" t="e">
        <f>SUM(#REF!-#REF!)</f>
        <v>#REF!</v>
      </c>
    </row>
    <row r="15" spans="1:13">
      <c r="A15" s="54">
        <f>[1]Gen!A21</f>
        <v>43749</v>
      </c>
      <c r="B15" s="697">
        <f>'Daily report Gen'!Z16</f>
        <v>46</v>
      </c>
      <c r="C15" s="89">
        <f>Gen!B21</f>
        <v>0.45500000000000002</v>
      </c>
      <c r="D15" s="661">
        <f t="shared" si="0"/>
        <v>35</v>
      </c>
      <c r="E15" s="76">
        <v>35</v>
      </c>
      <c r="F15" s="72">
        <f>Gen!T21</f>
        <v>5967</v>
      </c>
      <c r="G15" s="87">
        <f>Gen!S21</f>
        <v>2310.19</v>
      </c>
      <c r="H15" s="87">
        <f>Gen!AJ21</f>
        <v>263.09000000000003</v>
      </c>
      <c r="I15" s="87">
        <f t="shared" si="1"/>
        <v>2573.2800000000002</v>
      </c>
      <c r="J15" s="87">
        <f>[1]Gen!AT21</f>
        <v>37540.570000000029</v>
      </c>
      <c r="K15" s="409">
        <f>'Water-Meter'!E16</f>
        <v>112</v>
      </c>
      <c r="L15" s="698">
        <f>'Lpg (2)'!G20</f>
        <v>110.87999999998721</v>
      </c>
      <c r="M15" s="81" t="e">
        <f>SUM(#REF!-#REF!)</f>
        <v>#REF!</v>
      </c>
    </row>
    <row r="16" spans="1:13">
      <c r="A16" s="54">
        <f>[1]Gen!A22</f>
        <v>43750</v>
      </c>
      <c r="B16" s="697">
        <f>'Daily report Gen'!Z17</f>
        <v>44</v>
      </c>
      <c r="C16" s="89">
        <f>Gen!B22</f>
        <v>0.41599999999999998</v>
      </c>
      <c r="D16" s="661">
        <f t="shared" si="0"/>
        <v>32</v>
      </c>
      <c r="E16" s="76">
        <v>32</v>
      </c>
      <c r="F16" s="72">
        <f>Gen!T22</f>
        <v>5863</v>
      </c>
      <c r="G16" s="87">
        <f>Gen!S22</f>
        <v>2429.17</v>
      </c>
      <c r="H16" s="87">
        <f>Gen!AJ22</f>
        <v>309.36</v>
      </c>
      <c r="I16" s="87">
        <f t="shared" si="1"/>
        <v>2738.53</v>
      </c>
      <c r="J16" s="87">
        <f>[1]Gen!AT22</f>
        <v>34967.29000000003</v>
      </c>
      <c r="K16" s="409">
        <f>'Water-Meter'!E17</f>
        <v>128</v>
      </c>
      <c r="L16" s="698">
        <f>'Lpg (2)'!G21</f>
        <v>108.24000000002562</v>
      </c>
      <c r="M16" s="81" t="e">
        <f>SUM(#REF!-#REF!)</f>
        <v>#REF!</v>
      </c>
    </row>
    <row r="17" spans="1:13">
      <c r="A17" s="54">
        <f>[1]Gen!A23</f>
        <v>43751</v>
      </c>
      <c r="B17" s="697">
        <f>'Daily report Gen'!Z18</f>
        <v>43</v>
      </c>
      <c r="C17" s="89">
        <f>Gen!B23</f>
        <v>0.39</v>
      </c>
      <c r="D17" s="661">
        <f t="shared" si="0"/>
        <v>30</v>
      </c>
      <c r="E17" s="76">
        <v>30</v>
      </c>
      <c r="F17" s="72">
        <f>Gen!T23</f>
        <v>5720</v>
      </c>
      <c r="G17" s="87">
        <f>Gen!S23</f>
        <v>2249.5299999999997</v>
      </c>
      <c r="H17" s="87">
        <f>Gen!AJ23</f>
        <v>63.78</v>
      </c>
      <c r="I17" s="87">
        <f t="shared" si="1"/>
        <v>2313.31</v>
      </c>
      <c r="J17" s="87">
        <f>[1]Gen!AT23</f>
        <v>32228.760000000031</v>
      </c>
      <c r="K17" s="409">
        <f>'Water-Meter'!E18</f>
        <v>114</v>
      </c>
      <c r="L17" s="698">
        <f>'Lpg (2)'!G22</f>
        <v>104.2799999999872</v>
      </c>
      <c r="M17" s="81" t="e">
        <f>SUM(#REF!-#REF!)</f>
        <v>#REF!</v>
      </c>
    </row>
    <row r="18" spans="1:13">
      <c r="A18" s="54">
        <f>[1]Gen!A24</f>
        <v>43752</v>
      </c>
      <c r="B18" s="697">
        <f>'Daily report Gen'!Z19</f>
        <v>43</v>
      </c>
      <c r="C18" s="89">
        <f>Gen!B24</f>
        <v>0.63600000000000001</v>
      </c>
      <c r="D18" s="661">
        <f t="shared" si="0"/>
        <v>49</v>
      </c>
      <c r="E18" s="76">
        <v>49</v>
      </c>
      <c r="F18" s="72">
        <f>Gen!T24</f>
        <v>6195</v>
      </c>
      <c r="G18" s="87">
        <f>Gen!S24</f>
        <v>2424.4700000000003</v>
      </c>
      <c r="H18" s="87">
        <f>Gen!AJ24</f>
        <v>246.8</v>
      </c>
      <c r="I18" s="87">
        <f t="shared" si="1"/>
        <v>2671.2700000000004</v>
      </c>
      <c r="J18" s="87">
        <f>[1]Gen!AT24</f>
        <v>29915.45000000003</v>
      </c>
      <c r="K18" s="409">
        <f>'Water-Meter'!E19</f>
        <v>119</v>
      </c>
      <c r="L18" s="698">
        <f>'Lpg (2)'!G23</f>
        <v>106.92000000001282</v>
      </c>
      <c r="M18" s="81" t="e">
        <f>SUM(#REF!-#REF!)</f>
        <v>#REF!</v>
      </c>
    </row>
    <row r="19" spans="1:13">
      <c r="A19" s="54">
        <f>[1]Gen!A25</f>
        <v>43753</v>
      </c>
      <c r="B19" s="697">
        <f>'Daily report Gen'!Z20</f>
        <v>44</v>
      </c>
      <c r="C19" s="89">
        <f>Gen!B25</f>
        <v>0.84399999999999997</v>
      </c>
      <c r="D19" s="661">
        <f t="shared" si="0"/>
        <v>66</v>
      </c>
      <c r="E19" s="76">
        <v>66</v>
      </c>
      <c r="F19" s="72">
        <f>Gen!T25</f>
        <v>6450</v>
      </c>
      <c r="G19" s="87">
        <f>Gen!S25</f>
        <v>2672.31</v>
      </c>
      <c r="H19" s="87">
        <f>Gen!AJ25</f>
        <v>80.56</v>
      </c>
      <c r="I19" s="87">
        <f t="shared" si="1"/>
        <v>2752.87</v>
      </c>
      <c r="J19" s="87">
        <f>[1]Gen!AT25</f>
        <v>42248.240000000034</v>
      </c>
      <c r="K19" s="409">
        <f>'Water-Meter'!E20</f>
        <v>128</v>
      </c>
      <c r="L19" s="698">
        <f>'Lpg (2)'!G24</f>
        <v>105.1599999999744</v>
      </c>
      <c r="M19" s="81" t="e">
        <f>SUM(#REF!-#REF!)</f>
        <v>#REF!</v>
      </c>
    </row>
    <row r="20" spans="1:13">
      <c r="A20" s="54">
        <f>[1]Gen!A26</f>
        <v>43754</v>
      </c>
      <c r="B20" s="697">
        <f>'Daily report Gen'!Z21</f>
        <v>44</v>
      </c>
      <c r="C20" s="89">
        <f>Gen!B26</f>
        <v>0.81799999999999995</v>
      </c>
      <c r="D20" s="661">
        <f t="shared" si="0"/>
        <v>63</v>
      </c>
      <c r="E20" s="76">
        <v>63</v>
      </c>
      <c r="F20" s="72">
        <f>Gen!T26</f>
        <v>6915</v>
      </c>
      <c r="G20" s="87">
        <f>Gen!S26</f>
        <v>2741.7</v>
      </c>
      <c r="H20" s="87">
        <f>Gen!AJ26</f>
        <v>67.319999999999993</v>
      </c>
      <c r="I20" s="87">
        <f t="shared" si="1"/>
        <v>2809.02</v>
      </c>
      <c r="J20" s="369">
        <f>[1]Gen!AT26</f>
        <v>39497.370000000032</v>
      </c>
      <c r="K20" s="409">
        <f>'Water-Meter'!E21</f>
        <v>127</v>
      </c>
      <c r="L20" s="698">
        <f>'Lpg (2)'!G25</f>
        <v>103.4</v>
      </c>
      <c r="M20" s="81" t="e">
        <f>SUM(#REF!-#REF!)</f>
        <v>#REF!</v>
      </c>
    </row>
    <row r="21" spans="1:13">
      <c r="A21" s="54">
        <f>[1]Gen!A27</f>
        <v>43755</v>
      </c>
      <c r="B21" s="697">
        <f>'Daily report Gen'!Z22</f>
        <v>51</v>
      </c>
      <c r="C21" s="89">
        <f>Gen!B27</f>
        <v>0.20799999999999999</v>
      </c>
      <c r="D21" s="661">
        <f t="shared" si="0"/>
        <v>16</v>
      </c>
      <c r="E21" s="76">
        <v>16</v>
      </c>
      <c r="F21" s="72">
        <f>Gen!T27</f>
        <v>5962</v>
      </c>
      <c r="G21" s="87">
        <f>Gen!S27</f>
        <v>2321.11</v>
      </c>
      <c r="H21" s="87">
        <f>Gen!AJ27</f>
        <v>597.9</v>
      </c>
      <c r="I21" s="87">
        <f t="shared" si="1"/>
        <v>2919.01</v>
      </c>
      <c r="J21" s="87">
        <f>[1]Gen!AT27</f>
        <v>36688.350000000035</v>
      </c>
      <c r="K21" s="409">
        <f>'Water-Meter'!E22</f>
        <v>122</v>
      </c>
      <c r="L21" s="698">
        <f>'Lpg (2)'!G26</f>
        <v>99.44000000002562</v>
      </c>
      <c r="M21" s="81" t="e">
        <f>SUM(#REF!-#REF!)</f>
        <v>#REF!</v>
      </c>
    </row>
    <row r="22" spans="1:13">
      <c r="A22" s="54">
        <f>[1]Gen!A28</f>
        <v>43756</v>
      </c>
      <c r="B22" s="697">
        <f>'Daily report Gen'!Z23</f>
        <v>43</v>
      </c>
      <c r="C22" s="89">
        <f>Gen!B28</f>
        <v>0.221</v>
      </c>
      <c r="D22" s="661">
        <f t="shared" si="0"/>
        <v>17</v>
      </c>
      <c r="E22" s="76">
        <v>17</v>
      </c>
      <c r="F22" s="72">
        <f>Gen!T28</f>
        <v>5257</v>
      </c>
      <c r="G22" s="87">
        <f>Gen!S28</f>
        <v>2204.84</v>
      </c>
      <c r="H22" s="87">
        <f>Gen!AJ28</f>
        <v>227.73000000000002</v>
      </c>
      <c r="I22" s="87">
        <f t="shared" si="1"/>
        <v>2432.5700000000002</v>
      </c>
      <c r="J22" s="87">
        <f>[1]Gen!AT28</f>
        <v>33769.340000000033</v>
      </c>
      <c r="K22" s="409">
        <f>'Water-Meter'!E23</f>
        <v>105</v>
      </c>
      <c r="L22" s="698">
        <f>'Lpg (2)'!G27</f>
        <v>94.600000000000009</v>
      </c>
      <c r="M22" s="81" t="e">
        <f>SUM(#REF!-#REF!)</f>
        <v>#REF!</v>
      </c>
    </row>
    <row r="23" spans="1:13">
      <c r="A23" s="54">
        <f>[1]Gen!A29</f>
        <v>43757</v>
      </c>
      <c r="B23" s="697">
        <f>'Daily report Gen'!Z24</f>
        <v>42</v>
      </c>
      <c r="C23" s="89">
        <f>Gen!B29</f>
        <v>0.11700000000000001</v>
      </c>
      <c r="D23" s="661">
        <f t="shared" si="0"/>
        <v>9</v>
      </c>
      <c r="E23" s="76">
        <v>9</v>
      </c>
      <c r="F23" s="72">
        <f>Gen!T29</f>
        <v>4691</v>
      </c>
      <c r="G23" s="87">
        <f>Gen!S29</f>
        <v>1845.1800000000003</v>
      </c>
      <c r="H23" s="87">
        <f>Gen!AJ29</f>
        <v>88.289999999999992</v>
      </c>
      <c r="I23" s="87">
        <f t="shared" si="1"/>
        <v>1933.4700000000003</v>
      </c>
      <c r="J23" s="87">
        <f>[1]Gen!AT29</f>
        <v>31336.770000000033</v>
      </c>
      <c r="K23" s="409">
        <f>'Water-Meter'!E24</f>
        <v>104</v>
      </c>
      <c r="L23" s="698">
        <f>'Lpg (2)'!G28</f>
        <v>104.71999999994878</v>
      </c>
      <c r="M23" s="81" t="e">
        <f>SUM(#REF!-#REF!)</f>
        <v>#REF!</v>
      </c>
    </row>
    <row r="24" spans="1:13">
      <c r="A24" s="54">
        <f>[1]Gen!A30</f>
        <v>43758</v>
      </c>
      <c r="B24" s="697">
        <f>'Daily report Gen'!Z25</f>
        <v>43</v>
      </c>
      <c r="C24" s="89">
        <f>Gen!B30</f>
        <v>0.57099999999999995</v>
      </c>
      <c r="D24" s="661">
        <f t="shared" si="0"/>
        <v>44</v>
      </c>
      <c r="E24" s="76">
        <v>44</v>
      </c>
      <c r="F24" s="72">
        <f>Gen!T30</f>
        <v>5712</v>
      </c>
      <c r="G24" s="87">
        <f>Gen!S30</f>
        <v>2797.0099999999998</v>
      </c>
      <c r="H24" s="87">
        <f>Gen!AJ30</f>
        <v>183.92000000000002</v>
      </c>
      <c r="I24" s="87">
        <f t="shared" si="1"/>
        <v>2980.93</v>
      </c>
      <c r="J24" s="87">
        <f>[1]Gen!AT30</f>
        <v>29403.300000000032</v>
      </c>
      <c r="K24" s="409">
        <f>'Water-Meter'!E25</f>
        <v>100</v>
      </c>
      <c r="L24" s="698">
        <f>'Lpg (2)'!G29</f>
        <v>118.36000000003843</v>
      </c>
      <c r="M24" s="81" t="e">
        <f>SUM(#REF!-#REF!)</f>
        <v>#REF!</v>
      </c>
    </row>
    <row r="25" spans="1:13">
      <c r="A25" s="54">
        <f>[1]Gen!A31</f>
        <v>43759</v>
      </c>
      <c r="B25" s="697">
        <f>'Daily report Gen'!Z26</f>
        <v>43</v>
      </c>
      <c r="C25" s="89">
        <f>Gen!B31</f>
        <v>0.55800000000000005</v>
      </c>
      <c r="D25" s="661">
        <f t="shared" si="0"/>
        <v>43</v>
      </c>
      <c r="E25" s="76">
        <v>43</v>
      </c>
      <c r="F25" s="72">
        <f>Gen!T31</f>
        <v>5941</v>
      </c>
      <c r="G25" s="87">
        <f>Gen!S31</f>
        <v>2262.16</v>
      </c>
      <c r="H25" s="87">
        <f>Gen!AJ31</f>
        <v>172.05</v>
      </c>
      <c r="I25" s="87">
        <f t="shared" si="1"/>
        <v>2434.21</v>
      </c>
      <c r="J25" s="87">
        <f>[1]Gen!AT31</f>
        <v>41422.370000000032</v>
      </c>
      <c r="K25" s="409">
        <f>'Water-Meter'!E26</f>
        <v>116</v>
      </c>
      <c r="L25" s="698">
        <f>'Lpg (2)'!G30</f>
        <v>117.92000000001282</v>
      </c>
      <c r="M25" s="81" t="e">
        <f>SUM(#REF!-#REF!)</f>
        <v>#REF!</v>
      </c>
    </row>
    <row r="26" spans="1:13">
      <c r="A26" s="54">
        <f>[1]Gen!A32</f>
        <v>43760</v>
      </c>
      <c r="B26" s="697">
        <f>'Daily report Gen'!Z27</f>
        <v>42</v>
      </c>
      <c r="C26" s="89">
        <f>Gen!B32</f>
        <v>0.40300000000000002</v>
      </c>
      <c r="D26" s="661">
        <f t="shared" si="0"/>
        <v>31</v>
      </c>
      <c r="E26" s="76">
        <v>31</v>
      </c>
      <c r="F26" s="72">
        <f>Gen!T32</f>
        <v>5400</v>
      </c>
      <c r="G26" s="87">
        <f>Gen!S32</f>
        <v>2286.86</v>
      </c>
      <c r="H26" s="87">
        <f>Gen!AJ32</f>
        <v>18.63</v>
      </c>
      <c r="I26" s="87">
        <f t="shared" si="1"/>
        <v>2305.4900000000002</v>
      </c>
      <c r="J26" s="87">
        <f>[1]Gen!AT32</f>
        <v>38988.160000000033</v>
      </c>
      <c r="K26" s="409">
        <f>'Water-Meter'!E27</f>
        <v>114</v>
      </c>
      <c r="L26" s="698">
        <f>'Lpg (2)'!G31</f>
        <v>116.1599999999744</v>
      </c>
      <c r="M26" s="81" t="e">
        <f>SUM(#REF!-#REF!)</f>
        <v>#REF!</v>
      </c>
    </row>
    <row r="27" spans="1:13">
      <c r="A27" s="54">
        <f>[1]Gen!A33</f>
        <v>43761</v>
      </c>
      <c r="B27" s="697">
        <f>'Daily report Gen'!Z28</f>
        <v>44</v>
      </c>
      <c r="C27" s="89">
        <f>Gen!B33</f>
        <v>0.24</v>
      </c>
      <c r="D27" s="661">
        <f t="shared" si="0"/>
        <v>19</v>
      </c>
      <c r="E27" s="76">
        <v>19</v>
      </c>
      <c r="F27" s="72">
        <f>Gen!T33</f>
        <v>5371</v>
      </c>
      <c r="G27" s="87">
        <f>Gen!S33</f>
        <v>2148.2999999999997</v>
      </c>
      <c r="H27" s="87">
        <f>Gen!AJ33</f>
        <v>311.34000000000003</v>
      </c>
      <c r="I27" s="87">
        <f t="shared" si="1"/>
        <v>2459.64</v>
      </c>
      <c r="J27" s="87">
        <f>[1]Gen!AT33</f>
        <v>36682.670000000035</v>
      </c>
      <c r="K27" s="409">
        <f>'Water-Meter'!E28</f>
        <v>113</v>
      </c>
      <c r="L27" s="698">
        <f>'Lpg (2)'!G32</f>
        <v>108.24000000002562</v>
      </c>
      <c r="M27" s="81" t="e">
        <f>SUM(#REF!-#REF!)</f>
        <v>#REF!</v>
      </c>
    </row>
    <row r="28" spans="1:13">
      <c r="A28" s="54">
        <f>[1]Gen!A34</f>
        <v>43762</v>
      </c>
      <c r="B28" s="697">
        <f>'Daily report Gen'!Z29</f>
        <v>44</v>
      </c>
      <c r="C28" s="89">
        <f>Gen!B34</f>
        <v>0.09</v>
      </c>
      <c r="D28" s="661">
        <f t="shared" si="0"/>
        <v>7</v>
      </c>
      <c r="E28" s="76">
        <v>7</v>
      </c>
      <c r="F28" s="72">
        <f>Gen!T34</f>
        <v>5296</v>
      </c>
      <c r="G28" s="87">
        <f>Gen!S34</f>
        <v>2113.27</v>
      </c>
      <c r="H28" s="87">
        <f>Gen!AJ34</f>
        <v>380.7</v>
      </c>
      <c r="I28" s="87">
        <f t="shared" si="1"/>
        <v>2493.9699999999998</v>
      </c>
      <c r="J28" s="87">
        <f>[1]Gen!AT34</f>
        <v>44223.030000000035</v>
      </c>
      <c r="K28" s="409">
        <f>'Water-Meter'!E29</f>
        <v>99</v>
      </c>
      <c r="L28" s="698">
        <f>'Lpg (2)'!G33</f>
        <v>107.80000000000001</v>
      </c>
      <c r="M28" s="81" t="e">
        <f>SUM(#REF!-#REF!)</f>
        <v>#REF!</v>
      </c>
    </row>
    <row r="29" spans="1:13">
      <c r="A29" s="54">
        <f>[1]Gen!A35</f>
        <v>43763</v>
      </c>
      <c r="B29" s="697">
        <f>'Daily report Gen'!Z30</f>
        <v>44</v>
      </c>
      <c r="C29" s="89">
        <f>Gen!B35</f>
        <v>0.28599999999999998</v>
      </c>
      <c r="D29" s="661">
        <f t="shared" si="0"/>
        <v>19</v>
      </c>
      <c r="E29" s="76">
        <v>19</v>
      </c>
      <c r="F29" s="72">
        <f>Gen!T35</f>
        <v>5221</v>
      </c>
      <c r="G29" s="87">
        <f>Gen!S35</f>
        <v>2104.5200000000004</v>
      </c>
      <c r="H29" s="87">
        <f>Gen!AJ35</f>
        <v>273.37</v>
      </c>
      <c r="I29" s="87">
        <f t="shared" si="1"/>
        <v>2377.8900000000003</v>
      </c>
      <c r="J29" s="87">
        <f>[1]Gen!AT35</f>
        <v>41629.060000000034</v>
      </c>
      <c r="K29" s="409">
        <f>'Water-Meter'!E30</f>
        <v>111</v>
      </c>
      <c r="L29" s="698">
        <f>'Lpg (2)'!G34</f>
        <v>111.31999999994879</v>
      </c>
      <c r="M29" s="81" t="e">
        <f>SUM(#REF!-#REF!)</f>
        <v>#REF!</v>
      </c>
    </row>
    <row r="30" spans="1:13">
      <c r="A30" s="54">
        <f>[1]Gen!A36</f>
        <v>43764</v>
      </c>
      <c r="B30" s="697">
        <f>'Daily report Gen'!Z31</f>
        <v>42</v>
      </c>
      <c r="C30" s="89">
        <f>Gen!B36</f>
        <v>0.54500000000000004</v>
      </c>
      <c r="D30" s="661">
        <f t="shared" si="0"/>
        <v>42</v>
      </c>
      <c r="E30" s="76">
        <v>42</v>
      </c>
      <c r="F30" s="72">
        <f>Gen!T36</f>
        <v>5665</v>
      </c>
      <c r="G30" s="87">
        <f>Gen!S36</f>
        <v>2470.2400000000002</v>
      </c>
      <c r="H30" s="87">
        <f>Gen!AJ36</f>
        <v>396.56</v>
      </c>
      <c r="I30" s="87">
        <f t="shared" si="1"/>
        <v>2866.8</v>
      </c>
      <c r="J30" s="87">
        <f>[1]Gen!AT36</f>
        <v>39251.170000000035</v>
      </c>
      <c r="K30" s="409">
        <f>'Water-Meter'!E31</f>
        <v>130</v>
      </c>
      <c r="L30" s="698">
        <f>'Lpg (2)'!G35</f>
        <v>117.92000000001282</v>
      </c>
      <c r="M30" s="81" t="e">
        <f>SUM(#REF!-#REF!)</f>
        <v>#REF!</v>
      </c>
    </row>
    <row r="31" spans="1:13">
      <c r="A31" s="54">
        <f>[1]Gen!A37</f>
        <v>43765</v>
      </c>
      <c r="B31" s="697">
        <f>'Daily report Gen'!Z32</f>
        <v>44</v>
      </c>
      <c r="C31" s="89">
        <f>Gen!B37</f>
        <v>0.67500000000000004</v>
      </c>
      <c r="D31" s="661">
        <f t="shared" si="0"/>
        <v>52</v>
      </c>
      <c r="E31" s="76">
        <v>52</v>
      </c>
      <c r="F31" s="72">
        <f>Gen!T37</f>
        <v>6109</v>
      </c>
      <c r="G31" s="87">
        <f>Gen!S37</f>
        <v>2323.7399999999998</v>
      </c>
      <c r="H31" s="87">
        <f>Gen!AJ37</f>
        <v>280.63</v>
      </c>
      <c r="I31" s="87">
        <f t="shared" si="1"/>
        <v>2604.37</v>
      </c>
      <c r="J31" s="87">
        <f>[1]Gen!AT37</f>
        <v>36384.370000000032</v>
      </c>
      <c r="K31" s="409">
        <f>'Water-Meter'!E32</f>
        <v>114</v>
      </c>
      <c r="L31" s="698">
        <f>'Lpg (2)'!G36</f>
        <v>115.2799999999872</v>
      </c>
      <c r="M31" s="81" t="e">
        <f>SUM(#REF!-#REF!)</f>
        <v>#REF!</v>
      </c>
    </row>
    <row r="32" spans="1:13">
      <c r="A32" s="54">
        <f>[1]Gen!A38</f>
        <v>43766</v>
      </c>
      <c r="B32" s="697">
        <f>'Daily report Gen'!Z33</f>
        <v>42</v>
      </c>
      <c r="C32" s="89">
        <f>Gen!B38</f>
        <v>0.27300000000000002</v>
      </c>
      <c r="D32" s="661">
        <f t="shared" si="0"/>
        <v>21</v>
      </c>
      <c r="E32" s="76">
        <v>21</v>
      </c>
      <c r="F32" s="72">
        <f>Gen!T38</f>
        <v>5125</v>
      </c>
      <c r="G32" s="87">
        <f>Gen!S38</f>
        <v>2031.83</v>
      </c>
      <c r="H32" s="87">
        <f>Gen!AJ38</f>
        <v>676.29</v>
      </c>
      <c r="I32" s="87">
        <f t="shared" si="1"/>
        <v>2708.12</v>
      </c>
      <c r="J32" s="87">
        <f>[1]Gen!AT38</f>
        <v>33780.000000000029</v>
      </c>
      <c r="K32" s="409">
        <f>'Water-Meter'!E33</f>
        <v>111</v>
      </c>
      <c r="L32" s="698">
        <f>'Lpg (2)'!G37</f>
        <v>110.44000000002562</v>
      </c>
      <c r="M32" s="81" t="e">
        <f>SUM(#REF!-#REF!)</f>
        <v>#REF!</v>
      </c>
    </row>
    <row r="33" spans="1:13">
      <c r="A33" s="54">
        <f>[1]Gen!A39</f>
        <v>43767</v>
      </c>
      <c r="B33" s="697">
        <f>'Daily report Gen'!Z34</f>
        <v>43</v>
      </c>
      <c r="C33" s="89">
        <f>Gen!B39</f>
        <v>0.41599999999999998</v>
      </c>
      <c r="D33" s="661">
        <f t="shared" si="0"/>
        <v>32</v>
      </c>
      <c r="E33" s="76">
        <v>32</v>
      </c>
      <c r="F33" s="72">
        <f>Gen!T39</f>
        <v>3443</v>
      </c>
      <c r="G33" s="87">
        <f>Gen!S39</f>
        <v>2131.37</v>
      </c>
      <c r="H33" s="87">
        <f>Gen!AJ39</f>
        <v>120.7</v>
      </c>
      <c r="I33" s="87">
        <f t="shared" si="1"/>
        <v>2252.0699999999997</v>
      </c>
      <c r="J33" s="87">
        <f>[1]Gen!AT39</f>
        <v>33780.000000000029</v>
      </c>
      <c r="K33" s="409">
        <f>'Water-Meter'!E34</f>
        <v>100</v>
      </c>
      <c r="L33" s="698">
        <f>'Lpg (2)'!G38</f>
        <v>109.55999999997439</v>
      </c>
      <c r="M33" s="81" t="e">
        <f>SUM(#REF!-#REF!)</f>
        <v>#REF!</v>
      </c>
    </row>
    <row r="34" spans="1:13">
      <c r="A34" s="54">
        <f>[1]Gen!A40</f>
        <v>43768</v>
      </c>
      <c r="B34" s="697">
        <f>'Daily report Gen'!Z35</f>
        <v>43</v>
      </c>
      <c r="C34" s="89">
        <f>Gen!B40</f>
        <v>0.42899999999999999</v>
      </c>
      <c r="D34" s="661">
        <f t="shared" si="0"/>
        <v>32</v>
      </c>
      <c r="E34" s="76">
        <v>32</v>
      </c>
      <c r="F34" s="72">
        <f>Gen!T40</f>
        <v>5192</v>
      </c>
      <c r="G34" s="87">
        <f>Gen!S40</f>
        <v>2033.74</v>
      </c>
      <c r="H34" s="87">
        <f>Gen!AJ40</f>
        <v>25.52</v>
      </c>
      <c r="I34" s="87">
        <f t="shared" si="1"/>
        <v>2059.2600000000002</v>
      </c>
      <c r="J34" s="87">
        <f>[1]Gen!AT40</f>
        <v>33780.000000000029</v>
      </c>
      <c r="K34" s="409">
        <f>'Water-Meter'!E35</f>
        <v>99</v>
      </c>
      <c r="L34" s="698">
        <f>'Lpg (2)'!G39</f>
        <v>106.92000000001282</v>
      </c>
      <c r="M34" s="81" t="e">
        <f>SUM(#REF!-#REF!)</f>
        <v>#REF!</v>
      </c>
    </row>
    <row r="35" spans="1:13">
      <c r="A35" s="54">
        <f>[1]Gen!A41</f>
        <v>43769</v>
      </c>
      <c r="B35" s="697">
        <f>'Daily report Gen'!Z36</f>
        <v>43</v>
      </c>
      <c r="C35" s="89">
        <f>Gen!B41</f>
        <v>0.32500000000000001</v>
      </c>
      <c r="D35" s="661">
        <f t="shared" si="0"/>
        <v>25</v>
      </c>
      <c r="E35" s="76">
        <v>25</v>
      </c>
      <c r="F35" s="72">
        <f>Gen!T41</f>
        <v>5234</v>
      </c>
      <c r="G35" s="87">
        <f>Gen!S41</f>
        <v>2126.42</v>
      </c>
      <c r="H35" s="87">
        <f>Gen!AJ41</f>
        <v>533.66</v>
      </c>
      <c r="I35" s="87">
        <f t="shared" si="1"/>
        <v>2660.08</v>
      </c>
      <c r="J35" s="87">
        <f>[1]Gen!AT41</f>
        <v>33780.000000000029</v>
      </c>
      <c r="K35" s="409">
        <f>'Water-Meter'!E36</f>
        <v>111</v>
      </c>
      <c r="L35" s="698">
        <f>'Lpg (2)'!G40</f>
        <v>119.6799999999872</v>
      </c>
      <c r="M35" s="81" t="e">
        <f>SUM(#REF!-#REF!)</f>
        <v>#REF!</v>
      </c>
    </row>
    <row r="36" spans="1:13" ht="13.5" thickBot="1">
      <c r="A36" s="54"/>
      <c r="B36" s="453"/>
      <c r="C36" s="89">
        <f>Gen!B42</f>
        <v>0</v>
      </c>
      <c r="D36" s="661">
        <f t="shared" si="0"/>
        <v>0</v>
      </c>
      <c r="E36" s="76"/>
      <c r="F36" s="73"/>
      <c r="G36" s="88"/>
      <c r="H36" s="88"/>
      <c r="I36" s="88"/>
      <c r="J36" s="88"/>
      <c r="K36" s="8" t="e">
        <f>'[1]Water-Meter'!E41</f>
        <v>#REF!</v>
      </c>
      <c r="L36" s="70"/>
    </row>
    <row r="38" spans="1:13">
      <c r="B38" s="85" t="e">
        <f>SUM(B5:B37)/[1]Gen!A47</f>
        <v>#REF!</v>
      </c>
      <c r="D38" s="89"/>
    </row>
    <row r="39" spans="1:13">
      <c r="B39" s="85" t="e">
        <f>SUM(B38*[1]Gen!A47)</f>
        <v>#REF!</v>
      </c>
      <c r="C39" s="85" t="e">
        <f>SUM(B39/250)</f>
        <v>#REF!</v>
      </c>
    </row>
  </sheetData>
  <mergeCells count="1">
    <mergeCell ref="A2:E2"/>
  </mergeCells>
  <pageMargins left="0.7" right="0.7" top="0.75" bottom="0.75" header="0.3" footer="0.3"/>
  <pageSetup paperSize="9" scale="50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F8" workbookViewId="0">
      <selection activeCell="AC6" sqref="AC6:AC3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2.42578125" customWidth="1"/>
    <col min="12" max="12" width="12.5703125" customWidth="1"/>
    <col min="13" max="13" width="9" customWidth="1"/>
    <col min="14" max="14" width="13.42578125" customWidth="1"/>
    <col min="15" max="15" width="11.7109375" customWidth="1"/>
    <col min="16" max="16" width="8.28515625" customWidth="1"/>
    <col min="17" max="17" width="12.140625" customWidth="1"/>
    <col min="18" max="18" width="12.28515625" customWidth="1"/>
    <col min="19" max="19" width="9.140625" customWidth="1"/>
    <col min="20" max="20" width="12.28515625" customWidth="1"/>
    <col min="21" max="21" width="12.140625" customWidth="1"/>
    <col min="22" max="22" width="8.42578125" customWidth="1"/>
    <col min="23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34">
        <v>43739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20"/>
    </row>
    <row r="2" spans="1:29" ht="12" customHeight="1" thickBot="1">
      <c r="A2" s="735"/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36" t="s">
        <v>344</v>
      </c>
      <c r="L3" s="737"/>
      <c r="M3" s="738"/>
      <c r="N3" s="736" t="s">
        <v>345</v>
      </c>
      <c r="O3" s="737"/>
      <c r="P3" s="738"/>
      <c r="Q3" s="736" t="s">
        <v>346</v>
      </c>
      <c r="R3" s="737"/>
      <c r="S3" s="738"/>
      <c r="T3" s="736" t="s">
        <v>347</v>
      </c>
      <c r="U3" s="737"/>
      <c r="V3" s="738"/>
      <c r="W3" s="736" t="s">
        <v>348</v>
      </c>
      <c r="X3" s="737"/>
      <c r="Y3" s="738"/>
      <c r="Z3" s="423"/>
      <c r="AA3" s="20"/>
      <c r="AB3" s="20"/>
      <c r="AC3" s="20"/>
    </row>
    <row r="4" spans="1:29" ht="35.25" customHeight="1" thickBot="1">
      <c r="A4" s="356" t="s">
        <v>88</v>
      </c>
      <c r="B4" s="471" t="s">
        <v>89</v>
      </c>
      <c r="C4" s="471" t="s">
        <v>90</v>
      </c>
      <c r="D4" s="471" t="s">
        <v>91</v>
      </c>
      <c r="E4" s="471" t="s">
        <v>92</v>
      </c>
      <c r="F4" s="471" t="s">
        <v>247</v>
      </c>
      <c r="G4" s="472" t="s">
        <v>93</v>
      </c>
      <c r="H4" s="471" t="s">
        <v>94</v>
      </c>
      <c r="I4" s="472" t="s">
        <v>95</v>
      </c>
      <c r="J4" s="473" t="s">
        <v>96</v>
      </c>
      <c r="K4" s="474" t="s">
        <v>196</v>
      </c>
      <c r="L4" s="472" t="s">
        <v>197</v>
      </c>
      <c r="M4" s="472" t="s">
        <v>207</v>
      </c>
      <c r="N4" s="474" t="s">
        <v>196</v>
      </c>
      <c r="O4" s="472" t="s">
        <v>197</v>
      </c>
      <c r="P4" s="472" t="s">
        <v>207</v>
      </c>
      <c r="Q4" s="474" t="s">
        <v>196</v>
      </c>
      <c r="R4" s="472" t="s">
        <v>197</v>
      </c>
      <c r="S4" s="472" t="s">
        <v>207</v>
      </c>
      <c r="T4" s="474" t="s">
        <v>196</v>
      </c>
      <c r="U4" s="472" t="s">
        <v>197</v>
      </c>
      <c r="V4" s="472" t="s">
        <v>207</v>
      </c>
      <c r="W4" s="474" t="s">
        <v>196</v>
      </c>
      <c r="X4" s="472"/>
      <c r="Y4" s="473" t="s">
        <v>207</v>
      </c>
      <c r="Z4" s="475" t="s">
        <v>198</v>
      </c>
      <c r="AA4" s="471" t="s">
        <v>178</v>
      </c>
      <c r="AB4" s="476" t="s">
        <v>97</v>
      </c>
      <c r="AC4" s="477" t="s">
        <v>200</v>
      </c>
    </row>
    <row r="5" spans="1:29" ht="18.75" customHeight="1">
      <c r="A5" s="468"/>
      <c r="B5" s="470"/>
      <c r="C5" s="470"/>
      <c r="D5" s="470"/>
      <c r="E5" s="470"/>
      <c r="F5" s="470"/>
      <c r="G5" s="470"/>
      <c r="H5" s="470"/>
      <c r="I5" s="470"/>
      <c r="J5" s="470"/>
      <c r="K5" s="424"/>
      <c r="L5" s="425">
        <v>33001</v>
      </c>
      <c r="M5" s="424"/>
      <c r="N5" s="469"/>
      <c r="O5" s="425">
        <v>27710</v>
      </c>
      <c r="P5" s="469"/>
      <c r="Q5" s="469"/>
      <c r="R5" s="425">
        <v>33285</v>
      </c>
      <c r="S5" s="469"/>
      <c r="T5" s="469"/>
      <c r="U5" s="425">
        <v>30628</v>
      </c>
      <c r="V5" s="469"/>
      <c r="W5" s="469"/>
      <c r="X5" s="425">
        <v>18157</v>
      </c>
      <c r="Y5" s="469"/>
      <c r="Z5" s="469"/>
      <c r="AA5" s="129"/>
      <c r="AB5" s="129"/>
      <c r="AC5" s="469"/>
    </row>
    <row r="6" spans="1:29" ht="20.100000000000001" customHeight="1">
      <c r="A6" s="355">
        <f>[1]Gen!A11</f>
        <v>43739</v>
      </c>
      <c r="B6" s="470">
        <v>0.623</v>
      </c>
      <c r="C6" s="425">
        <v>24513.14</v>
      </c>
      <c r="D6" s="425">
        <v>9706.14</v>
      </c>
      <c r="E6" s="425"/>
      <c r="F6" s="425"/>
      <c r="G6" s="425">
        <v>203.28</v>
      </c>
      <c r="H6" s="425"/>
      <c r="I6" s="425">
        <v>29001.8</v>
      </c>
      <c r="J6" s="425">
        <v>19100.099999999999</v>
      </c>
      <c r="K6" s="424">
        <f>'[4]Daily report Gen'!L37</f>
        <v>0</v>
      </c>
      <c r="L6" s="425">
        <v>33001</v>
      </c>
      <c r="M6" s="424">
        <f>L6-L5</f>
        <v>0</v>
      </c>
      <c r="N6" s="426"/>
      <c r="O6" s="425">
        <v>27730</v>
      </c>
      <c r="P6" s="424">
        <f>O6-O5</f>
        <v>20</v>
      </c>
      <c r="Q6" s="424"/>
      <c r="R6" s="425">
        <v>33285</v>
      </c>
      <c r="S6" s="424">
        <f>R6-R5</f>
        <v>0</v>
      </c>
      <c r="T6" s="424"/>
      <c r="U6" s="425">
        <v>30647</v>
      </c>
      <c r="V6" s="424">
        <f>U6-U5</f>
        <v>19</v>
      </c>
      <c r="W6" s="426"/>
      <c r="X6" s="425">
        <v>18175</v>
      </c>
      <c r="Y6" s="424">
        <f>X6-X5</f>
        <v>18</v>
      </c>
      <c r="Z6" s="427">
        <f>M6+P6+S6+V6+Y6</f>
        <v>57</v>
      </c>
      <c r="AA6" s="129">
        <v>416</v>
      </c>
      <c r="AB6" s="129">
        <v>173</v>
      </c>
      <c r="AC6" s="364">
        <f>Gen!AR11</f>
        <v>2382.7599999999993</v>
      </c>
    </row>
    <row r="7" spans="1:29" ht="20.100000000000001" customHeight="1">
      <c r="A7" s="355">
        <f>[1]Gen!A12</f>
        <v>43740</v>
      </c>
      <c r="B7" s="470">
        <v>0.80500000000000005</v>
      </c>
      <c r="C7" s="425">
        <v>24513.14</v>
      </c>
      <c r="D7" s="425">
        <v>19323.38</v>
      </c>
      <c r="E7" s="425"/>
      <c r="F7" s="425"/>
      <c r="G7" s="425">
        <v>31.45</v>
      </c>
      <c r="H7" s="425"/>
      <c r="I7" s="425">
        <v>29011.200000000001</v>
      </c>
      <c r="J7" s="425">
        <v>19106.099999999999</v>
      </c>
      <c r="K7" s="424">
        <f>'[4]Daily report Gen'!L38</f>
        <v>0</v>
      </c>
      <c r="L7" s="425">
        <v>33001</v>
      </c>
      <c r="M7" s="424">
        <f t="shared" ref="M7:M37" si="0">L7-L6</f>
        <v>0</v>
      </c>
      <c r="N7" s="426"/>
      <c r="O7" s="425">
        <v>27747</v>
      </c>
      <c r="P7" s="424">
        <f t="shared" ref="P7:P36" si="1">O7-O6</f>
        <v>17</v>
      </c>
      <c r="Q7" s="424"/>
      <c r="R7" s="425">
        <v>33285</v>
      </c>
      <c r="S7" s="424">
        <f t="shared" ref="S7:S37" si="2">R7-R6</f>
        <v>0</v>
      </c>
      <c r="T7" s="424"/>
      <c r="U7" s="425">
        <v>30665</v>
      </c>
      <c r="V7" s="424">
        <f t="shared" ref="V7:V37" si="3">U7-U6</f>
        <v>18</v>
      </c>
      <c r="W7" s="426"/>
      <c r="X7" s="425">
        <v>18182</v>
      </c>
      <c r="Y7" s="424">
        <f t="shared" ref="Y7:Y37" si="4">X7-X6</f>
        <v>7</v>
      </c>
      <c r="Z7" s="427">
        <f>M7+P7+S7+V7+Y7</f>
        <v>42</v>
      </c>
      <c r="AA7" s="129">
        <v>409</v>
      </c>
      <c r="AB7" s="129">
        <v>181</v>
      </c>
      <c r="AC7" s="364">
        <f>Gen!AR12</f>
        <v>2504.2999999999997</v>
      </c>
    </row>
    <row r="8" spans="1:29" ht="20.100000000000001" customHeight="1">
      <c r="A8" s="355">
        <f>[1]Gen!A13</f>
        <v>43741</v>
      </c>
      <c r="B8" s="470">
        <v>0.53200000000000003</v>
      </c>
      <c r="C8" s="425">
        <v>24513.14</v>
      </c>
      <c r="D8" s="425">
        <v>16819.080000000002</v>
      </c>
      <c r="E8" s="425"/>
      <c r="F8" s="425"/>
      <c r="G8" s="425">
        <v>106.26</v>
      </c>
      <c r="H8" s="425"/>
      <c r="I8" s="425">
        <v>29022.1</v>
      </c>
      <c r="J8" s="425">
        <v>19112.599999999999</v>
      </c>
      <c r="K8" s="424">
        <f>'[4]Daily report Gen'!L39</f>
        <v>0</v>
      </c>
      <c r="L8" s="425">
        <v>33001</v>
      </c>
      <c r="M8" s="424">
        <f t="shared" si="0"/>
        <v>0</v>
      </c>
      <c r="N8" s="426"/>
      <c r="O8" s="425">
        <v>27767</v>
      </c>
      <c r="P8" s="424">
        <f t="shared" si="1"/>
        <v>20</v>
      </c>
      <c r="Q8" s="424"/>
      <c r="R8" s="425">
        <v>33285</v>
      </c>
      <c r="S8" s="424">
        <f t="shared" si="2"/>
        <v>0</v>
      </c>
      <c r="T8" s="424"/>
      <c r="U8" s="425">
        <v>30669</v>
      </c>
      <c r="V8" s="424">
        <f t="shared" si="3"/>
        <v>4</v>
      </c>
      <c r="W8" s="426"/>
      <c r="X8" s="425">
        <v>18202</v>
      </c>
      <c r="Y8" s="424">
        <f t="shared" si="4"/>
        <v>20</v>
      </c>
      <c r="Z8" s="427">
        <f t="shared" ref="Z8:Z37" si="5">M8+P8+S8+V8+Y8</f>
        <v>44</v>
      </c>
      <c r="AA8" s="129">
        <v>453</v>
      </c>
      <c r="AB8" s="129">
        <v>191</v>
      </c>
      <c r="AC8" s="364">
        <f>Gen!AR13</f>
        <v>2660.6500000000005</v>
      </c>
    </row>
    <row r="9" spans="1:29" ht="20.100000000000001" customHeight="1">
      <c r="A9" s="355">
        <f>[1]Gen!A14</f>
        <v>43742</v>
      </c>
      <c r="B9" s="470">
        <v>0.61</v>
      </c>
      <c r="C9" s="425">
        <v>24513.14</v>
      </c>
      <c r="D9" s="425">
        <v>14158.43</v>
      </c>
      <c r="E9" s="425"/>
      <c r="F9" s="425"/>
      <c r="G9" s="425">
        <v>292.31</v>
      </c>
      <c r="H9" s="425"/>
      <c r="I9" s="425">
        <v>29032.9</v>
      </c>
      <c r="J9" s="425">
        <v>19120.099999999999</v>
      </c>
      <c r="K9" s="424">
        <f>'[4]Daily report Gen'!L40</f>
        <v>0</v>
      </c>
      <c r="L9" s="425">
        <v>33001</v>
      </c>
      <c r="M9" s="424">
        <f t="shared" si="0"/>
        <v>0</v>
      </c>
      <c r="N9" s="426"/>
      <c r="O9" s="425">
        <v>27785</v>
      </c>
      <c r="P9" s="424">
        <f t="shared" si="1"/>
        <v>18</v>
      </c>
      <c r="Q9" s="424"/>
      <c r="R9" s="425">
        <v>33285</v>
      </c>
      <c r="S9" s="424">
        <f t="shared" si="2"/>
        <v>0</v>
      </c>
      <c r="T9" s="424"/>
      <c r="U9" s="425">
        <v>30687</v>
      </c>
      <c r="V9" s="424">
        <f t="shared" si="3"/>
        <v>18</v>
      </c>
      <c r="W9" s="426"/>
      <c r="X9" s="425">
        <v>18209</v>
      </c>
      <c r="Y9" s="424">
        <f t="shared" si="4"/>
        <v>7</v>
      </c>
      <c r="Z9" s="427">
        <f t="shared" si="5"/>
        <v>43</v>
      </c>
      <c r="AA9" s="129">
        <v>562</v>
      </c>
      <c r="AB9" s="129">
        <v>209</v>
      </c>
      <c r="AC9" s="364">
        <f>Gen!AR14</f>
        <v>2733.73</v>
      </c>
    </row>
    <row r="10" spans="1:29" ht="20.100000000000001" customHeight="1">
      <c r="A10" s="355">
        <f>[1]Gen!A15</f>
        <v>43743</v>
      </c>
      <c r="B10" s="470">
        <v>0.68799999999999994</v>
      </c>
      <c r="C10" s="425">
        <v>24513.14</v>
      </c>
      <c r="D10" s="425">
        <v>11424.7</v>
      </c>
      <c r="E10" s="425"/>
      <c r="F10" s="425"/>
      <c r="G10" s="425">
        <v>79.16</v>
      </c>
      <c r="H10" s="425"/>
      <c r="I10" s="425">
        <v>29042.7</v>
      </c>
      <c r="J10" s="425">
        <v>19126.900000000001</v>
      </c>
      <c r="K10" s="424">
        <f>'[4]Daily report Gen'!L41</f>
        <v>0</v>
      </c>
      <c r="L10" s="425">
        <v>33001</v>
      </c>
      <c r="M10" s="424">
        <f t="shared" si="0"/>
        <v>0</v>
      </c>
      <c r="N10" s="426"/>
      <c r="O10" s="425">
        <v>27800</v>
      </c>
      <c r="P10" s="424">
        <f t="shared" si="1"/>
        <v>15</v>
      </c>
      <c r="Q10" s="424"/>
      <c r="R10" s="425">
        <v>33285</v>
      </c>
      <c r="S10" s="424">
        <f t="shared" si="2"/>
        <v>0</v>
      </c>
      <c r="T10" s="424"/>
      <c r="U10" s="425">
        <v>30694</v>
      </c>
      <c r="V10" s="424">
        <f t="shared" si="3"/>
        <v>7</v>
      </c>
      <c r="W10" s="426"/>
      <c r="X10" s="425">
        <v>18227</v>
      </c>
      <c r="Y10" s="424">
        <f t="shared" si="4"/>
        <v>18</v>
      </c>
      <c r="Z10" s="427">
        <f t="shared" si="5"/>
        <v>40</v>
      </c>
      <c r="AA10" s="129">
        <v>497</v>
      </c>
      <c r="AB10" s="129">
        <v>211</v>
      </c>
      <c r="AC10" s="364">
        <f>Gen!AR15</f>
        <v>2417.5199999999995</v>
      </c>
    </row>
    <row r="11" spans="1:29" ht="20.100000000000001" customHeight="1">
      <c r="A11" s="355">
        <f>[1]Gen!A16</f>
        <v>43744</v>
      </c>
      <c r="B11" s="470">
        <v>0.41</v>
      </c>
      <c r="C11" s="425">
        <v>24513.14</v>
      </c>
      <c r="D11" s="425">
        <v>9007.18</v>
      </c>
      <c r="E11" s="425"/>
      <c r="F11" s="425"/>
      <c r="G11" s="425">
        <v>115.65</v>
      </c>
      <c r="H11" s="425"/>
      <c r="I11" s="425">
        <v>29052.9</v>
      </c>
      <c r="J11" s="425">
        <v>19133.599999999999</v>
      </c>
      <c r="K11" s="424">
        <f>'[4]Daily report Gen'!L42</f>
        <v>0</v>
      </c>
      <c r="L11" s="425">
        <v>33001</v>
      </c>
      <c r="M11" s="424">
        <f t="shared" si="0"/>
        <v>0</v>
      </c>
      <c r="N11" s="426"/>
      <c r="O11" s="425">
        <v>27817</v>
      </c>
      <c r="P11" s="424">
        <f t="shared" si="1"/>
        <v>17</v>
      </c>
      <c r="Q11" s="424"/>
      <c r="R11" s="425">
        <v>33285</v>
      </c>
      <c r="S11" s="424">
        <f t="shared" si="2"/>
        <v>0</v>
      </c>
      <c r="T11" s="424"/>
      <c r="U11" s="425">
        <v>30707</v>
      </c>
      <c r="V11" s="424">
        <f t="shared" si="3"/>
        <v>13</v>
      </c>
      <c r="W11" s="426"/>
      <c r="X11" s="425">
        <v>18239</v>
      </c>
      <c r="Y11" s="424">
        <f t="shared" si="4"/>
        <v>12</v>
      </c>
      <c r="Z11" s="427">
        <f t="shared" si="5"/>
        <v>42</v>
      </c>
      <c r="AA11" s="129">
        <v>498</v>
      </c>
      <c r="AB11" s="129">
        <v>195</v>
      </c>
      <c r="AC11" s="364">
        <f>Gen!AR16</f>
        <v>2594.5500000000002</v>
      </c>
    </row>
    <row r="12" spans="1:29" ht="20.100000000000001" customHeight="1">
      <c r="A12" s="355">
        <f>[1]Gen!A17</f>
        <v>43745</v>
      </c>
      <c r="B12" s="470">
        <v>0.57999999999999996</v>
      </c>
      <c r="C12" s="425">
        <v>24513.14</v>
      </c>
      <c r="D12" s="425">
        <v>23000.18</v>
      </c>
      <c r="E12" s="425"/>
      <c r="F12" s="425"/>
      <c r="G12" s="425">
        <v>74.81</v>
      </c>
      <c r="H12" s="425"/>
      <c r="I12" s="425">
        <v>29063.1</v>
      </c>
      <c r="J12" s="425">
        <v>19140.7</v>
      </c>
      <c r="K12" s="424">
        <f>'[4]Daily report Gen'!L43</f>
        <v>0</v>
      </c>
      <c r="L12" s="425">
        <v>33001</v>
      </c>
      <c r="M12" s="424">
        <f t="shared" si="0"/>
        <v>0</v>
      </c>
      <c r="N12" s="426"/>
      <c r="O12" s="425">
        <v>27836</v>
      </c>
      <c r="P12" s="424">
        <f t="shared" si="1"/>
        <v>19</v>
      </c>
      <c r="Q12" s="424"/>
      <c r="R12" s="425">
        <v>33285</v>
      </c>
      <c r="S12" s="424">
        <f t="shared" si="2"/>
        <v>0</v>
      </c>
      <c r="T12" s="424"/>
      <c r="U12" s="425">
        <v>30716</v>
      </c>
      <c r="V12" s="424">
        <f t="shared" si="3"/>
        <v>9</v>
      </c>
      <c r="W12" s="426"/>
      <c r="X12" s="425">
        <v>18254</v>
      </c>
      <c r="Y12" s="424">
        <f t="shared" si="4"/>
        <v>15</v>
      </c>
      <c r="Z12" s="427">
        <f t="shared" si="5"/>
        <v>43</v>
      </c>
      <c r="AA12" s="129">
        <v>496</v>
      </c>
      <c r="AB12" s="129">
        <v>196</v>
      </c>
      <c r="AC12" s="364">
        <f>Gen!AR17</f>
        <v>2351.25</v>
      </c>
    </row>
    <row r="13" spans="1:29" ht="20.100000000000001" customHeight="1">
      <c r="A13" s="355">
        <f>[1]Gen!A18</f>
        <v>43746</v>
      </c>
      <c r="B13" s="470">
        <v>0.15</v>
      </c>
      <c r="C13" s="425">
        <v>24513.14</v>
      </c>
      <c r="D13" s="425">
        <v>20648.75</v>
      </c>
      <c r="E13" s="425"/>
      <c r="F13" s="425"/>
      <c r="G13" s="425">
        <v>94.01</v>
      </c>
      <c r="H13" s="425"/>
      <c r="I13" s="425">
        <v>29072.2</v>
      </c>
      <c r="J13" s="425">
        <v>19147.400000000001</v>
      </c>
      <c r="K13" s="424">
        <f>'[4]Daily report Gen'!L44</f>
        <v>0</v>
      </c>
      <c r="L13" s="425">
        <v>33001</v>
      </c>
      <c r="M13" s="424">
        <f t="shared" si="0"/>
        <v>0</v>
      </c>
      <c r="N13" s="426"/>
      <c r="O13" s="425">
        <v>27853</v>
      </c>
      <c r="P13" s="424">
        <f t="shared" si="1"/>
        <v>17</v>
      </c>
      <c r="Q13" s="424"/>
      <c r="R13" s="425">
        <v>33285</v>
      </c>
      <c r="S13" s="424">
        <f t="shared" si="2"/>
        <v>0</v>
      </c>
      <c r="T13" s="424"/>
      <c r="U13" s="425">
        <v>30729</v>
      </c>
      <c r="V13" s="424">
        <f t="shared" si="3"/>
        <v>13</v>
      </c>
      <c r="W13" s="426"/>
      <c r="X13" s="425">
        <v>18266</v>
      </c>
      <c r="Y13" s="424">
        <f t="shared" si="4"/>
        <v>12</v>
      </c>
      <c r="Z13" s="427">
        <f t="shared" si="5"/>
        <v>42</v>
      </c>
      <c r="AA13" s="129">
        <v>498</v>
      </c>
      <c r="AB13" s="129">
        <v>198</v>
      </c>
      <c r="AC13" s="364">
        <f>Gen!AR18</f>
        <v>2336.4100000000003</v>
      </c>
    </row>
    <row r="14" spans="1:29" ht="20.100000000000001" customHeight="1">
      <c r="A14" s="355">
        <f>[1]Gen!A19</f>
        <v>43747</v>
      </c>
      <c r="B14" s="470">
        <v>0.442</v>
      </c>
      <c r="C14" s="425">
        <v>24513.14</v>
      </c>
      <c r="D14" s="425">
        <v>18312.34</v>
      </c>
      <c r="E14" s="425"/>
      <c r="F14" s="425"/>
      <c r="G14" s="425">
        <v>284.83</v>
      </c>
      <c r="H14" s="425"/>
      <c r="I14" s="425">
        <v>29081.5</v>
      </c>
      <c r="J14" s="425">
        <v>19153.8</v>
      </c>
      <c r="K14" s="424">
        <f>'[4]Daily report Gen'!L45</f>
        <v>0</v>
      </c>
      <c r="L14" s="425">
        <v>33001</v>
      </c>
      <c r="M14" s="424">
        <f t="shared" si="0"/>
        <v>0</v>
      </c>
      <c r="N14" s="426"/>
      <c r="O14" s="425">
        <v>27871</v>
      </c>
      <c r="P14" s="424">
        <f t="shared" si="1"/>
        <v>18</v>
      </c>
      <c r="Q14" s="424"/>
      <c r="R14" s="425">
        <v>33285</v>
      </c>
      <c r="S14" s="424">
        <f t="shared" si="2"/>
        <v>0</v>
      </c>
      <c r="T14" s="424"/>
      <c r="U14" s="425">
        <v>30743</v>
      </c>
      <c r="V14" s="424">
        <f t="shared" si="3"/>
        <v>14</v>
      </c>
      <c r="W14" s="426"/>
      <c r="X14" s="425">
        <v>18276</v>
      </c>
      <c r="Y14" s="424">
        <f t="shared" si="4"/>
        <v>10</v>
      </c>
      <c r="Z14" s="427">
        <f t="shared" si="5"/>
        <v>42</v>
      </c>
      <c r="AA14" s="129">
        <v>486</v>
      </c>
      <c r="AB14" s="129">
        <v>193</v>
      </c>
      <c r="AC14" s="364">
        <f>Gen!AR19</f>
        <v>2715.1000000000004</v>
      </c>
    </row>
    <row r="15" spans="1:29" ht="20.100000000000001" customHeight="1">
      <c r="A15" s="355">
        <f>[1]Gen!A20</f>
        <v>43748</v>
      </c>
      <c r="B15" s="470">
        <v>0.32500000000000001</v>
      </c>
      <c r="C15" s="425">
        <v>24513.14</v>
      </c>
      <c r="D15" s="425">
        <v>15597.24</v>
      </c>
      <c r="E15" s="425"/>
      <c r="F15" s="425"/>
      <c r="G15" s="425">
        <v>106.04</v>
      </c>
      <c r="H15" s="425"/>
      <c r="I15" s="425">
        <v>29091.4</v>
      </c>
      <c r="J15" s="425">
        <v>1961.3</v>
      </c>
      <c r="K15" s="424">
        <f>'[4]Daily report Gen'!L46</f>
        <v>0</v>
      </c>
      <c r="L15" s="425">
        <v>33001</v>
      </c>
      <c r="M15" s="424">
        <f t="shared" si="0"/>
        <v>0</v>
      </c>
      <c r="N15" s="426"/>
      <c r="O15" s="425">
        <v>27889</v>
      </c>
      <c r="P15" s="424">
        <f t="shared" si="1"/>
        <v>18</v>
      </c>
      <c r="Q15" s="424"/>
      <c r="R15" s="425">
        <v>33285</v>
      </c>
      <c r="S15" s="424">
        <f t="shared" si="2"/>
        <v>0</v>
      </c>
      <c r="T15" s="424"/>
      <c r="U15" s="425">
        <v>30747</v>
      </c>
      <c r="V15" s="424">
        <f t="shared" si="3"/>
        <v>4</v>
      </c>
      <c r="W15" s="426"/>
      <c r="X15" s="425">
        <v>18296</v>
      </c>
      <c r="Y15" s="424">
        <f t="shared" si="4"/>
        <v>20</v>
      </c>
      <c r="Z15" s="427">
        <f t="shared" si="5"/>
        <v>42</v>
      </c>
      <c r="AA15" s="129">
        <v>490</v>
      </c>
      <c r="AB15" s="129">
        <v>201</v>
      </c>
      <c r="AC15" s="364">
        <f>Gen!AR20</f>
        <v>2569.81</v>
      </c>
    </row>
    <row r="16" spans="1:29" ht="20.100000000000001" customHeight="1">
      <c r="A16" s="355">
        <f>[1]Gen!A21</f>
        <v>43749</v>
      </c>
      <c r="B16" s="470">
        <v>0.45500000000000002</v>
      </c>
      <c r="C16" s="425">
        <v>24513.14</v>
      </c>
      <c r="D16" s="425">
        <v>13027.43</v>
      </c>
      <c r="E16" s="425"/>
      <c r="F16" s="425"/>
      <c r="G16" s="425">
        <v>263.08999999999997</v>
      </c>
      <c r="H16" s="425"/>
      <c r="I16" s="425">
        <v>29101.3</v>
      </c>
      <c r="J16" s="425">
        <v>19168.2</v>
      </c>
      <c r="K16" s="424">
        <f>'[4]Daily report Gen'!L47</f>
        <v>0</v>
      </c>
      <c r="L16" s="425">
        <v>33001</v>
      </c>
      <c r="M16" s="424">
        <f t="shared" si="0"/>
        <v>0</v>
      </c>
      <c r="N16" s="426"/>
      <c r="O16" s="425">
        <v>27912</v>
      </c>
      <c r="P16" s="424">
        <f t="shared" si="1"/>
        <v>23</v>
      </c>
      <c r="Q16" s="424"/>
      <c r="R16" s="425">
        <v>33285</v>
      </c>
      <c r="S16" s="424">
        <f t="shared" si="2"/>
        <v>0</v>
      </c>
      <c r="T16" s="424"/>
      <c r="U16" s="425">
        <v>30747</v>
      </c>
      <c r="V16" s="424">
        <f t="shared" si="3"/>
        <v>0</v>
      </c>
      <c r="W16" s="426"/>
      <c r="X16" s="425">
        <v>18319</v>
      </c>
      <c r="Y16" s="424">
        <f t="shared" si="4"/>
        <v>23</v>
      </c>
      <c r="Z16" s="427">
        <f t="shared" si="5"/>
        <v>46</v>
      </c>
      <c r="AA16" s="129">
        <v>498</v>
      </c>
      <c r="AB16" s="129">
        <v>203</v>
      </c>
      <c r="AC16" s="364">
        <f>Gen!AR21</f>
        <v>2573.2800000000002</v>
      </c>
    </row>
    <row r="17" spans="1:29" ht="20.100000000000001" customHeight="1">
      <c r="A17" s="355">
        <f>[1]Gen!A22</f>
        <v>43750</v>
      </c>
      <c r="B17" s="470">
        <v>0.42</v>
      </c>
      <c r="C17" s="425">
        <v>24513.14</v>
      </c>
      <c r="D17" s="425">
        <v>10454.15</v>
      </c>
      <c r="E17" s="425"/>
      <c r="F17" s="425"/>
      <c r="G17" s="425">
        <v>309.36</v>
      </c>
      <c r="H17" s="425"/>
      <c r="I17" s="425">
        <v>29111</v>
      </c>
      <c r="J17" s="425">
        <v>19175.099999999999</v>
      </c>
      <c r="K17" s="424">
        <f>'[4]Daily report Gen'!L48</f>
        <v>0</v>
      </c>
      <c r="L17" s="425">
        <v>33008</v>
      </c>
      <c r="M17" s="424">
        <f t="shared" si="0"/>
        <v>7</v>
      </c>
      <c r="N17" s="426"/>
      <c r="O17" s="425">
        <v>27925</v>
      </c>
      <c r="P17" s="424">
        <f t="shared" si="1"/>
        <v>13</v>
      </c>
      <c r="Q17" s="424"/>
      <c r="R17" s="425">
        <v>33285</v>
      </c>
      <c r="S17" s="424">
        <f t="shared" si="2"/>
        <v>0</v>
      </c>
      <c r="T17" s="424"/>
      <c r="U17" s="425">
        <v>30764</v>
      </c>
      <c r="V17" s="424">
        <f t="shared" si="3"/>
        <v>17</v>
      </c>
      <c r="W17" s="426"/>
      <c r="X17" s="425">
        <v>18326</v>
      </c>
      <c r="Y17" s="424">
        <f t="shared" si="4"/>
        <v>7</v>
      </c>
      <c r="Z17" s="427">
        <f t="shared" si="5"/>
        <v>44</v>
      </c>
      <c r="AA17" s="129">
        <v>503</v>
      </c>
      <c r="AB17" s="129">
        <v>210</v>
      </c>
      <c r="AC17" s="364">
        <f>Gen!AR22</f>
        <v>2738.53</v>
      </c>
    </row>
    <row r="18" spans="1:29" ht="20.100000000000001" customHeight="1">
      <c r="A18" s="355">
        <f>[1]Gen!A23</f>
        <v>43751</v>
      </c>
      <c r="B18" s="470">
        <v>0.39</v>
      </c>
      <c r="C18" s="425">
        <v>24513.14</v>
      </c>
      <c r="D18" s="425">
        <v>7715.62</v>
      </c>
      <c r="E18" s="425"/>
      <c r="F18" s="425"/>
      <c r="G18" s="425">
        <v>63.78</v>
      </c>
      <c r="H18" s="425"/>
      <c r="I18" s="425">
        <v>29121</v>
      </c>
      <c r="J18" s="425">
        <v>19181.599999999999</v>
      </c>
      <c r="K18" s="424">
        <f>'[4]Daily report Gen'!L49</f>
        <v>0</v>
      </c>
      <c r="L18" s="425">
        <v>33024</v>
      </c>
      <c r="M18" s="424">
        <f t="shared" si="0"/>
        <v>16</v>
      </c>
      <c r="N18" s="426"/>
      <c r="O18" s="425">
        <v>27933</v>
      </c>
      <c r="P18" s="424">
        <f t="shared" si="1"/>
        <v>8</v>
      </c>
      <c r="Q18" s="424"/>
      <c r="R18" s="425">
        <v>33285</v>
      </c>
      <c r="S18" s="424">
        <f t="shared" si="2"/>
        <v>0</v>
      </c>
      <c r="T18" s="424"/>
      <c r="U18" s="425">
        <v>30770</v>
      </c>
      <c r="V18" s="424">
        <f t="shared" si="3"/>
        <v>6</v>
      </c>
      <c r="W18" s="426"/>
      <c r="X18" s="425">
        <v>18339</v>
      </c>
      <c r="Y18" s="424">
        <f t="shared" si="4"/>
        <v>13</v>
      </c>
      <c r="Z18" s="427">
        <f t="shared" si="5"/>
        <v>43</v>
      </c>
      <c r="AA18" s="129">
        <v>498</v>
      </c>
      <c r="AB18" s="129">
        <v>220</v>
      </c>
      <c r="AC18" s="364">
        <f>Gen!AR23</f>
        <v>2313.31</v>
      </c>
    </row>
    <row r="19" spans="1:29" ht="20.100000000000001" customHeight="1">
      <c r="A19" s="355">
        <f>[1]Gen!A24</f>
        <v>43752</v>
      </c>
      <c r="B19" s="470">
        <v>0.63600000000000001</v>
      </c>
      <c r="C19" s="425">
        <v>24513.14</v>
      </c>
      <c r="D19" s="425">
        <v>5402.31</v>
      </c>
      <c r="E19" s="425"/>
      <c r="F19" s="425"/>
      <c r="G19" s="425">
        <v>246.81</v>
      </c>
      <c r="H19" s="425"/>
      <c r="I19" s="425">
        <v>29130.6</v>
      </c>
      <c r="J19" s="425">
        <v>19188.099999999999</v>
      </c>
      <c r="K19" s="424">
        <f>'[4]Daily report Gen'!L50</f>
        <v>0</v>
      </c>
      <c r="L19" s="425">
        <v>33040</v>
      </c>
      <c r="M19" s="424">
        <f t="shared" si="0"/>
        <v>16</v>
      </c>
      <c r="N19" s="426"/>
      <c r="O19" s="425">
        <v>27941</v>
      </c>
      <c r="P19" s="424">
        <f t="shared" si="1"/>
        <v>8</v>
      </c>
      <c r="Q19" s="424"/>
      <c r="R19" s="425">
        <v>33285</v>
      </c>
      <c r="S19" s="424">
        <f t="shared" si="2"/>
        <v>0</v>
      </c>
      <c r="T19" s="424"/>
      <c r="U19" s="425">
        <v>30783</v>
      </c>
      <c r="V19" s="424">
        <f t="shared" si="3"/>
        <v>13</v>
      </c>
      <c r="W19" s="426"/>
      <c r="X19" s="425">
        <v>18345</v>
      </c>
      <c r="Y19" s="424">
        <f t="shared" si="4"/>
        <v>6</v>
      </c>
      <c r="Z19" s="427">
        <f t="shared" si="5"/>
        <v>43</v>
      </c>
      <c r="AA19" s="129">
        <v>489</v>
      </c>
      <c r="AB19" s="129">
        <v>210</v>
      </c>
      <c r="AC19" s="364">
        <f>Gen!AR24</f>
        <v>2671.2700000000004</v>
      </c>
    </row>
    <row r="20" spans="1:29" ht="20.100000000000001" customHeight="1">
      <c r="A20" s="355">
        <f>[1]Gen!A25</f>
        <v>43753</v>
      </c>
      <c r="B20" s="470">
        <v>0.85699999999999998</v>
      </c>
      <c r="C20" s="425">
        <v>24513.14</v>
      </c>
      <c r="D20" s="425">
        <v>2725.1</v>
      </c>
      <c r="E20" s="425"/>
      <c r="F20" s="425"/>
      <c r="G20" s="425">
        <v>80.56</v>
      </c>
      <c r="H20" s="425"/>
      <c r="I20" s="425">
        <v>29140.7</v>
      </c>
      <c r="J20" s="425">
        <v>19195.3</v>
      </c>
      <c r="K20" s="424">
        <f>'[4]Daily report Gen'!L51</f>
        <v>0</v>
      </c>
      <c r="L20" s="425">
        <v>33051</v>
      </c>
      <c r="M20" s="424">
        <f t="shared" si="0"/>
        <v>11</v>
      </c>
      <c r="N20" s="426"/>
      <c r="O20" s="425">
        <v>27949</v>
      </c>
      <c r="P20" s="424">
        <f t="shared" si="1"/>
        <v>8</v>
      </c>
      <c r="Q20" s="424"/>
      <c r="R20" s="425">
        <v>33285</v>
      </c>
      <c r="S20" s="424">
        <f t="shared" si="2"/>
        <v>0</v>
      </c>
      <c r="T20" s="424"/>
      <c r="U20" s="425">
        <v>30789</v>
      </c>
      <c r="V20" s="424">
        <f t="shared" si="3"/>
        <v>6</v>
      </c>
      <c r="W20" s="426"/>
      <c r="X20" s="425">
        <v>18364</v>
      </c>
      <c r="Y20" s="424">
        <f t="shared" si="4"/>
        <v>19</v>
      </c>
      <c r="Z20" s="427">
        <f t="shared" si="5"/>
        <v>44</v>
      </c>
      <c r="AA20" s="129">
        <v>493</v>
      </c>
      <c r="AB20" s="129">
        <v>208</v>
      </c>
      <c r="AC20" s="364">
        <f>Gen!AR25</f>
        <v>2752.87</v>
      </c>
    </row>
    <row r="21" spans="1:29" ht="20.100000000000001" customHeight="1">
      <c r="A21" s="355">
        <f>[1]Gen!A26</f>
        <v>43754</v>
      </c>
      <c r="B21" s="470">
        <v>0.81799999999999995</v>
      </c>
      <c r="C21" s="425">
        <v>21900.16</v>
      </c>
      <c r="D21" s="425">
        <v>17597.21</v>
      </c>
      <c r="E21" s="425"/>
      <c r="F21" s="425"/>
      <c r="G21" s="425">
        <v>67.319999999999993</v>
      </c>
      <c r="H21" s="425"/>
      <c r="I21" s="425">
        <v>29151.1</v>
      </c>
      <c r="J21" s="425">
        <v>19202.900000000001</v>
      </c>
      <c r="K21" s="424">
        <f>'[4]Daily report Gen'!L52</f>
        <v>0</v>
      </c>
      <c r="L21" s="425">
        <v>33064</v>
      </c>
      <c r="M21" s="424">
        <f t="shared" si="0"/>
        <v>13</v>
      </c>
      <c r="N21" s="426"/>
      <c r="O21" s="425">
        <v>27960</v>
      </c>
      <c r="P21" s="424">
        <f t="shared" si="1"/>
        <v>11</v>
      </c>
      <c r="Q21" s="424"/>
      <c r="R21" s="425">
        <v>33285</v>
      </c>
      <c r="S21" s="424">
        <f t="shared" si="2"/>
        <v>0</v>
      </c>
      <c r="T21" s="424"/>
      <c r="U21" s="425">
        <v>30801</v>
      </c>
      <c r="V21" s="424">
        <f t="shared" si="3"/>
        <v>12</v>
      </c>
      <c r="W21" s="426"/>
      <c r="X21" s="425">
        <v>18372</v>
      </c>
      <c r="Y21" s="424">
        <f t="shared" si="4"/>
        <v>8</v>
      </c>
      <c r="Z21" s="427">
        <f t="shared" si="5"/>
        <v>44</v>
      </c>
      <c r="AA21" s="129">
        <v>498</v>
      </c>
      <c r="AB21" s="129">
        <v>213</v>
      </c>
      <c r="AC21" s="364">
        <f>Gen!AR26</f>
        <v>2809.02</v>
      </c>
    </row>
    <row r="22" spans="1:29" ht="18.75" customHeight="1">
      <c r="A22" s="355">
        <f>[1]Gen!A27</f>
        <v>43755</v>
      </c>
      <c r="B22" s="470">
        <v>0.20799999999999999</v>
      </c>
      <c r="C22" s="425">
        <v>19091.14</v>
      </c>
      <c r="D22" s="425">
        <v>17597.21</v>
      </c>
      <c r="E22" s="425"/>
      <c r="F22" s="425"/>
      <c r="G22" s="425">
        <v>597.9</v>
      </c>
      <c r="H22" s="425"/>
      <c r="I22" s="425">
        <v>29161.1</v>
      </c>
      <c r="J22" s="425">
        <v>19211.3</v>
      </c>
      <c r="K22" s="424">
        <f>'[4]Daily report Gen'!L53</f>
        <v>0</v>
      </c>
      <c r="L22" s="425">
        <v>33077</v>
      </c>
      <c r="M22" s="424">
        <f t="shared" si="0"/>
        <v>13</v>
      </c>
      <c r="N22" s="426"/>
      <c r="O22" s="425">
        <v>27967</v>
      </c>
      <c r="P22" s="424">
        <f t="shared" si="1"/>
        <v>7</v>
      </c>
      <c r="Q22" s="424"/>
      <c r="R22" s="425">
        <v>33291</v>
      </c>
      <c r="S22" s="424">
        <f t="shared" si="2"/>
        <v>6</v>
      </c>
      <c r="T22" s="424"/>
      <c r="U22" s="425">
        <v>30813</v>
      </c>
      <c r="V22" s="424">
        <f t="shared" si="3"/>
        <v>12</v>
      </c>
      <c r="W22" s="426"/>
      <c r="X22" s="425">
        <v>18385</v>
      </c>
      <c r="Y22" s="424">
        <f t="shared" si="4"/>
        <v>13</v>
      </c>
      <c r="Z22" s="427">
        <f t="shared" si="5"/>
        <v>51</v>
      </c>
      <c r="AA22" s="129">
        <v>487</v>
      </c>
      <c r="AB22" s="129">
        <v>218</v>
      </c>
      <c r="AC22" s="364">
        <f>Gen!AR27</f>
        <v>2919.01</v>
      </c>
    </row>
    <row r="23" spans="1:29" ht="20.100000000000001" customHeight="1">
      <c r="A23" s="355">
        <f>[1]Gen!A28</f>
        <v>43756</v>
      </c>
      <c r="B23" s="470">
        <v>0.22</v>
      </c>
      <c r="C23" s="425">
        <v>16172.13</v>
      </c>
      <c r="D23" s="425">
        <v>17597.21</v>
      </c>
      <c r="E23" s="425"/>
      <c r="F23" s="425"/>
      <c r="G23" s="425">
        <v>227.73</v>
      </c>
      <c r="H23" s="425"/>
      <c r="I23" s="425">
        <v>29171.599999999999</v>
      </c>
      <c r="J23" s="425">
        <v>19217.8</v>
      </c>
      <c r="K23" s="424">
        <f>'[4]Daily report Gen'!L54</f>
        <v>0</v>
      </c>
      <c r="L23" s="425">
        <v>33085</v>
      </c>
      <c r="M23" s="424">
        <f t="shared" si="0"/>
        <v>8</v>
      </c>
      <c r="N23" s="426"/>
      <c r="O23" s="425">
        <v>27976</v>
      </c>
      <c r="P23" s="424">
        <f t="shared" si="1"/>
        <v>9</v>
      </c>
      <c r="Q23" s="424"/>
      <c r="R23" s="425">
        <v>33298</v>
      </c>
      <c r="S23" s="424">
        <f t="shared" si="2"/>
        <v>7</v>
      </c>
      <c r="T23" s="424"/>
      <c r="U23" s="425">
        <v>30817</v>
      </c>
      <c r="V23" s="424">
        <f t="shared" si="3"/>
        <v>4</v>
      </c>
      <c r="W23" s="426"/>
      <c r="X23" s="425">
        <v>18400</v>
      </c>
      <c r="Y23" s="424">
        <f t="shared" si="4"/>
        <v>15</v>
      </c>
      <c r="Z23" s="427">
        <f t="shared" si="5"/>
        <v>43</v>
      </c>
      <c r="AA23" s="129">
        <v>498</v>
      </c>
      <c r="AB23" s="129">
        <v>210</v>
      </c>
      <c r="AC23" s="364">
        <f>Gen!AR28</f>
        <v>2432.5700000000002</v>
      </c>
    </row>
    <row r="24" spans="1:29" ht="20.100000000000001" customHeight="1">
      <c r="A24" s="355">
        <f>[1]Gen!A29</f>
        <v>43757</v>
      </c>
      <c r="B24" s="470">
        <v>0.11700000000000001</v>
      </c>
      <c r="C24" s="425">
        <v>13739.56</v>
      </c>
      <c r="D24" s="425">
        <v>17597.21</v>
      </c>
      <c r="E24" s="425"/>
      <c r="F24" s="425"/>
      <c r="G24" s="425">
        <v>88.29</v>
      </c>
      <c r="H24" s="425"/>
      <c r="I24" s="425">
        <v>29181.1</v>
      </c>
      <c r="J24" s="425">
        <v>19223.2</v>
      </c>
      <c r="K24" s="424">
        <f>'[4]Daily report Gen'!L55</f>
        <v>0</v>
      </c>
      <c r="L24" s="425">
        <v>33092</v>
      </c>
      <c r="M24" s="424">
        <f t="shared" si="0"/>
        <v>7</v>
      </c>
      <c r="N24" s="426"/>
      <c r="O24" s="425">
        <v>27986</v>
      </c>
      <c r="P24" s="424">
        <f t="shared" si="1"/>
        <v>10</v>
      </c>
      <c r="Q24" s="424"/>
      <c r="R24" s="425">
        <v>33306</v>
      </c>
      <c r="S24" s="424">
        <f t="shared" si="2"/>
        <v>8</v>
      </c>
      <c r="T24" s="424"/>
      <c r="U24" s="425">
        <v>30823</v>
      </c>
      <c r="V24" s="424">
        <f t="shared" si="3"/>
        <v>6</v>
      </c>
      <c r="W24" s="426"/>
      <c r="X24" s="425">
        <v>18411</v>
      </c>
      <c r="Y24" s="424">
        <f t="shared" si="4"/>
        <v>11</v>
      </c>
      <c r="Z24" s="427">
        <f t="shared" si="5"/>
        <v>42</v>
      </c>
      <c r="AA24" s="129">
        <v>489</v>
      </c>
      <c r="AB24" s="129">
        <v>200</v>
      </c>
      <c r="AC24" s="364">
        <f>Gen!AR29</f>
        <v>1933.4700000000003</v>
      </c>
    </row>
    <row r="25" spans="1:29" ht="18.75" customHeight="1">
      <c r="A25" s="355">
        <f>[1]Gen!A30</f>
        <v>43758</v>
      </c>
      <c r="B25" s="470">
        <v>0.56999999999999995</v>
      </c>
      <c r="C25" s="425">
        <v>11806.09</v>
      </c>
      <c r="D25" s="425">
        <v>17597.21</v>
      </c>
      <c r="E25" s="425"/>
      <c r="F25" s="425"/>
      <c r="G25" s="425">
        <v>183.92</v>
      </c>
      <c r="H25" s="425"/>
      <c r="I25" s="425">
        <v>29189.1</v>
      </c>
      <c r="J25" s="425">
        <v>19228.400000000001</v>
      </c>
      <c r="K25" s="424">
        <f>'[4]Daily report Gen'!L56</f>
        <v>0</v>
      </c>
      <c r="L25" s="425">
        <v>33103</v>
      </c>
      <c r="M25" s="424">
        <f t="shared" si="0"/>
        <v>11</v>
      </c>
      <c r="N25" s="426"/>
      <c r="O25" s="425">
        <v>27993</v>
      </c>
      <c r="P25" s="424">
        <f t="shared" si="1"/>
        <v>7</v>
      </c>
      <c r="Q25" s="424"/>
      <c r="R25" s="425">
        <v>33313</v>
      </c>
      <c r="S25" s="424">
        <f t="shared" si="2"/>
        <v>7</v>
      </c>
      <c r="T25" s="424"/>
      <c r="U25" s="425">
        <v>30831</v>
      </c>
      <c r="V25" s="424">
        <f t="shared" si="3"/>
        <v>8</v>
      </c>
      <c r="W25" s="426"/>
      <c r="X25" s="425">
        <v>18421</v>
      </c>
      <c r="Y25" s="424">
        <f t="shared" si="4"/>
        <v>10</v>
      </c>
      <c r="Z25" s="427">
        <f t="shared" si="5"/>
        <v>43</v>
      </c>
      <c r="AA25" s="129">
        <v>430</v>
      </c>
      <c r="AB25" s="129">
        <v>186</v>
      </c>
      <c r="AC25" s="364">
        <f>Gen!AR30</f>
        <v>2980.93</v>
      </c>
    </row>
    <row r="26" spans="1:29" ht="20.100000000000001" customHeight="1">
      <c r="A26" s="355">
        <f>[1]Gen!A31</f>
        <v>43759</v>
      </c>
      <c r="B26" s="470">
        <v>0.55000000000000004</v>
      </c>
      <c r="C26" s="425">
        <v>23825.16</v>
      </c>
      <c r="D26" s="425">
        <v>17597.21</v>
      </c>
      <c r="E26" s="425"/>
      <c r="F26" s="425"/>
      <c r="G26" s="425">
        <v>172.05</v>
      </c>
      <c r="H26" s="425"/>
      <c r="I26" s="425">
        <v>29198.1</v>
      </c>
      <c r="J26" s="425">
        <v>19235.099999999999</v>
      </c>
      <c r="K26" s="424">
        <f>'[4]Daily report Gen'!L57</f>
        <v>0</v>
      </c>
      <c r="L26" s="425">
        <v>33113</v>
      </c>
      <c r="M26" s="424">
        <f t="shared" si="0"/>
        <v>10</v>
      </c>
      <c r="N26" s="426"/>
      <c r="O26" s="425">
        <v>28001</v>
      </c>
      <c r="P26" s="424">
        <f t="shared" si="1"/>
        <v>8</v>
      </c>
      <c r="Q26" s="424"/>
      <c r="R26" s="425">
        <v>33322</v>
      </c>
      <c r="S26" s="424">
        <f t="shared" si="2"/>
        <v>9</v>
      </c>
      <c r="T26" s="424"/>
      <c r="U26" s="425">
        <v>30840</v>
      </c>
      <c r="V26" s="424">
        <f t="shared" si="3"/>
        <v>9</v>
      </c>
      <c r="W26" s="426"/>
      <c r="X26" s="425">
        <v>18428</v>
      </c>
      <c r="Y26" s="424">
        <f t="shared" si="4"/>
        <v>7</v>
      </c>
      <c r="Z26" s="427">
        <f t="shared" si="5"/>
        <v>43</v>
      </c>
      <c r="AA26" s="129">
        <v>498</v>
      </c>
      <c r="AB26" s="129">
        <v>200</v>
      </c>
      <c r="AC26" s="364">
        <f>Gen!AR31</f>
        <v>2434.21</v>
      </c>
    </row>
    <row r="27" spans="1:29" ht="20.100000000000001" customHeight="1">
      <c r="A27" s="355">
        <f>[1]Gen!A32</f>
        <v>43760</v>
      </c>
      <c r="B27" s="470">
        <v>0.4</v>
      </c>
      <c r="C27" s="425">
        <v>21390.95</v>
      </c>
      <c r="D27" s="425">
        <v>17597.21</v>
      </c>
      <c r="E27" s="425"/>
      <c r="F27" s="425"/>
      <c r="G27" s="425">
        <v>18.63</v>
      </c>
      <c r="H27" s="425"/>
      <c r="I27" s="425">
        <v>29207.8</v>
      </c>
      <c r="J27" s="425">
        <v>19241.7</v>
      </c>
      <c r="K27" s="424">
        <f>'[4]Daily report Gen'!L58</f>
        <v>0</v>
      </c>
      <c r="L27" s="425">
        <v>33123</v>
      </c>
      <c r="M27" s="424">
        <f t="shared" si="0"/>
        <v>10</v>
      </c>
      <c r="N27" s="426"/>
      <c r="O27" s="425">
        <v>28007</v>
      </c>
      <c r="P27" s="424">
        <f t="shared" si="1"/>
        <v>6</v>
      </c>
      <c r="Q27" s="424"/>
      <c r="R27" s="425">
        <v>33329</v>
      </c>
      <c r="S27" s="424">
        <f t="shared" si="2"/>
        <v>7</v>
      </c>
      <c r="T27" s="424"/>
      <c r="U27" s="425">
        <v>30851</v>
      </c>
      <c r="V27" s="424">
        <f t="shared" si="3"/>
        <v>11</v>
      </c>
      <c r="W27" s="426"/>
      <c r="X27" s="425">
        <v>18436</v>
      </c>
      <c r="Y27" s="424">
        <f t="shared" si="4"/>
        <v>8</v>
      </c>
      <c r="Z27" s="427">
        <f t="shared" si="5"/>
        <v>42</v>
      </c>
      <c r="AA27" s="129">
        <v>520</v>
      </c>
      <c r="AB27" s="129">
        <v>230</v>
      </c>
      <c r="AC27" s="364">
        <f>Gen!AR32</f>
        <v>2305.4900000000002</v>
      </c>
    </row>
    <row r="28" spans="1:29" ht="20.100000000000001" customHeight="1">
      <c r="A28" s="355">
        <f>[1]Gen!A33</f>
        <v>43761</v>
      </c>
      <c r="B28" s="470">
        <v>0.312</v>
      </c>
      <c r="C28" s="425">
        <v>25979.56</v>
      </c>
      <c r="D28" s="425">
        <v>17597.21</v>
      </c>
      <c r="E28" s="425"/>
      <c r="F28" s="425"/>
      <c r="G28" s="425">
        <v>311.33999999999997</v>
      </c>
      <c r="H28" s="425"/>
      <c r="I28" s="425">
        <v>29216.7</v>
      </c>
      <c r="J28" s="425">
        <v>19247.900000000001</v>
      </c>
      <c r="K28" s="424">
        <f>'[4]Daily report Gen'!L59</f>
        <v>0</v>
      </c>
      <c r="L28" s="425">
        <v>33130</v>
      </c>
      <c r="M28" s="424">
        <f t="shared" si="0"/>
        <v>7</v>
      </c>
      <c r="N28" s="426"/>
      <c r="O28" s="425">
        <v>28020</v>
      </c>
      <c r="P28" s="424">
        <f t="shared" si="1"/>
        <v>13</v>
      </c>
      <c r="Q28" s="424"/>
      <c r="R28" s="425">
        <v>33339</v>
      </c>
      <c r="S28" s="424">
        <f t="shared" si="2"/>
        <v>10</v>
      </c>
      <c r="T28" s="424"/>
      <c r="U28" s="425">
        <v>30855</v>
      </c>
      <c r="V28" s="424">
        <f t="shared" si="3"/>
        <v>4</v>
      </c>
      <c r="W28" s="426"/>
      <c r="X28" s="425">
        <v>18446</v>
      </c>
      <c r="Y28" s="424">
        <f t="shared" si="4"/>
        <v>10</v>
      </c>
      <c r="Z28" s="427">
        <f t="shared" si="5"/>
        <v>44</v>
      </c>
      <c r="AA28" s="129">
        <v>429</v>
      </c>
      <c r="AB28" s="129">
        <v>187</v>
      </c>
      <c r="AC28" s="364">
        <f>Gen!AR33</f>
        <v>2459.64</v>
      </c>
    </row>
    <row r="29" spans="1:29" ht="20.100000000000001" customHeight="1">
      <c r="A29" s="355">
        <f>[1]Gen!A34</f>
        <v>43762</v>
      </c>
      <c r="B29" s="470">
        <v>9.0999999999999998E-2</v>
      </c>
      <c r="C29" s="425">
        <v>23385.59</v>
      </c>
      <c r="D29" s="425">
        <v>17597.21</v>
      </c>
      <c r="E29" s="425"/>
      <c r="F29" s="425"/>
      <c r="G29" s="425">
        <v>380.7</v>
      </c>
      <c r="H29" s="425"/>
      <c r="I29" s="425">
        <v>29225.7</v>
      </c>
      <c r="J29" s="425">
        <v>19253.900000000001</v>
      </c>
      <c r="K29" s="424">
        <f>'[4]Daily report Gen'!L60</f>
        <v>0</v>
      </c>
      <c r="L29" s="425">
        <v>33141</v>
      </c>
      <c r="M29" s="424">
        <f t="shared" si="0"/>
        <v>11</v>
      </c>
      <c r="N29" s="426"/>
      <c r="O29" s="425">
        <v>28027</v>
      </c>
      <c r="P29" s="424">
        <f t="shared" si="1"/>
        <v>7</v>
      </c>
      <c r="Q29" s="424"/>
      <c r="R29" s="425">
        <v>33347</v>
      </c>
      <c r="S29" s="424">
        <f t="shared" si="2"/>
        <v>8</v>
      </c>
      <c r="T29" s="424"/>
      <c r="U29" s="425">
        <v>30865</v>
      </c>
      <c r="V29" s="424">
        <f t="shared" si="3"/>
        <v>10</v>
      </c>
      <c r="W29" s="426"/>
      <c r="X29" s="425">
        <v>18454</v>
      </c>
      <c r="Y29" s="424">
        <f t="shared" si="4"/>
        <v>8</v>
      </c>
      <c r="Z29" s="427">
        <f t="shared" si="5"/>
        <v>44</v>
      </c>
      <c r="AA29" s="129">
        <v>417</v>
      </c>
      <c r="AB29" s="129">
        <v>176</v>
      </c>
      <c r="AC29" s="364">
        <f>Gen!AR34</f>
        <v>2493.9699999999998</v>
      </c>
    </row>
    <row r="30" spans="1:29" ht="20.100000000000001" customHeight="1">
      <c r="A30" s="355">
        <f>[1]Gen!A35</f>
        <v>43763</v>
      </c>
      <c r="B30" s="470">
        <v>0.28599999999999998</v>
      </c>
      <c r="C30" s="425">
        <v>21007.7</v>
      </c>
      <c r="D30" s="425">
        <v>17597.21</v>
      </c>
      <c r="E30" s="425"/>
      <c r="F30" s="425"/>
      <c r="G30" s="425">
        <v>273.37</v>
      </c>
      <c r="H30" s="425"/>
      <c r="I30" s="425">
        <v>29234.1</v>
      </c>
      <c r="J30" s="425">
        <v>19259.900000000001</v>
      </c>
      <c r="K30" s="424">
        <f>'[4]Daily report Gen'!L61</f>
        <v>0</v>
      </c>
      <c r="L30" s="425">
        <v>33154</v>
      </c>
      <c r="M30" s="424">
        <f t="shared" si="0"/>
        <v>13</v>
      </c>
      <c r="N30" s="426"/>
      <c r="O30" s="425">
        <v>28034</v>
      </c>
      <c r="P30" s="424">
        <f t="shared" si="1"/>
        <v>7</v>
      </c>
      <c r="Q30" s="424"/>
      <c r="R30" s="425">
        <v>33355</v>
      </c>
      <c r="S30" s="424">
        <f t="shared" si="2"/>
        <v>8</v>
      </c>
      <c r="T30" s="424"/>
      <c r="U30" s="425">
        <v>30874</v>
      </c>
      <c r="V30" s="424">
        <f t="shared" si="3"/>
        <v>9</v>
      </c>
      <c r="W30" s="426"/>
      <c r="X30" s="425">
        <v>18461</v>
      </c>
      <c r="Y30" s="424">
        <f t="shared" si="4"/>
        <v>7</v>
      </c>
      <c r="Z30" s="427">
        <f t="shared" si="5"/>
        <v>44</v>
      </c>
      <c r="AA30" s="129">
        <v>432</v>
      </c>
      <c r="AB30" s="129">
        <v>199</v>
      </c>
      <c r="AC30" s="364">
        <f>Gen!AR35</f>
        <v>2377.8900000000003</v>
      </c>
    </row>
    <row r="31" spans="1:29" ht="20.100000000000001" customHeight="1">
      <c r="A31" s="355">
        <f>[1]Gen!A36</f>
        <v>43764</v>
      </c>
      <c r="B31" s="470">
        <v>0.54</v>
      </c>
      <c r="C31" s="425">
        <v>18787.16</v>
      </c>
      <c r="D31" s="425">
        <v>17597.21</v>
      </c>
      <c r="E31" s="425"/>
      <c r="F31" s="425"/>
      <c r="G31" s="425">
        <v>396.56</v>
      </c>
      <c r="H31" s="425"/>
      <c r="I31" s="425">
        <v>29243.1</v>
      </c>
      <c r="J31" s="425">
        <v>19265.8</v>
      </c>
      <c r="K31" s="424">
        <f>'[4]Daily report Gen'!L62</f>
        <v>0</v>
      </c>
      <c r="L31" s="425">
        <v>33164</v>
      </c>
      <c r="M31" s="424">
        <f t="shared" si="0"/>
        <v>10</v>
      </c>
      <c r="N31" s="426"/>
      <c r="O31" s="425">
        <v>28040</v>
      </c>
      <c r="P31" s="424">
        <f t="shared" si="1"/>
        <v>6</v>
      </c>
      <c r="Q31" s="424"/>
      <c r="R31" s="425">
        <v>33362</v>
      </c>
      <c r="S31" s="424">
        <f t="shared" si="2"/>
        <v>7</v>
      </c>
      <c r="T31" s="424"/>
      <c r="U31" s="425">
        <v>30882</v>
      </c>
      <c r="V31" s="424">
        <f t="shared" si="3"/>
        <v>8</v>
      </c>
      <c r="W31" s="426"/>
      <c r="X31" s="425">
        <v>18472</v>
      </c>
      <c r="Y31" s="424">
        <f t="shared" si="4"/>
        <v>11</v>
      </c>
      <c r="Z31" s="427">
        <f t="shared" si="5"/>
        <v>42</v>
      </c>
      <c r="AA31" s="129">
        <v>471</v>
      </c>
      <c r="AB31" s="129">
        <v>184</v>
      </c>
      <c r="AC31" s="364">
        <f>Gen!AR36</f>
        <v>2866.8</v>
      </c>
    </row>
    <row r="32" spans="1:29" ht="20.100000000000001" customHeight="1">
      <c r="A32" s="355">
        <f>[1]Gen!A37</f>
        <v>43765</v>
      </c>
      <c r="B32" s="470">
        <v>0.67</v>
      </c>
      <c r="C32" s="425">
        <v>16182.79</v>
      </c>
      <c r="D32" s="425">
        <v>17597.21</v>
      </c>
      <c r="E32" s="425"/>
      <c r="F32" s="425"/>
      <c r="G32" s="425">
        <v>280.63</v>
      </c>
      <c r="H32" s="425"/>
      <c r="I32" s="425">
        <v>29253.1</v>
      </c>
      <c r="J32" s="425">
        <v>19272.8</v>
      </c>
      <c r="K32" s="424">
        <f>'[4]Daily report Gen'!L63</f>
        <v>0</v>
      </c>
      <c r="L32" s="425">
        <v>33169</v>
      </c>
      <c r="M32" s="424">
        <f t="shared" si="0"/>
        <v>5</v>
      </c>
      <c r="N32" s="426"/>
      <c r="O32" s="425">
        <v>28052</v>
      </c>
      <c r="P32" s="424">
        <f t="shared" si="1"/>
        <v>12</v>
      </c>
      <c r="Q32" s="424"/>
      <c r="R32" s="425">
        <v>33370</v>
      </c>
      <c r="S32" s="424">
        <f t="shared" si="2"/>
        <v>8</v>
      </c>
      <c r="T32" s="424"/>
      <c r="U32" s="425">
        <v>30893</v>
      </c>
      <c r="V32" s="424">
        <f t="shared" si="3"/>
        <v>11</v>
      </c>
      <c r="W32" s="426"/>
      <c r="X32" s="425">
        <v>18480</v>
      </c>
      <c r="Y32" s="424">
        <f t="shared" si="4"/>
        <v>8</v>
      </c>
      <c r="Z32" s="427">
        <f t="shared" si="5"/>
        <v>44</v>
      </c>
      <c r="AA32" s="129">
        <v>481</v>
      </c>
      <c r="AB32" s="129">
        <v>210</v>
      </c>
      <c r="AC32" s="364">
        <f>Gen!AR37</f>
        <v>2604.37</v>
      </c>
    </row>
    <row r="33" spans="1:29" ht="20.100000000000001" customHeight="1">
      <c r="A33" s="355">
        <f>[1]Gen!A38</f>
        <v>43766</v>
      </c>
      <c r="B33" s="470">
        <v>0.27</v>
      </c>
      <c r="C33" s="425">
        <v>27000.79</v>
      </c>
      <c r="D33" s="425">
        <v>17779.21</v>
      </c>
      <c r="E33" s="425"/>
      <c r="F33" s="425"/>
      <c r="G33" s="425">
        <v>676.29</v>
      </c>
      <c r="H33" s="425"/>
      <c r="I33" s="425">
        <v>29263</v>
      </c>
      <c r="J33" s="425">
        <v>19279.8</v>
      </c>
      <c r="K33" s="424">
        <f>'[4]Daily report Gen'!L64</f>
        <v>0</v>
      </c>
      <c r="L33" s="425">
        <v>33177</v>
      </c>
      <c r="M33" s="424">
        <f t="shared" si="0"/>
        <v>8</v>
      </c>
      <c r="N33" s="426"/>
      <c r="O33" s="425">
        <v>28063</v>
      </c>
      <c r="P33" s="424">
        <f t="shared" si="1"/>
        <v>11</v>
      </c>
      <c r="Q33" s="424"/>
      <c r="R33" s="425">
        <v>33377</v>
      </c>
      <c r="S33" s="424">
        <f t="shared" si="2"/>
        <v>7</v>
      </c>
      <c r="T33" s="424"/>
      <c r="U33" s="425">
        <v>30904</v>
      </c>
      <c r="V33" s="424">
        <f t="shared" si="3"/>
        <v>11</v>
      </c>
      <c r="W33" s="426"/>
      <c r="X33" s="425">
        <v>18485</v>
      </c>
      <c r="Y33" s="424">
        <f t="shared" si="4"/>
        <v>5</v>
      </c>
      <c r="Z33" s="427">
        <f t="shared" si="5"/>
        <v>42</v>
      </c>
      <c r="AA33" s="129">
        <v>478</v>
      </c>
      <c r="AB33" s="129">
        <v>220</v>
      </c>
      <c r="AC33" s="364">
        <f>Gen!AR38</f>
        <v>2708.12</v>
      </c>
    </row>
    <row r="34" spans="1:29" ht="20.100000000000001" customHeight="1">
      <c r="A34" s="355">
        <f>[1]Gen!A39</f>
        <v>43767</v>
      </c>
      <c r="B34" s="470">
        <v>0.41</v>
      </c>
      <c r="C34" s="425">
        <v>24292.67</v>
      </c>
      <c r="D34" s="425">
        <v>17779.21</v>
      </c>
      <c r="E34" s="425"/>
      <c r="F34" s="425"/>
      <c r="G34" s="425">
        <v>120.7</v>
      </c>
      <c r="H34" s="425"/>
      <c r="I34" s="425">
        <v>29271.3</v>
      </c>
      <c r="J34" s="425">
        <v>19285.8</v>
      </c>
      <c r="K34" s="424">
        <f>'[4]Daily report Gen'!L65</f>
        <v>0</v>
      </c>
      <c r="L34" s="425">
        <v>33177</v>
      </c>
      <c r="M34" s="424">
        <f t="shared" si="0"/>
        <v>0</v>
      </c>
      <c r="N34" s="426"/>
      <c r="O34" s="425">
        <v>28074</v>
      </c>
      <c r="P34" s="424">
        <f t="shared" si="1"/>
        <v>11</v>
      </c>
      <c r="Q34" s="424"/>
      <c r="R34" s="425">
        <v>33385</v>
      </c>
      <c r="S34" s="424">
        <f t="shared" si="2"/>
        <v>8</v>
      </c>
      <c r="T34" s="424"/>
      <c r="U34" s="425">
        <v>30915</v>
      </c>
      <c r="V34" s="424">
        <f t="shared" si="3"/>
        <v>11</v>
      </c>
      <c r="W34" s="426"/>
      <c r="X34" s="425">
        <v>18498</v>
      </c>
      <c r="Y34" s="424">
        <f t="shared" si="4"/>
        <v>13</v>
      </c>
      <c r="Z34" s="427">
        <f t="shared" si="5"/>
        <v>43</v>
      </c>
      <c r="AA34" s="129">
        <v>405</v>
      </c>
      <c r="AB34" s="129">
        <v>196</v>
      </c>
      <c r="AC34" s="364">
        <f>Gen!AR39</f>
        <v>2252.0699999999997</v>
      </c>
    </row>
    <row r="35" spans="1:29" ht="20.100000000000001" customHeight="1">
      <c r="A35" s="355">
        <f>[1]Gen!A40</f>
        <v>43768</v>
      </c>
      <c r="B35" s="470">
        <v>0.42899999999999999</v>
      </c>
      <c r="C35" s="425">
        <v>22140.6</v>
      </c>
      <c r="D35" s="425">
        <v>17779.21</v>
      </c>
      <c r="E35" s="425"/>
      <c r="F35" s="425"/>
      <c r="G35" s="425">
        <v>25.52</v>
      </c>
      <c r="H35" s="425"/>
      <c r="I35" s="425">
        <v>29280.5</v>
      </c>
      <c r="J35" s="425">
        <v>19291.099999999999</v>
      </c>
      <c r="K35" s="424">
        <f>'[4]Daily report Gen'!L66</f>
        <v>0</v>
      </c>
      <c r="L35" s="425">
        <v>33189</v>
      </c>
      <c r="M35" s="424">
        <f t="shared" si="0"/>
        <v>12</v>
      </c>
      <c r="N35" s="426"/>
      <c r="O35" s="425">
        <v>28080</v>
      </c>
      <c r="P35" s="424">
        <f t="shared" si="1"/>
        <v>6</v>
      </c>
      <c r="Q35" s="424"/>
      <c r="R35" s="425">
        <v>33398</v>
      </c>
      <c r="S35" s="424">
        <f t="shared" si="2"/>
        <v>13</v>
      </c>
      <c r="T35" s="424"/>
      <c r="U35" s="425">
        <v>30921</v>
      </c>
      <c r="V35" s="424">
        <f t="shared" si="3"/>
        <v>6</v>
      </c>
      <c r="W35" s="426"/>
      <c r="X35" s="425">
        <v>18504</v>
      </c>
      <c r="Y35" s="424">
        <f t="shared" si="4"/>
        <v>6</v>
      </c>
      <c r="Z35" s="427">
        <f t="shared" si="5"/>
        <v>43</v>
      </c>
      <c r="AA35" s="129">
        <v>417</v>
      </c>
      <c r="AB35" s="129">
        <v>176</v>
      </c>
      <c r="AC35" s="364">
        <f>Gen!AR40</f>
        <v>2059.2600000000002</v>
      </c>
    </row>
    <row r="36" spans="1:29" ht="20.100000000000001" customHeight="1">
      <c r="A36" s="355">
        <f>[1]Gen!A41</f>
        <v>43769</v>
      </c>
      <c r="B36" s="470">
        <v>0.32</v>
      </c>
      <c r="C36" s="425">
        <v>20081.34</v>
      </c>
      <c r="D36" s="425">
        <v>17779.21</v>
      </c>
      <c r="E36" s="425"/>
      <c r="F36" s="425"/>
      <c r="G36" s="425">
        <v>533.66</v>
      </c>
      <c r="H36" s="425"/>
      <c r="I36" s="425">
        <v>29289.599999999999</v>
      </c>
      <c r="J36" s="425">
        <v>19296.5</v>
      </c>
      <c r="K36" s="424">
        <f>'[4]Daily report Gen'!L67</f>
        <v>0</v>
      </c>
      <c r="L36" s="425">
        <v>33195</v>
      </c>
      <c r="M36" s="424">
        <f t="shared" si="0"/>
        <v>6</v>
      </c>
      <c r="N36" s="426"/>
      <c r="O36" s="425">
        <v>28092</v>
      </c>
      <c r="P36" s="424">
        <f t="shared" si="1"/>
        <v>12</v>
      </c>
      <c r="Q36" s="424"/>
      <c r="R36" s="425">
        <v>33409</v>
      </c>
      <c r="S36" s="424">
        <f t="shared" si="2"/>
        <v>11</v>
      </c>
      <c r="T36" s="424"/>
      <c r="U36" s="425">
        <v>30928</v>
      </c>
      <c r="V36" s="424">
        <f t="shared" si="3"/>
        <v>7</v>
      </c>
      <c r="W36" s="426"/>
      <c r="X36" s="425">
        <v>18511</v>
      </c>
      <c r="Y36" s="424">
        <f t="shared" si="4"/>
        <v>7</v>
      </c>
      <c r="Z36" s="427">
        <f t="shared" si="5"/>
        <v>43</v>
      </c>
      <c r="AA36" s="129">
        <v>430</v>
      </c>
      <c r="AB36" s="129">
        <v>196</v>
      </c>
      <c r="AC36" s="364">
        <f>Gen!AR41</f>
        <v>2660.08</v>
      </c>
    </row>
    <row r="37" spans="1:29" ht="21" customHeight="1">
      <c r="A37" s="355" t="e">
        <f>[1]Gen!A42</f>
        <v>#REF!</v>
      </c>
      <c r="B37" s="470"/>
      <c r="C37" s="425">
        <v>17421.259999999998</v>
      </c>
      <c r="D37" s="425">
        <v>17779.21</v>
      </c>
      <c r="E37" s="425"/>
      <c r="F37" s="425"/>
      <c r="G37" s="425"/>
      <c r="H37" s="425"/>
      <c r="I37" s="425"/>
      <c r="J37" s="425"/>
      <c r="K37" s="424">
        <f>'[4]Daily report Gen'!L68</f>
        <v>0</v>
      </c>
      <c r="L37" s="425"/>
      <c r="M37" s="424">
        <f t="shared" si="0"/>
        <v>-33195</v>
      </c>
      <c r="N37" s="426"/>
      <c r="O37" s="425"/>
      <c r="P37" s="424"/>
      <c r="Q37" s="424"/>
      <c r="R37" s="425"/>
      <c r="S37" s="424">
        <f t="shared" si="2"/>
        <v>-33409</v>
      </c>
      <c r="T37" s="424"/>
      <c r="U37" s="425"/>
      <c r="V37" s="424">
        <f t="shared" si="3"/>
        <v>-30928</v>
      </c>
      <c r="W37" s="426"/>
      <c r="X37" s="425"/>
      <c r="Y37" s="424">
        <f t="shared" si="4"/>
        <v>-18511</v>
      </c>
      <c r="Z37" s="427">
        <f t="shared" si="5"/>
        <v>-116043</v>
      </c>
      <c r="AA37" s="129"/>
      <c r="AB37" s="129"/>
      <c r="AC37" s="364">
        <f>Gen!AR42</f>
        <v>0</v>
      </c>
    </row>
    <row r="38" spans="1:29">
      <c r="A38" s="355"/>
      <c r="B38" s="355"/>
      <c r="C38" s="355"/>
      <c r="D38" s="355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zoomScale="120" zoomScaleNormal="120" workbookViewId="0">
      <pane xSplit="1" topLeftCell="V1" activePane="topRight" state="frozen"/>
      <selection pane="topRight" activeCell="AG34" sqref="AG34"/>
    </sheetView>
  </sheetViews>
  <sheetFormatPr defaultRowHeight="11.25"/>
  <cols>
    <col min="1" max="1" width="9.85546875" style="629" customWidth="1"/>
    <col min="2" max="2" width="8.85546875" style="629" customWidth="1"/>
    <col min="3" max="4" width="9" style="629" customWidth="1"/>
    <col min="5" max="5" width="9.28515625" style="629" bestFit="1" customWidth="1"/>
    <col min="6" max="6" width="5.28515625" style="629" bestFit="1" customWidth="1"/>
    <col min="7" max="7" width="11.28515625" style="629" customWidth="1"/>
    <col min="8" max="8" width="9.7109375" style="629" customWidth="1"/>
    <col min="9" max="9" width="8" style="629" customWidth="1"/>
    <col min="10" max="10" width="8.7109375" style="629" customWidth="1"/>
    <col min="11" max="11" width="8.28515625" style="629" customWidth="1"/>
    <col min="12" max="12" width="10.140625" style="629" customWidth="1"/>
    <col min="13" max="13" width="9.28515625" style="629" customWidth="1"/>
    <col min="14" max="14" width="14.42578125" style="629" customWidth="1"/>
    <col min="15" max="15" width="10.140625" style="629" customWidth="1"/>
    <col min="16" max="16" width="14.42578125" style="629" customWidth="1"/>
    <col min="17" max="17" width="10.7109375" style="629" customWidth="1"/>
    <col min="18" max="18" width="13.140625" style="629" customWidth="1"/>
    <col min="19" max="19" width="11.7109375" style="251" customWidth="1"/>
    <col min="20" max="20" width="13" style="251" customWidth="1"/>
    <col min="21" max="21" width="13.140625" style="251" customWidth="1"/>
    <col min="22" max="22" width="13.5703125" style="251" bestFit="1" customWidth="1"/>
    <col min="23" max="23" width="13" style="251" customWidth="1"/>
    <col min="24" max="24" width="15.7109375" style="251" customWidth="1"/>
    <col min="25" max="25" width="9.5703125" style="251" bestFit="1" customWidth="1"/>
    <col min="26" max="26" width="12" style="251" bestFit="1" customWidth="1"/>
    <col min="27" max="27" width="9.5703125" style="251" bestFit="1" customWidth="1"/>
    <col min="28" max="28" width="8.28515625" style="251" bestFit="1" customWidth="1"/>
    <col min="29" max="29" width="9.42578125" style="251" bestFit="1" customWidth="1"/>
    <col min="30" max="30" width="8.140625" style="251" bestFit="1" customWidth="1"/>
    <col min="31" max="31" width="8" style="251" bestFit="1" customWidth="1"/>
    <col min="32" max="32" width="9.28515625" style="251" bestFit="1" customWidth="1"/>
    <col min="33" max="33" width="11.42578125" style="251" customWidth="1"/>
    <col min="34" max="34" width="9.85546875" style="251" bestFit="1" customWidth="1"/>
    <col min="35" max="35" width="9.5703125" style="251" bestFit="1" customWidth="1"/>
    <col min="36" max="36" width="12" style="251" bestFit="1" customWidth="1"/>
    <col min="37" max="42" width="9.140625" style="251" hidden="1" customWidth="1"/>
    <col min="43" max="43" width="5.42578125" style="251" customWidth="1"/>
    <col min="44" max="44" width="15" style="251" bestFit="1" customWidth="1"/>
    <col min="45" max="45" width="10.7109375" style="251" bestFit="1" customWidth="1"/>
    <col min="46" max="46" width="9.7109375" style="251" bestFit="1" customWidth="1"/>
    <col min="47" max="47" width="8" style="249" bestFit="1" customWidth="1"/>
    <col min="48" max="16384" width="9.140625" style="249"/>
  </cols>
  <sheetData>
    <row r="1" spans="1:46">
      <c r="A1" s="760"/>
      <c r="B1" s="760"/>
    </row>
    <row r="2" spans="1:46" ht="26.25">
      <c r="A2" s="760"/>
      <c r="B2" s="760"/>
      <c r="D2" s="761" t="s">
        <v>262</v>
      </c>
      <c r="E2" s="761"/>
      <c r="F2" s="762"/>
      <c r="G2" s="762"/>
      <c r="H2" s="762"/>
      <c r="I2" s="762"/>
      <c r="J2" s="762"/>
      <c r="K2" s="762"/>
      <c r="L2" s="762"/>
      <c r="M2" s="762"/>
      <c r="N2" s="762"/>
      <c r="O2" s="762"/>
      <c r="P2" s="762"/>
      <c r="Q2" s="762"/>
      <c r="R2" s="762"/>
      <c r="S2" s="762"/>
      <c r="T2" s="762"/>
      <c r="U2" s="762"/>
      <c r="V2" s="762"/>
      <c r="W2" s="762"/>
      <c r="X2" s="762"/>
      <c r="Y2" s="762"/>
      <c r="Z2" s="762"/>
      <c r="AA2" s="762"/>
      <c r="AB2" s="762"/>
      <c r="AC2" s="762"/>
      <c r="AD2" s="762"/>
      <c r="AE2" s="762"/>
      <c r="AF2" s="762"/>
      <c r="AG2" s="762"/>
      <c r="AH2" s="762"/>
      <c r="AI2" s="762"/>
      <c r="AJ2" s="762"/>
      <c r="AK2" s="762"/>
      <c r="AL2" s="762"/>
      <c r="AM2" s="762"/>
      <c r="AN2" s="762"/>
      <c r="AO2" s="762"/>
      <c r="AP2" s="762"/>
      <c r="AQ2" s="762"/>
      <c r="AR2" s="762"/>
      <c r="AS2" s="762"/>
      <c r="AT2" s="762"/>
    </row>
    <row r="3" spans="1:46">
      <c r="A3" s="760"/>
      <c r="B3" s="760"/>
      <c r="K3" s="250"/>
      <c r="Q3" s="250"/>
    </row>
    <row r="4" spans="1:46">
      <c r="A4" s="760"/>
      <c r="B4" s="760"/>
      <c r="K4" s="250"/>
      <c r="Q4" s="250"/>
    </row>
    <row r="5" spans="1:46" ht="12" thickBot="1">
      <c r="A5" s="760"/>
      <c r="B5" s="760"/>
      <c r="L5" s="252"/>
      <c r="R5" s="252"/>
      <c r="S5" s="253"/>
      <c r="T5" s="253"/>
      <c r="U5" s="253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</row>
    <row r="6" spans="1:46" ht="21" thickBot="1">
      <c r="A6" s="760"/>
      <c r="B6" s="760"/>
      <c r="C6" s="255"/>
      <c r="F6" s="750" t="s">
        <v>59</v>
      </c>
      <c r="G6" s="751"/>
      <c r="H6" s="751"/>
      <c r="I6" s="751"/>
      <c r="J6" s="751"/>
      <c r="K6" s="751"/>
      <c r="L6" s="752"/>
      <c r="M6" s="252"/>
      <c r="N6" s="252"/>
      <c r="O6" s="252"/>
      <c r="P6" s="252"/>
      <c r="Q6" s="252"/>
      <c r="R6" s="252"/>
      <c r="S6" s="253"/>
      <c r="T6" s="253"/>
      <c r="U6" s="253"/>
      <c r="V6" s="256">
        <v>1</v>
      </c>
      <c r="W6" s="256">
        <v>2</v>
      </c>
      <c r="X6" s="256">
        <v>3</v>
      </c>
      <c r="Y6" s="256">
        <v>4</v>
      </c>
      <c r="Z6" s="256">
        <v>5</v>
      </c>
      <c r="AA6" s="256">
        <v>6</v>
      </c>
      <c r="AB6" s="256">
        <v>7</v>
      </c>
      <c r="AC6" s="256">
        <v>8</v>
      </c>
      <c r="AD6" s="256">
        <v>9</v>
      </c>
      <c r="AE6" s="256">
        <v>10</v>
      </c>
      <c r="AF6" s="256">
        <v>11</v>
      </c>
      <c r="AG6" s="256"/>
      <c r="AH6" s="256"/>
      <c r="AI6" s="256"/>
      <c r="AR6" s="256"/>
      <c r="AS6" s="253"/>
    </row>
    <row r="7" spans="1:46" ht="21" thickBot="1">
      <c r="C7" s="257"/>
      <c r="D7" s="257"/>
      <c r="E7" s="257"/>
      <c r="F7" s="763" t="s">
        <v>206</v>
      </c>
      <c r="G7" s="764"/>
      <c r="H7" s="764"/>
      <c r="I7" s="764"/>
      <c r="J7" s="764"/>
      <c r="K7" s="764"/>
      <c r="L7" s="765"/>
      <c r="M7" s="766" t="s">
        <v>41</v>
      </c>
      <c r="N7" s="767"/>
      <c r="O7" s="767"/>
      <c r="P7" s="767"/>
      <c r="Q7" s="767"/>
      <c r="R7" s="768"/>
      <c r="S7" s="510"/>
      <c r="T7" s="511"/>
      <c r="U7" s="512"/>
      <c r="V7" s="513" t="s">
        <v>82</v>
      </c>
      <c r="W7" s="514" t="s">
        <v>82</v>
      </c>
      <c r="X7" s="514" t="s">
        <v>5</v>
      </c>
      <c r="Y7" s="514" t="s">
        <v>83</v>
      </c>
      <c r="Z7" s="514" t="s">
        <v>85</v>
      </c>
      <c r="AA7" s="514" t="s">
        <v>84</v>
      </c>
      <c r="AB7" s="514" t="s">
        <v>84</v>
      </c>
      <c r="AC7" s="515" t="s">
        <v>204</v>
      </c>
      <c r="AD7" s="514" t="s">
        <v>30</v>
      </c>
      <c r="AE7" s="514" t="s">
        <v>99</v>
      </c>
      <c r="AF7" s="516" t="s">
        <v>22</v>
      </c>
      <c r="AG7" s="517" t="s">
        <v>29</v>
      </c>
      <c r="AH7" s="514" t="s">
        <v>86</v>
      </c>
      <c r="AI7" s="518" t="s">
        <v>195</v>
      </c>
      <c r="AJ7" s="530" t="s">
        <v>26</v>
      </c>
      <c r="AK7" s="258"/>
      <c r="AL7" s="258"/>
      <c r="AM7" s="258"/>
      <c r="AN7" s="258"/>
      <c r="AO7" s="258"/>
      <c r="AP7" s="258"/>
      <c r="AQ7" s="258"/>
      <c r="AR7" s="259"/>
      <c r="AS7" s="260"/>
      <c r="AT7" s="258"/>
    </row>
    <row r="8" spans="1:46" s="262" customFormat="1" ht="30" customHeight="1" thickBot="1">
      <c r="A8" s="551" t="s">
        <v>0</v>
      </c>
      <c r="B8" s="552" t="s">
        <v>51</v>
      </c>
      <c r="C8" s="553" t="s">
        <v>2</v>
      </c>
      <c r="D8" s="554" t="s">
        <v>39</v>
      </c>
      <c r="E8" s="554" t="s">
        <v>98</v>
      </c>
      <c r="F8" s="555" t="s">
        <v>36</v>
      </c>
      <c r="G8" s="542">
        <v>1</v>
      </c>
      <c r="H8" s="543">
        <v>2</v>
      </c>
      <c r="I8" s="543">
        <v>3</v>
      </c>
      <c r="J8" s="543">
        <v>4</v>
      </c>
      <c r="K8" s="543">
        <v>5</v>
      </c>
      <c r="L8" s="544">
        <v>6</v>
      </c>
      <c r="M8" s="545">
        <v>1</v>
      </c>
      <c r="N8" s="546">
        <v>2</v>
      </c>
      <c r="O8" s="546">
        <v>3</v>
      </c>
      <c r="P8" s="546">
        <v>4</v>
      </c>
      <c r="Q8" s="546">
        <v>5</v>
      </c>
      <c r="R8" s="546">
        <v>6</v>
      </c>
      <c r="S8" s="547" t="s">
        <v>40</v>
      </c>
      <c r="T8" s="547" t="s">
        <v>42</v>
      </c>
      <c r="U8" s="548" t="s">
        <v>203</v>
      </c>
      <c r="V8" s="521" t="s">
        <v>33</v>
      </c>
      <c r="W8" s="522" t="s">
        <v>32</v>
      </c>
      <c r="X8" s="522" t="s">
        <v>35</v>
      </c>
      <c r="Y8" s="523" t="s">
        <v>213</v>
      </c>
      <c r="Z8" s="523" t="s">
        <v>212</v>
      </c>
      <c r="AA8" s="523" t="s">
        <v>214</v>
      </c>
      <c r="AB8" s="522" t="s">
        <v>255</v>
      </c>
      <c r="AC8" s="524" t="s">
        <v>34</v>
      </c>
      <c r="AD8" s="522" t="s">
        <v>31</v>
      </c>
      <c r="AE8" s="522" t="s">
        <v>215</v>
      </c>
      <c r="AF8" s="522" t="s">
        <v>216</v>
      </c>
      <c r="AG8" s="525" t="s">
        <v>87</v>
      </c>
      <c r="AH8" s="526" t="s">
        <v>28</v>
      </c>
      <c r="AI8" s="527" t="s">
        <v>28</v>
      </c>
      <c r="AJ8" s="529"/>
      <c r="AK8" s="378"/>
      <c r="AL8" s="52"/>
      <c r="AM8" s="52"/>
      <c r="AN8" s="52"/>
      <c r="AO8" s="52"/>
      <c r="AP8" s="261"/>
      <c r="AQ8" s="532"/>
      <c r="AR8" s="533" t="s">
        <v>205</v>
      </c>
      <c r="AS8" s="533" t="s">
        <v>44</v>
      </c>
      <c r="AT8" s="532" t="s">
        <v>3</v>
      </c>
    </row>
    <row r="9" spans="1:46" ht="14.25">
      <c r="A9" s="263"/>
      <c r="B9" s="263"/>
      <c r="C9" s="283">
        <f>[5]Gen!$C$43</f>
        <v>35806.650000000031</v>
      </c>
      <c r="D9" s="549"/>
      <c r="E9" s="265"/>
      <c r="F9" s="550"/>
      <c r="G9" s="534"/>
      <c r="H9" s="266"/>
      <c r="I9" s="534"/>
      <c r="J9" s="535"/>
      <c r="K9" s="536"/>
      <c r="L9" s="537"/>
      <c r="M9" s="538"/>
      <c r="N9" s="539"/>
      <c r="O9" s="539"/>
      <c r="P9" s="539"/>
      <c r="Q9" s="539"/>
      <c r="R9" s="539"/>
      <c r="S9" s="540">
        <f t="shared" ref="S9:S45" si="0">SUM(F9:L9)</f>
        <v>0</v>
      </c>
      <c r="T9" s="541">
        <f t="shared" ref="T9:T10" si="1">SUM(M9:R9)</f>
        <v>0</v>
      </c>
      <c r="U9" s="269"/>
      <c r="V9" s="519"/>
      <c r="W9" s="272"/>
      <c r="X9" s="520"/>
      <c r="Y9" s="520"/>
      <c r="Z9" s="520"/>
      <c r="AA9" s="272"/>
      <c r="AB9" s="270"/>
      <c r="AC9" s="272"/>
      <c r="AD9" s="273"/>
      <c r="AE9" s="273"/>
      <c r="AF9" s="274"/>
      <c r="AG9" s="270"/>
      <c r="AH9" s="272"/>
      <c r="AI9" s="301"/>
      <c r="AJ9" s="528"/>
      <c r="AK9" s="275"/>
      <c r="AL9" s="275"/>
      <c r="AM9" s="275"/>
      <c r="AN9" s="275"/>
      <c r="AO9" s="275"/>
      <c r="AP9" s="275"/>
      <c r="AQ9" s="275"/>
      <c r="AR9" s="531">
        <f t="shared" ref="AR9:AR43" si="2">SUM(AJ9+S9)</f>
        <v>0</v>
      </c>
      <c r="AS9" s="276"/>
      <c r="AT9" s="277">
        <v>38784.699999999997</v>
      </c>
    </row>
    <row r="10" spans="1:46" ht="13.5" customHeight="1">
      <c r="A10" s="278"/>
      <c r="B10" s="279"/>
      <c r="C10" s="317"/>
      <c r="D10" s="264"/>
      <c r="E10" s="281"/>
      <c r="F10" s="282"/>
      <c r="G10" s="283"/>
      <c r="H10" s="283"/>
      <c r="I10" s="284"/>
      <c r="J10" s="283"/>
      <c r="K10" s="283"/>
      <c r="L10" s="412"/>
      <c r="M10" s="411"/>
      <c r="N10" s="286"/>
      <c r="O10" s="285"/>
      <c r="P10" s="285"/>
      <c r="Q10" s="285"/>
      <c r="R10" s="285"/>
      <c r="S10" s="299">
        <f t="shared" si="0"/>
        <v>0</v>
      </c>
      <c r="T10" s="300">
        <f t="shared" si="1"/>
        <v>0</v>
      </c>
      <c r="U10" s="300">
        <f t="shared" ref="U10" si="3">SUM(N10:S10)</f>
        <v>0</v>
      </c>
      <c r="V10" s="288"/>
      <c r="W10" s="301"/>
      <c r="X10" s="271"/>
      <c r="Y10" s="288"/>
      <c r="Z10" s="283"/>
      <c r="AA10" s="288"/>
      <c r="AB10" s="289"/>
      <c r="AC10" s="288"/>
      <c r="AD10" s="290"/>
      <c r="AE10" s="290"/>
      <c r="AF10" s="288"/>
      <c r="AG10" s="291"/>
      <c r="AH10" s="301"/>
      <c r="AI10" s="301"/>
      <c r="AJ10" s="377">
        <f t="shared" ref="AJ10:AJ44" si="4">SUM(V10:AI10)</f>
        <v>0</v>
      </c>
      <c r="AK10" s="292"/>
      <c r="AL10" s="292"/>
      <c r="AM10" s="292"/>
      <c r="AN10" s="292"/>
      <c r="AO10" s="292"/>
      <c r="AP10" s="292"/>
      <c r="AQ10" s="293"/>
      <c r="AR10" s="294">
        <f t="shared" si="2"/>
        <v>0</v>
      </c>
      <c r="AS10" s="295"/>
      <c r="AT10" s="393"/>
    </row>
    <row r="11" spans="1:46" s="304" customFormat="1" ht="13.5" customHeight="1">
      <c r="A11" s="296">
        <v>43739</v>
      </c>
      <c r="B11" s="311">
        <v>0.623</v>
      </c>
      <c r="C11" s="297">
        <f>SUM(C9+D11)</f>
        <v>47806.650000000031</v>
      </c>
      <c r="D11" s="305">
        <v>12000</v>
      </c>
      <c r="E11" s="305"/>
      <c r="F11" s="298"/>
      <c r="G11" s="283"/>
      <c r="H11" s="283">
        <v>834.79</v>
      </c>
      <c r="I11" s="284"/>
      <c r="J11" s="283"/>
      <c r="K11" s="283">
        <v>991.93</v>
      </c>
      <c r="L11" s="412">
        <v>352.76</v>
      </c>
      <c r="M11" s="285"/>
      <c r="N11" s="285">
        <v>2241</v>
      </c>
      <c r="O11" s="285"/>
      <c r="P11" s="285"/>
      <c r="Q11" s="285">
        <v>2406</v>
      </c>
      <c r="R11" s="285">
        <v>1022</v>
      </c>
      <c r="S11" s="299">
        <f t="shared" si="0"/>
        <v>2179.4799999999996</v>
      </c>
      <c r="T11" s="300">
        <f t="shared" ref="T11:T43" si="5">SUM(M11:R11)</f>
        <v>5669</v>
      </c>
      <c r="U11" s="300">
        <f t="shared" ref="U11:U41" si="6">S11/T11</f>
        <v>0.38445581231257708</v>
      </c>
      <c r="V11" s="288">
        <v>62.64</v>
      </c>
      <c r="W11" s="288">
        <v>39.99</v>
      </c>
      <c r="X11" s="288">
        <v>22.41</v>
      </c>
      <c r="Y11" s="288"/>
      <c r="Z11" s="288"/>
      <c r="AA11" s="288"/>
      <c r="AB11" s="288"/>
      <c r="AC11" s="288"/>
      <c r="AD11" s="288"/>
      <c r="AE11" s="288"/>
      <c r="AF11" s="288"/>
      <c r="AG11" s="288"/>
      <c r="AH11" s="288"/>
      <c r="AI11" s="288">
        <v>78.239999999999995</v>
      </c>
      <c r="AJ11" s="377">
        <f t="shared" si="4"/>
        <v>203.27999999999997</v>
      </c>
      <c r="AK11" s="302"/>
      <c r="AL11" s="302"/>
      <c r="AM11" s="302"/>
      <c r="AN11" s="302"/>
      <c r="AO11" s="302"/>
      <c r="AP11" s="302"/>
      <c r="AQ11" s="302"/>
      <c r="AR11" s="294">
        <f t="shared" si="2"/>
        <v>2382.7599999999993</v>
      </c>
      <c r="AS11" s="303">
        <f>AR11*AU11</f>
        <v>0</v>
      </c>
      <c r="AT11" s="393">
        <f t="shared" ref="AT11:AT43" si="7">C11</f>
        <v>47806.650000000031</v>
      </c>
    </row>
    <row r="12" spans="1:46" ht="13.5" customHeight="1">
      <c r="A12" s="296">
        <v>43740</v>
      </c>
      <c r="B12" s="311">
        <v>0.77900000000000003</v>
      </c>
      <c r="C12" s="297">
        <f t="shared" ref="C12:C43" si="8">SUM(C11-AR11+D12)</f>
        <v>45423.890000000029</v>
      </c>
      <c r="D12" s="305"/>
      <c r="E12" s="281"/>
      <c r="F12" s="306"/>
      <c r="G12" s="283"/>
      <c r="H12" s="283">
        <v>1034.8699999999999</v>
      </c>
      <c r="I12" s="307"/>
      <c r="J12" s="283"/>
      <c r="K12" s="283">
        <v>211.48</v>
      </c>
      <c r="L12" s="412">
        <v>1226.5</v>
      </c>
      <c r="M12" s="411"/>
      <c r="N12" s="285">
        <v>2811</v>
      </c>
      <c r="O12" s="285"/>
      <c r="P12" s="285"/>
      <c r="Q12" s="285">
        <v>619</v>
      </c>
      <c r="R12" s="285">
        <v>2729</v>
      </c>
      <c r="S12" s="299">
        <f t="shared" si="0"/>
        <v>2472.85</v>
      </c>
      <c r="T12" s="300">
        <f t="shared" si="5"/>
        <v>6159</v>
      </c>
      <c r="U12" s="300">
        <f t="shared" si="6"/>
        <v>0.40150186718623154</v>
      </c>
      <c r="V12" s="288">
        <v>11.83</v>
      </c>
      <c r="W12" s="288"/>
      <c r="X12" s="288">
        <v>19.62</v>
      </c>
      <c r="Y12" s="288"/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377">
        <f t="shared" si="4"/>
        <v>31.450000000000003</v>
      </c>
      <c r="AK12" s="292"/>
      <c r="AL12" s="292"/>
      <c r="AM12" s="292"/>
      <c r="AN12" s="292"/>
      <c r="AO12" s="292"/>
      <c r="AP12" s="292"/>
      <c r="AQ12" s="292"/>
      <c r="AR12" s="294">
        <f t="shared" si="2"/>
        <v>2504.2999999999997</v>
      </c>
      <c r="AS12" s="303">
        <f t="shared" ref="AS12:AS44" si="9">AR12*AU12</f>
        <v>0</v>
      </c>
      <c r="AT12" s="393">
        <f t="shared" si="7"/>
        <v>45423.890000000029</v>
      </c>
    </row>
    <row r="13" spans="1:46" ht="13.5" customHeight="1">
      <c r="A13" s="296">
        <v>43741</v>
      </c>
      <c r="B13" s="311">
        <v>0.53200000000000003</v>
      </c>
      <c r="C13" s="297">
        <f t="shared" si="8"/>
        <v>42919.590000000026</v>
      </c>
      <c r="D13" s="305"/>
      <c r="E13" s="407"/>
      <c r="F13" s="306"/>
      <c r="G13" s="283"/>
      <c r="H13" s="283">
        <v>1051.5999999999999</v>
      </c>
      <c r="I13" s="307"/>
      <c r="J13" s="283"/>
      <c r="K13" s="283">
        <v>1104.82</v>
      </c>
      <c r="L13" s="412">
        <v>397.97</v>
      </c>
      <c r="M13" s="411"/>
      <c r="N13" s="285">
        <v>2723</v>
      </c>
      <c r="O13" s="285"/>
      <c r="P13" s="285"/>
      <c r="Q13" s="285">
        <v>2768</v>
      </c>
      <c r="R13" s="285">
        <v>1089</v>
      </c>
      <c r="S13" s="299">
        <f t="shared" si="0"/>
        <v>2554.3900000000003</v>
      </c>
      <c r="T13" s="300">
        <f t="shared" si="5"/>
        <v>6580</v>
      </c>
      <c r="U13" s="300">
        <f t="shared" si="6"/>
        <v>0.38820516717325232</v>
      </c>
      <c r="V13" s="288"/>
      <c r="W13" s="301">
        <v>75.930000000000007</v>
      </c>
      <c r="X13" s="271"/>
      <c r="Y13" s="301"/>
      <c r="Z13" s="283">
        <v>30.33</v>
      </c>
      <c r="AA13" s="379"/>
      <c r="AB13" s="301"/>
      <c r="AC13" s="301"/>
      <c r="AD13" s="301"/>
      <c r="AE13" s="301"/>
      <c r="AF13" s="301"/>
      <c r="AG13" s="301"/>
      <c r="AH13" s="301"/>
      <c r="AI13" s="301"/>
      <c r="AJ13" s="377">
        <f>SUM(V13:AH13)</f>
        <v>106.26</v>
      </c>
      <c r="AK13" s="308"/>
      <c r="AL13" s="308"/>
      <c r="AM13" s="308"/>
      <c r="AN13" s="308"/>
      <c r="AO13" s="308"/>
      <c r="AP13" s="308"/>
      <c r="AQ13" s="308"/>
      <c r="AR13" s="294">
        <f t="shared" si="2"/>
        <v>2660.6500000000005</v>
      </c>
      <c r="AS13" s="303">
        <f t="shared" si="9"/>
        <v>0</v>
      </c>
      <c r="AT13" s="393">
        <f t="shared" si="7"/>
        <v>42919.590000000026</v>
      </c>
    </row>
    <row r="14" spans="1:46" ht="13.5" customHeight="1">
      <c r="A14" s="296">
        <v>43742</v>
      </c>
      <c r="B14" s="311">
        <v>0.61</v>
      </c>
      <c r="C14" s="297">
        <f t="shared" si="8"/>
        <v>40258.940000000024</v>
      </c>
      <c r="D14" s="305"/>
      <c r="E14" s="281"/>
      <c r="F14" s="306"/>
      <c r="G14" s="283"/>
      <c r="H14" s="283">
        <v>830.76</v>
      </c>
      <c r="I14" s="307"/>
      <c r="J14" s="283"/>
      <c r="K14" s="283">
        <v>489.44</v>
      </c>
      <c r="L14" s="412">
        <v>1121.22</v>
      </c>
      <c r="M14" s="411"/>
      <c r="N14" s="285">
        <v>2289</v>
      </c>
      <c r="O14" s="285"/>
      <c r="P14" s="285"/>
      <c r="Q14" s="285">
        <v>1122</v>
      </c>
      <c r="R14" s="285">
        <v>2812</v>
      </c>
      <c r="S14" s="299">
        <f t="shared" si="0"/>
        <v>2441.42</v>
      </c>
      <c r="T14" s="300">
        <f t="shared" si="5"/>
        <v>6223</v>
      </c>
      <c r="U14" s="300">
        <f t="shared" si="6"/>
        <v>0.39232203117467462</v>
      </c>
      <c r="V14" s="288">
        <v>66.099999999999994</v>
      </c>
      <c r="W14" s="301">
        <v>48.58</v>
      </c>
      <c r="X14" s="271">
        <v>14.3</v>
      </c>
      <c r="Y14" s="301"/>
      <c r="Z14" s="283">
        <v>100.77</v>
      </c>
      <c r="AA14" s="379"/>
      <c r="AB14" s="301"/>
      <c r="AC14" s="301">
        <v>62.56</v>
      </c>
      <c r="AD14" s="301"/>
      <c r="AE14" s="301"/>
      <c r="AF14" s="301"/>
      <c r="AG14" s="301"/>
      <c r="AH14" s="301"/>
      <c r="AI14" s="301"/>
      <c r="AJ14" s="377">
        <f>SUM(V14:AH14)</f>
        <v>292.31</v>
      </c>
      <c r="AK14" s="302"/>
      <c r="AL14" s="302"/>
      <c r="AM14" s="302"/>
      <c r="AN14" s="302"/>
      <c r="AO14" s="302"/>
      <c r="AP14" s="302"/>
      <c r="AQ14" s="302"/>
      <c r="AR14" s="294">
        <f t="shared" si="2"/>
        <v>2733.73</v>
      </c>
      <c r="AS14" s="303">
        <f t="shared" si="9"/>
        <v>0</v>
      </c>
      <c r="AT14" s="393">
        <f t="shared" si="7"/>
        <v>40258.940000000024</v>
      </c>
    </row>
    <row r="15" spans="1:46" ht="13.5" customHeight="1">
      <c r="A15" s="296">
        <v>43743</v>
      </c>
      <c r="B15" s="311">
        <v>0.68799999999999994</v>
      </c>
      <c r="C15" s="297">
        <f t="shared" si="8"/>
        <v>37525.210000000021</v>
      </c>
      <c r="D15" s="305"/>
      <c r="E15" s="281"/>
      <c r="F15" s="306"/>
      <c r="G15" s="283"/>
      <c r="H15" s="283">
        <v>954.3</v>
      </c>
      <c r="I15" s="307"/>
      <c r="J15" s="283"/>
      <c r="K15" s="283">
        <v>740.15</v>
      </c>
      <c r="L15" s="412">
        <v>643.91</v>
      </c>
      <c r="M15" s="411"/>
      <c r="N15" s="285">
        <v>2442</v>
      </c>
      <c r="O15" s="285"/>
      <c r="P15" s="285"/>
      <c r="Q15" s="285">
        <v>1814</v>
      </c>
      <c r="R15" s="285">
        <v>1728</v>
      </c>
      <c r="S15" s="299">
        <f t="shared" si="0"/>
        <v>2338.3599999999997</v>
      </c>
      <c r="T15" s="300">
        <f t="shared" si="5"/>
        <v>5984</v>
      </c>
      <c r="U15" s="300">
        <f t="shared" si="6"/>
        <v>0.39076871657754003</v>
      </c>
      <c r="V15" s="288"/>
      <c r="W15" s="301">
        <v>43.47</v>
      </c>
      <c r="X15" s="271">
        <v>35.69</v>
      </c>
      <c r="Y15" s="301"/>
      <c r="Z15" s="283"/>
      <c r="AA15" s="379"/>
      <c r="AB15" s="301"/>
      <c r="AC15" s="301"/>
      <c r="AD15" s="301"/>
      <c r="AE15" s="301"/>
      <c r="AF15" s="301"/>
      <c r="AG15" s="301"/>
      <c r="AH15" s="301"/>
      <c r="AI15" s="301"/>
      <c r="AJ15" s="377">
        <f>SUM(V15:AH15)</f>
        <v>79.16</v>
      </c>
      <c r="AK15" s="302"/>
      <c r="AL15" s="302"/>
      <c r="AM15" s="302"/>
      <c r="AN15" s="302"/>
      <c r="AO15" s="302"/>
      <c r="AP15" s="302"/>
      <c r="AQ15" s="302"/>
      <c r="AR15" s="294">
        <f t="shared" si="2"/>
        <v>2417.5199999999995</v>
      </c>
      <c r="AS15" s="303">
        <f t="shared" si="9"/>
        <v>0</v>
      </c>
      <c r="AT15" s="393">
        <f t="shared" si="7"/>
        <v>37525.210000000021</v>
      </c>
    </row>
    <row r="16" spans="1:46" ht="13.5" customHeight="1">
      <c r="A16" s="296">
        <v>43744</v>
      </c>
      <c r="B16" s="311">
        <v>0.53200000000000003</v>
      </c>
      <c r="C16" s="297">
        <f t="shared" si="8"/>
        <v>35107.690000000024</v>
      </c>
      <c r="D16" s="305"/>
      <c r="E16" s="280"/>
      <c r="F16" s="306"/>
      <c r="H16" s="283">
        <v>1033.17</v>
      </c>
      <c r="I16" s="307"/>
      <c r="J16" s="283"/>
      <c r="K16" s="283">
        <v>481.74</v>
      </c>
      <c r="L16" s="412">
        <v>963.99</v>
      </c>
      <c r="M16" s="411"/>
      <c r="N16" s="285">
        <v>2593</v>
      </c>
      <c r="O16" s="285"/>
      <c r="P16" s="285"/>
      <c r="Q16" s="285">
        <v>1187</v>
      </c>
      <c r="R16" s="285">
        <v>2323</v>
      </c>
      <c r="S16" s="299">
        <f t="shared" si="0"/>
        <v>2478.9</v>
      </c>
      <c r="T16" s="300">
        <f t="shared" si="5"/>
        <v>6103</v>
      </c>
      <c r="U16" s="300">
        <f t="shared" si="6"/>
        <v>0.40617728985744717</v>
      </c>
      <c r="V16" s="288">
        <v>45.95</v>
      </c>
      <c r="W16" s="301">
        <v>12.7</v>
      </c>
      <c r="X16" s="271"/>
      <c r="Y16" s="301"/>
      <c r="Z16" s="283"/>
      <c r="AA16" s="379"/>
      <c r="AB16" s="301"/>
      <c r="AC16" s="301"/>
      <c r="AD16" s="301"/>
      <c r="AE16" s="301"/>
      <c r="AF16" s="301"/>
      <c r="AG16" s="301"/>
      <c r="AH16" s="301">
        <v>57</v>
      </c>
      <c r="AI16" s="301"/>
      <c r="AJ16" s="377">
        <f>SUM(V16:AH16)</f>
        <v>115.65</v>
      </c>
      <c r="AK16" s="302"/>
      <c r="AL16" s="302"/>
      <c r="AM16" s="302"/>
      <c r="AN16" s="302"/>
      <c r="AO16" s="302"/>
      <c r="AP16" s="302"/>
      <c r="AQ16" s="302"/>
      <c r="AR16" s="294">
        <f t="shared" si="2"/>
        <v>2594.5500000000002</v>
      </c>
      <c r="AS16" s="303">
        <f t="shared" si="9"/>
        <v>0</v>
      </c>
      <c r="AT16" s="393">
        <f t="shared" si="7"/>
        <v>35107.690000000024</v>
      </c>
    </row>
    <row r="17" spans="1:46" ht="13.5" customHeight="1">
      <c r="A17" s="296">
        <v>43745</v>
      </c>
      <c r="B17" s="311">
        <v>0.753</v>
      </c>
      <c r="C17" s="297">
        <f t="shared" si="8"/>
        <v>47513.140000000029</v>
      </c>
      <c r="D17" s="305">
        <v>15000</v>
      </c>
      <c r="E17" s="281">
        <v>15000</v>
      </c>
      <c r="F17" s="306"/>
      <c r="G17" s="283"/>
      <c r="H17" s="283">
        <v>920.05</v>
      </c>
      <c r="I17" s="307"/>
      <c r="J17" s="283"/>
      <c r="K17" s="283">
        <v>777.14</v>
      </c>
      <c r="L17" s="412">
        <v>579.25</v>
      </c>
      <c r="M17" s="411"/>
      <c r="N17" s="285">
        <v>2324</v>
      </c>
      <c r="O17" s="285"/>
      <c r="P17" s="285"/>
      <c r="Q17" s="285">
        <v>1904</v>
      </c>
      <c r="R17" s="285">
        <v>1348</v>
      </c>
      <c r="S17" s="299">
        <f t="shared" si="0"/>
        <v>2276.44</v>
      </c>
      <c r="T17" s="300">
        <f t="shared" si="5"/>
        <v>5576</v>
      </c>
      <c r="U17" s="300">
        <f t="shared" si="6"/>
        <v>0.40825681492109039</v>
      </c>
      <c r="V17" s="288"/>
      <c r="W17" s="301"/>
      <c r="X17" s="271"/>
      <c r="Y17" s="301">
        <v>74.81</v>
      </c>
      <c r="Z17" s="283"/>
      <c r="AA17" s="379"/>
      <c r="AB17" s="301"/>
      <c r="AC17" s="301"/>
      <c r="AD17" s="301"/>
      <c r="AE17" s="301"/>
      <c r="AF17" s="301"/>
      <c r="AG17" s="301"/>
      <c r="AH17" s="301"/>
      <c r="AI17" s="301"/>
      <c r="AJ17" s="377">
        <f t="shared" si="4"/>
        <v>74.81</v>
      </c>
      <c r="AK17" s="302"/>
      <c r="AL17" s="302"/>
      <c r="AM17" s="302"/>
      <c r="AN17" s="302"/>
      <c r="AO17" s="302"/>
      <c r="AP17" s="302"/>
      <c r="AQ17" s="302"/>
      <c r="AR17" s="294">
        <f t="shared" si="2"/>
        <v>2351.25</v>
      </c>
      <c r="AS17" s="303">
        <f t="shared" si="9"/>
        <v>0</v>
      </c>
      <c r="AT17" s="393">
        <f t="shared" si="7"/>
        <v>47513.140000000029</v>
      </c>
    </row>
    <row r="18" spans="1:46" ht="13.5" customHeight="1">
      <c r="A18" s="296">
        <v>43746</v>
      </c>
      <c r="B18" s="311">
        <v>0.156</v>
      </c>
      <c r="C18" s="297">
        <f t="shared" si="8"/>
        <v>45161.890000000029</v>
      </c>
      <c r="D18" s="305"/>
      <c r="E18" s="281"/>
      <c r="F18" s="306"/>
      <c r="G18" s="283"/>
      <c r="H18" s="283">
        <v>892.82</v>
      </c>
      <c r="I18" s="307"/>
      <c r="J18" s="283"/>
      <c r="K18" s="283">
        <v>781.58</v>
      </c>
      <c r="L18" s="412">
        <v>568</v>
      </c>
      <c r="M18" s="411"/>
      <c r="N18" s="285">
        <v>2344</v>
      </c>
      <c r="O18" s="285"/>
      <c r="P18" s="285"/>
      <c r="Q18" s="285">
        <v>1865</v>
      </c>
      <c r="R18" s="285">
        <v>1323</v>
      </c>
      <c r="S18" s="299">
        <f t="shared" si="0"/>
        <v>2242.4</v>
      </c>
      <c r="T18" s="300">
        <f t="shared" si="5"/>
        <v>5532</v>
      </c>
      <c r="U18" s="300">
        <f t="shared" si="6"/>
        <v>0.40535068691250903</v>
      </c>
      <c r="V18" s="288">
        <v>31.05</v>
      </c>
      <c r="W18" s="301">
        <v>33.15</v>
      </c>
      <c r="X18" s="271">
        <v>29.81</v>
      </c>
      <c r="Y18" s="283"/>
      <c r="Z18" s="283"/>
      <c r="AA18" s="379"/>
      <c r="AB18" s="301"/>
      <c r="AC18" s="301"/>
      <c r="AD18" s="301"/>
      <c r="AE18" s="301"/>
      <c r="AF18" s="301"/>
      <c r="AG18" s="301"/>
      <c r="AH18" s="301"/>
      <c r="AI18" s="301"/>
      <c r="AJ18" s="377">
        <f t="shared" si="4"/>
        <v>94.01</v>
      </c>
      <c r="AK18" s="302"/>
      <c r="AL18" s="302"/>
      <c r="AM18" s="302"/>
      <c r="AN18" s="302"/>
      <c r="AO18" s="302"/>
      <c r="AP18" s="302"/>
      <c r="AQ18" s="302"/>
      <c r="AR18" s="294">
        <f t="shared" si="2"/>
        <v>2336.4100000000003</v>
      </c>
      <c r="AS18" s="303">
        <f t="shared" si="9"/>
        <v>0</v>
      </c>
      <c r="AT18" s="393">
        <f t="shared" si="7"/>
        <v>45161.890000000029</v>
      </c>
    </row>
    <row r="19" spans="1:46" ht="13.5" customHeight="1">
      <c r="A19" s="296">
        <v>43747</v>
      </c>
      <c r="B19" s="311">
        <v>0.442</v>
      </c>
      <c r="C19" s="297">
        <f t="shared" si="8"/>
        <v>42825.480000000025</v>
      </c>
      <c r="D19" s="305"/>
      <c r="E19" s="281"/>
      <c r="F19" s="334"/>
      <c r="G19" s="283"/>
      <c r="H19" s="283">
        <v>986.09</v>
      </c>
      <c r="I19" s="307"/>
      <c r="J19" s="283"/>
      <c r="K19" s="283">
        <v>249.3</v>
      </c>
      <c r="L19" s="412">
        <v>1194.8800000000001</v>
      </c>
      <c r="M19" s="411"/>
      <c r="N19" s="285">
        <v>2575</v>
      </c>
      <c r="O19" s="285"/>
      <c r="P19" s="285"/>
      <c r="Q19" s="285">
        <v>643</v>
      </c>
      <c r="R19" s="285">
        <v>3015</v>
      </c>
      <c r="S19" s="299">
        <f t="shared" si="0"/>
        <v>2430.2700000000004</v>
      </c>
      <c r="T19" s="300">
        <f t="shared" si="5"/>
        <v>6233</v>
      </c>
      <c r="U19" s="300">
        <f t="shared" si="6"/>
        <v>0.38990373816781654</v>
      </c>
      <c r="V19" s="288"/>
      <c r="W19" s="301">
        <v>11.98</v>
      </c>
      <c r="X19" s="271">
        <v>8.85</v>
      </c>
      <c r="Y19" s="301"/>
      <c r="Z19" s="283"/>
      <c r="AA19" s="379"/>
      <c r="AB19" s="301"/>
      <c r="AC19" s="301"/>
      <c r="AD19" s="301"/>
      <c r="AE19" s="301"/>
      <c r="AF19" s="301"/>
      <c r="AG19" s="301"/>
      <c r="AH19" s="301">
        <v>264</v>
      </c>
      <c r="AI19" s="301"/>
      <c r="AJ19" s="377">
        <f t="shared" si="4"/>
        <v>284.83</v>
      </c>
      <c r="AK19" s="302"/>
      <c r="AL19" s="293"/>
      <c r="AM19" s="302"/>
      <c r="AN19" s="309"/>
      <c r="AO19" s="309"/>
      <c r="AP19" s="309"/>
      <c r="AQ19" s="310"/>
      <c r="AR19" s="294">
        <f t="shared" si="2"/>
        <v>2715.1000000000004</v>
      </c>
      <c r="AS19" s="303">
        <f t="shared" si="9"/>
        <v>0</v>
      </c>
      <c r="AT19" s="393">
        <f t="shared" si="7"/>
        <v>42825.480000000025</v>
      </c>
    </row>
    <row r="20" spans="1:46" ht="14.25">
      <c r="A20" s="296">
        <v>43748</v>
      </c>
      <c r="B20" s="311">
        <v>0.32500000000000001</v>
      </c>
      <c r="C20" s="297">
        <f t="shared" si="8"/>
        <v>40110.380000000026</v>
      </c>
      <c r="D20" s="305"/>
      <c r="E20" s="407"/>
      <c r="F20" s="306"/>
      <c r="G20" s="283"/>
      <c r="H20" s="301">
        <v>1226.72</v>
      </c>
      <c r="I20" s="307"/>
      <c r="J20" s="283"/>
      <c r="K20" s="283"/>
      <c r="L20" s="283">
        <v>1237.05</v>
      </c>
      <c r="M20" s="411"/>
      <c r="N20" s="285">
        <v>3112</v>
      </c>
      <c r="O20" s="285"/>
      <c r="P20" s="285"/>
      <c r="Q20" s="285"/>
      <c r="R20" s="414">
        <v>2951</v>
      </c>
      <c r="S20" s="299">
        <f t="shared" si="0"/>
        <v>2463.77</v>
      </c>
      <c r="T20" s="300">
        <f t="shared" si="5"/>
        <v>6063</v>
      </c>
      <c r="U20" s="300">
        <f t="shared" si="6"/>
        <v>0.40636153719280882</v>
      </c>
      <c r="V20" s="288">
        <v>71.87</v>
      </c>
      <c r="W20" s="301">
        <v>24.48</v>
      </c>
      <c r="X20" s="271">
        <v>9.69</v>
      </c>
      <c r="Y20" s="301"/>
      <c r="Z20" s="283"/>
      <c r="AA20" s="379"/>
      <c r="AB20" s="301"/>
      <c r="AC20" s="301"/>
      <c r="AD20" s="301"/>
      <c r="AE20" s="301"/>
      <c r="AF20" s="301"/>
      <c r="AG20" s="301"/>
      <c r="AH20" s="301"/>
      <c r="AI20" s="301"/>
      <c r="AJ20" s="377">
        <f t="shared" si="4"/>
        <v>106.04</v>
      </c>
      <c r="AK20" s="302"/>
      <c r="AL20" s="293"/>
      <c r="AM20" s="302"/>
      <c r="AN20" s="309"/>
      <c r="AO20" s="309"/>
      <c r="AP20" s="309"/>
      <c r="AQ20" s="310"/>
      <c r="AR20" s="294">
        <f t="shared" si="2"/>
        <v>2569.81</v>
      </c>
      <c r="AS20" s="303">
        <f t="shared" si="9"/>
        <v>0</v>
      </c>
      <c r="AT20" s="393">
        <f t="shared" si="7"/>
        <v>40110.380000000026</v>
      </c>
    </row>
    <row r="21" spans="1:46" ht="14.25">
      <c r="A21" s="296">
        <v>43749</v>
      </c>
      <c r="B21" s="311">
        <v>0.45500000000000002</v>
      </c>
      <c r="C21" s="297">
        <f>SUM(C20-AR20+D21)</f>
        <v>37540.570000000029</v>
      </c>
      <c r="D21" s="305"/>
      <c r="E21" s="407"/>
      <c r="F21" s="306"/>
      <c r="G21" s="283">
        <v>296.48</v>
      </c>
      <c r="H21" s="301">
        <v>729.56</v>
      </c>
      <c r="I21" s="307"/>
      <c r="J21" s="283"/>
      <c r="K21" s="283">
        <v>920.96</v>
      </c>
      <c r="L21" s="412">
        <v>363.19</v>
      </c>
      <c r="M21" s="411">
        <v>851</v>
      </c>
      <c r="N21" s="411">
        <v>1979</v>
      </c>
      <c r="O21" s="285"/>
      <c r="P21" s="285"/>
      <c r="Q21" s="285">
        <v>2283</v>
      </c>
      <c r="R21" s="285">
        <v>854</v>
      </c>
      <c r="S21" s="299">
        <f t="shared" si="0"/>
        <v>2310.19</v>
      </c>
      <c r="T21" s="300">
        <f t="shared" si="5"/>
        <v>5967</v>
      </c>
      <c r="U21" s="300">
        <f t="shared" si="6"/>
        <v>0.38716105245517013</v>
      </c>
      <c r="V21" s="288"/>
      <c r="W21" s="301">
        <v>50.13</v>
      </c>
      <c r="X21" s="271">
        <v>9.9600000000000009</v>
      </c>
      <c r="Y21" s="301"/>
      <c r="Z21" s="283"/>
      <c r="AA21" s="379"/>
      <c r="AB21" s="301"/>
      <c r="AC21" s="301"/>
      <c r="AD21" s="301"/>
      <c r="AE21" s="301"/>
      <c r="AF21" s="301"/>
      <c r="AG21" s="301"/>
      <c r="AH21" s="301">
        <v>203</v>
      </c>
      <c r="AI21" s="301"/>
      <c r="AJ21" s="377">
        <f t="shared" si="4"/>
        <v>263.09000000000003</v>
      </c>
      <c r="AK21" s="292"/>
      <c r="AL21" s="293"/>
      <c r="AM21" s="302"/>
      <c r="AN21" s="309"/>
      <c r="AO21" s="309"/>
      <c r="AP21" s="309"/>
      <c r="AQ21" s="310"/>
      <c r="AR21" s="294">
        <f>SUM(AJ21+S21)</f>
        <v>2573.2800000000002</v>
      </c>
      <c r="AS21" s="303">
        <f t="shared" si="9"/>
        <v>0</v>
      </c>
      <c r="AT21" s="393">
        <f t="shared" si="7"/>
        <v>37540.570000000029</v>
      </c>
    </row>
    <row r="22" spans="1:46" ht="14.25">
      <c r="A22" s="296">
        <v>43750</v>
      </c>
      <c r="B22" s="311">
        <v>0.41599999999999998</v>
      </c>
      <c r="C22" s="297">
        <f>SUM(C21-AR21+D22)</f>
        <v>34967.29000000003</v>
      </c>
      <c r="D22" s="305"/>
      <c r="E22" s="407"/>
      <c r="F22" s="306"/>
      <c r="G22" s="283">
        <v>940.35</v>
      </c>
      <c r="H22" s="301">
        <v>459.15</v>
      </c>
      <c r="I22" s="307"/>
      <c r="J22" s="283"/>
      <c r="K22" s="283">
        <v>370.76</v>
      </c>
      <c r="L22" s="412">
        <v>658.91</v>
      </c>
      <c r="M22" s="411">
        <v>2121</v>
      </c>
      <c r="N22" s="285">
        <v>1208</v>
      </c>
      <c r="O22" s="285"/>
      <c r="P22" s="285"/>
      <c r="Q22" s="285">
        <v>883</v>
      </c>
      <c r="R22" s="285">
        <v>1651</v>
      </c>
      <c r="S22" s="299">
        <f t="shared" si="0"/>
        <v>2429.17</v>
      </c>
      <c r="T22" s="300">
        <f t="shared" si="5"/>
        <v>5863</v>
      </c>
      <c r="U22" s="300">
        <f t="shared" si="6"/>
        <v>0.41432201944397068</v>
      </c>
      <c r="V22" s="288">
        <v>11.51</v>
      </c>
      <c r="W22" s="301">
        <v>20.37</v>
      </c>
      <c r="X22" s="271"/>
      <c r="Y22" s="301">
        <v>124.48</v>
      </c>
      <c r="Z22" s="283"/>
      <c r="AA22" s="379"/>
      <c r="AB22" s="301"/>
      <c r="AC22" s="301"/>
      <c r="AD22" s="301"/>
      <c r="AE22" s="301"/>
      <c r="AF22" s="301"/>
      <c r="AG22" s="301"/>
      <c r="AH22" s="301">
        <v>153</v>
      </c>
      <c r="AI22" s="301"/>
      <c r="AJ22" s="377">
        <f t="shared" si="4"/>
        <v>309.36</v>
      </c>
      <c r="AK22" s="292"/>
      <c r="AL22" s="293"/>
      <c r="AM22" s="302"/>
      <c r="AN22" s="309"/>
      <c r="AO22" s="309"/>
      <c r="AP22" s="309"/>
      <c r="AQ22" s="310"/>
      <c r="AR22" s="294">
        <f t="shared" si="2"/>
        <v>2738.53</v>
      </c>
      <c r="AS22" s="303">
        <f t="shared" si="9"/>
        <v>0</v>
      </c>
      <c r="AT22" s="393">
        <f t="shared" si="7"/>
        <v>34967.29000000003</v>
      </c>
    </row>
    <row r="23" spans="1:46" ht="14.25">
      <c r="A23" s="296">
        <v>43751</v>
      </c>
      <c r="B23" s="311">
        <v>0.39</v>
      </c>
      <c r="C23" s="297">
        <f t="shared" si="8"/>
        <v>32228.760000000031</v>
      </c>
      <c r="D23" s="305"/>
      <c r="E23" s="407"/>
      <c r="F23" s="306"/>
      <c r="G23" s="283">
        <v>810.68</v>
      </c>
      <c r="H23" s="301">
        <v>521.04</v>
      </c>
      <c r="I23" s="307"/>
      <c r="J23" s="283"/>
      <c r="K23" s="283">
        <v>594.41999999999996</v>
      </c>
      <c r="L23" s="412">
        <v>323.39</v>
      </c>
      <c r="M23" s="411">
        <v>2040</v>
      </c>
      <c r="N23" s="285">
        <v>1332</v>
      </c>
      <c r="O23" s="285"/>
      <c r="P23" s="285"/>
      <c r="Q23" s="285">
        <v>1412</v>
      </c>
      <c r="R23" s="285">
        <v>936</v>
      </c>
      <c r="S23" s="299">
        <f t="shared" si="0"/>
        <v>2249.5299999999997</v>
      </c>
      <c r="T23" s="300">
        <f t="shared" si="5"/>
        <v>5720</v>
      </c>
      <c r="U23" s="300">
        <f t="shared" si="6"/>
        <v>0.39327447552447548</v>
      </c>
      <c r="V23" s="288">
        <v>49.4</v>
      </c>
      <c r="W23" s="301"/>
      <c r="X23" s="271">
        <v>14.38</v>
      </c>
      <c r="Y23" s="301"/>
      <c r="Z23" s="283"/>
      <c r="AA23" s="379"/>
      <c r="AB23" s="301"/>
      <c r="AC23" s="301"/>
      <c r="AD23" s="301"/>
      <c r="AE23" s="301"/>
      <c r="AF23" s="301"/>
      <c r="AG23" s="301"/>
      <c r="AH23" s="301"/>
      <c r="AI23" s="301"/>
      <c r="AJ23" s="377">
        <f t="shared" si="4"/>
        <v>63.78</v>
      </c>
      <c r="AK23" s="292"/>
      <c r="AL23" s="292"/>
      <c r="AM23" s="292"/>
      <c r="AN23" s="292"/>
      <c r="AO23" s="292"/>
      <c r="AP23" s="292"/>
      <c r="AQ23" s="292"/>
      <c r="AR23" s="294">
        <f t="shared" si="2"/>
        <v>2313.31</v>
      </c>
      <c r="AS23" s="303">
        <f t="shared" si="9"/>
        <v>0</v>
      </c>
      <c r="AT23" s="393">
        <f t="shared" si="7"/>
        <v>32228.760000000031</v>
      </c>
    </row>
    <row r="24" spans="1:46" ht="14.25">
      <c r="A24" s="296">
        <v>43752</v>
      </c>
      <c r="B24" s="311">
        <v>0.63600000000000001</v>
      </c>
      <c r="C24" s="297">
        <f t="shared" si="8"/>
        <v>29915.45000000003</v>
      </c>
      <c r="D24" s="305"/>
      <c r="E24" s="407">
        <v>18000</v>
      </c>
      <c r="F24" s="306"/>
      <c r="G24" s="283">
        <v>547.53</v>
      </c>
      <c r="H24" s="301">
        <v>388.41</v>
      </c>
      <c r="I24" s="307"/>
      <c r="J24" s="283"/>
      <c r="K24" s="283">
        <v>374.1</v>
      </c>
      <c r="L24" s="412">
        <v>1114.43</v>
      </c>
      <c r="M24" s="411">
        <v>1473</v>
      </c>
      <c r="N24" s="411">
        <v>1217</v>
      </c>
      <c r="O24" s="285"/>
      <c r="P24" s="285"/>
      <c r="Q24" s="285">
        <v>936</v>
      </c>
      <c r="R24" s="285">
        <v>2569</v>
      </c>
      <c r="S24" s="299">
        <f t="shared" si="0"/>
        <v>2424.4700000000003</v>
      </c>
      <c r="T24" s="300">
        <f t="shared" si="5"/>
        <v>6195</v>
      </c>
      <c r="U24" s="300">
        <f t="shared" si="6"/>
        <v>0.39135916061339793</v>
      </c>
      <c r="V24" s="288"/>
      <c r="W24" s="301">
        <v>28.08</v>
      </c>
      <c r="X24" s="271">
        <v>32.22</v>
      </c>
      <c r="Y24" s="301"/>
      <c r="Z24" s="283"/>
      <c r="AA24" s="379"/>
      <c r="AB24" s="301"/>
      <c r="AC24" s="301">
        <v>65.5</v>
      </c>
      <c r="AD24" s="301"/>
      <c r="AE24" s="301"/>
      <c r="AF24" s="301"/>
      <c r="AG24" s="301"/>
      <c r="AH24" s="301">
        <v>121</v>
      </c>
      <c r="AI24" s="301"/>
      <c r="AJ24" s="377">
        <f t="shared" si="4"/>
        <v>246.8</v>
      </c>
      <c r="AK24" s="292"/>
      <c r="AL24" s="292"/>
      <c r="AM24" s="292"/>
      <c r="AN24" s="292"/>
      <c r="AO24" s="292"/>
      <c r="AP24" s="292"/>
      <c r="AQ24" s="292"/>
      <c r="AR24" s="294">
        <f t="shared" si="2"/>
        <v>2671.2700000000004</v>
      </c>
      <c r="AS24" s="303">
        <f t="shared" si="9"/>
        <v>0</v>
      </c>
      <c r="AT24" s="393">
        <f t="shared" si="7"/>
        <v>29915.45000000003</v>
      </c>
    </row>
    <row r="25" spans="1:46" ht="14.25">
      <c r="A25" s="296">
        <v>43753</v>
      </c>
      <c r="B25" s="311">
        <v>0.84399999999999997</v>
      </c>
      <c r="C25" s="297">
        <f t="shared" si="8"/>
        <v>42244.180000000029</v>
      </c>
      <c r="D25" s="305">
        <v>15000</v>
      </c>
      <c r="E25" s="407"/>
      <c r="F25" s="306"/>
      <c r="G25" s="283">
        <v>723.66</v>
      </c>
      <c r="H25" s="301">
        <v>660.49</v>
      </c>
      <c r="I25" s="307"/>
      <c r="J25" s="283"/>
      <c r="K25" s="283">
        <v>693.33</v>
      </c>
      <c r="L25" s="412">
        <v>594.83000000000004</v>
      </c>
      <c r="M25" s="411">
        <v>1738</v>
      </c>
      <c r="N25" s="285">
        <v>1782</v>
      </c>
      <c r="O25" s="285"/>
      <c r="P25" s="285"/>
      <c r="Q25" s="285">
        <v>1415</v>
      </c>
      <c r="R25" s="285">
        <v>1515</v>
      </c>
      <c r="S25" s="299">
        <f t="shared" si="0"/>
        <v>2672.31</v>
      </c>
      <c r="T25" s="300">
        <f t="shared" si="5"/>
        <v>6450</v>
      </c>
      <c r="U25" s="300">
        <f t="shared" si="6"/>
        <v>0.41431162790697673</v>
      </c>
      <c r="V25" s="288"/>
      <c r="W25" s="301"/>
      <c r="X25" s="271">
        <v>16.25</v>
      </c>
      <c r="Y25" s="301"/>
      <c r="Z25" s="283">
        <v>25.31</v>
      </c>
      <c r="AA25" s="379"/>
      <c r="AB25" s="301"/>
      <c r="AC25" s="301"/>
      <c r="AD25" s="301"/>
      <c r="AE25" s="301"/>
      <c r="AF25" s="301"/>
      <c r="AG25" s="301"/>
      <c r="AH25" s="301"/>
      <c r="AI25" s="301">
        <v>39</v>
      </c>
      <c r="AJ25" s="377">
        <f t="shared" si="4"/>
        <v>80.56</v>
      </c>
      <c r="AK25" s="292"/>
      <c r="AL25" s="292"/>
      <c r="AM25" s="292"/>
      <c r="AN25" s="292"/>
      <c r="AO25" s="292"/>
      <c r="AP25" s="292"/>
      <c r="AQ25" s="292"/>
      <c r="AR25" s="294">
        <f t="shared" si="2"/>
        <v>2752.87</v>
      </c>
      <c r="AS25" s="303">
        <f t="shared" si="9"/>
        <v>0</v>
      </c>
      <c r="AT25" s="393">
        <f t="shared" si="7"/>
        <v>42244.180000000029</v>
      </c>
    </row>
    <row r="26" spans="1:46" ht="14.25">
      <c r="A26" s="296">
        <v>43754</v>
      </c>
      <c r="B26" s="311">
        <v>0.81799999999999995</v>
      </c>
      <c r="C26" s="297">
        <f t="shared" si="8"/>
        <v>39491.310000000027</v>
      </c>
      <c r="D26" s="305"/>
      <c r="E26" s="407"/>
      <c r="F26" s="306"/>
      <c r="G26" s="283">
        <v>680.43</v>
      </c>
      <c r="H26" s="301">
        <v>413.85</v>
      </c>
      <c r="I26" s="307"/>
      <c r="J26" s="283">
        <v>185.08</v>
      </c>
      <c r="K26" s="283">
        <v>696.2</v>
      </c>
      <c r="L26" s="412">
        <v>766.14</v>
      </c>
      <c r="M26" s="411">
        <v>1759</v>
      </c>
      <c r="N26" s="285">
        <v>1158</v>
      </c>
      <c r="O26" s="285"/>
      <c r="P26" s="285">
        <v>283</v>
      </c>
      <c r="Q26" s="285">
        <v>1739</v>
      </c>
      <c r="R26" s="285">
        <v>1976</v>
      </c>
      <c r="S26" s="299">
        <f t="shared" si="0"/>
        <v>2741.7</v>
      </c>
      <c r="T26" s="300">
        <f t="shared" si="5"/>
        <v>6915</v>
      </c>
      <c r="U26" s="300">
        <f t="shared" si="6"/>
        <v>0.39648590021691971</v>
      </c>
      <c r="V26" s="288"/>
      <c r="W26" s="301"/>
      <c r="X26" s="271"/>
      <c r="Y26" s="301"/>
      <c r="Z26" s="301"/>
      <c r="AA26" s="379"/>
      <c r="AB26" s="301"/>
      <c r="AC26" s="301"/>
      <c r="AD26" s="301"/>
      <c r="AE26" s="301"/>
      <c r="AF26" s="301">
        <v>45.32</v>
      </c>
      <c r="AG26" s="301"/>
      <c r="AH26" s="301"/>
      <c r="AI26" s="301">
        <v>22</v>
      </c>
      <c r="AJ26" s="377">
        <f t="shared" si="4"/>
        <v>67.319999999999993</v>
      </c>
      <c r="AK26" s="292"/>
      <c r="AL26" s="292"/>
      <c r="AM26" s="292"/>
      <c r="AN26" s="292"/>
      <c r="AO26" s="292"/>
      <c r="AP26" s="292"/>
      <c r="AQ26" s="292"/>
      <c r="AR26" s="294">
        <f t="shared" si="2"/>
        <v>2809.02</v>
      </c>
      <c r="AS26" s="303">
        <f t="shared" si="9"/>
        <v>0</v>
      </c>
      <c r="AT26" s="393">
        <f t="shared" si="7"/>
        <v>39491.310000000027</v>
      </c>
    </row>
    <row r="27" spans="1:46" ht="14.25">
      <c r="A27" s="296">
        <v>43755</v>
      </c>
      <c r="B27" s="311">
        <v>0.20799999999999999</v>
      </c>
      <c r="C27" s="297">
        <f t="shared" si="8"/>
        <v>36682.29000000003</v>
      </c>
      <c r="D27" s="305"/>
      <c r="E27" s="407"/>
      <c r="F27" s="306"/>
      <c r="G27" s="283">
        <v>465.56</v>
      </c>
      <c r="H27" s="301">
        <v>434.75</v>
      </c>
      <c r="I27" s="307"/>
      <c r="J27" s="283">
        <v>358</v>
      </c>
      <c r="K27" s="283">
        <v>200.61</v>
      </c>
      <c r="L27" s="412">
        <v>862.19</v>
      </c>
      <c r="M27" s="411">
        <v>1188</v>
      </c>
      <c r="N27" s="285">
        <v>1138</v>
      </c>
      <c r="O27" s="285"/>
      <c r="P27" s="285">
        <v>934</v>
      </c>
      <c r="Q27" s="285">
        <v>469</v>
      </c>
      <c r="R27" s="285">
        <v>2233</v>
      </c>
      <c r="S27" s="299">
        <f t="shared" si="0"/>
        <v>2321.11</v>
      </c>
      <c r="T27" s="300">
        <f t="shared" si="5"/>
        <v>5962</v>
      </c>
      <c r="U27" s="300">
        <f t="shared" si="6"/>
        <v>0.38931734317343175</v>
      </c>
      <c r="V27" s="288"/>
      <c r="W27" s="301"/>
      <c r="X27" s="271">
        <v>57.69</v>
      </c>
      <c r="Y27" s="301">
        <v>81.209999999999994</v>
      </c>
      <c r="Z27" s="283"/>
      <c r="AA27" s="379"/>
      <c r="AB27" s="301"/>
      <c r="AC27" s="301"/>
      <c r="AD27" s="301"/>
      <c r="AE27" s="301"/>
      <c r="AF27" s="301"/>
      <c r="AG27" s="301"/>
      <c r="AH27" s="301">
        <v>249</v>
      </c>
      <c r="AI27" s="301">
        <v>210</v>
      </c>
      <c r="AJ27" s="377">
        <f t="shared" si="4"/>
        <v>597.9</v>
      </c>
      <c r="AK27" s="292"/>
      <c r="AL27" s="292"/>
      <c r="AM27" s="292"/>
      <c r="AN27" s="292"/>
      <c r="AO27" s="292"/>
      <c r="AP27" s="292"/>
      <c r="AQ27" s="292"/>
      <c r="AR27" s="294">
        <f t="shared" si="2"/>
        <v>2919.01</v>
      </c>
      <c r="AS27" s="303">
        <f t="shared" si="9"/>
        <v>0</v>
      </c>
      <c r="AT27" s="393">
        <f t="shared" si="7"/>
        <v>36682.29000000003</v>
      </c>
    </row>
    <row r="28" spans="1:46" ht="14.25">
      <c r="A28" s="296">
        <v>43756</v>
      </c>
      <c r="B28" s="311">
        <v>0.221</v>
      </c>
      <c r="C28" s="297">
        <f>SUM(C27-AR27+D28)</f>
        <v>33763.280000000028</v>
      </c>
      <c r="D28" s="305"/>
      <c r="E28" s="407"/>
      <c r="F28" s="282"/>
      <c r="G28" s="283">
        <v>313.89999999999998</v>
      </c>
      <c r="H28" s="301">
        <v>567.41</v>
      </c>
      <c r="I28" s="284"/>
      <c r="J28" s="283">
        <v>413.78</v>
      </c>
      <c r="K28" s="283">
        <v>262.55</v>
      </c>
      <c r="L28" s="412">
        <v>647.20000000000005</v>
      </c>
      <c r="M28" s="411">
        <v>759</v>
      </c>
      <c r="N28" s="285">
        <v>1359</v>
      </c>
      <c r="O28" s="285"/>
      <c r="P28" s="285">
        <v>1047</v>
      </c>
      <c r="Q28" s="285">
        <v>590</v>
      </c>
      <c r="R28" s="285">
        <v>1502</v>
      </c>
      <c r="S28" s="299">
        <f t="shared" si="0"/>
        <v>2204.84</v>
      </c>
      <c r="T28" s="300">
        <f t="shared" si="5"/>
        <v>5257</v>
      </c>
      <c r="U28" s="300">
        <f t="shared" si="6"/>
        <v>0.41941031006277346</v>
      </c>
      <c r="V28" s="288"/>
      <c r="W28" s="301"/>
      <c r="X28" s="271">
        <v>39.08</v>
      </c>
      <c r="Y28" s="301"/>
      <c r="Z28" s="283">
        <v>66.650000000000006</v>
      </c>
      <c r="AA28" s="379"/>
      <c r="AB28" s="301"/>
      <c r="AC28" s="301"/>
      <c r="AD28" s="301"/>
      <c r="AE28" s="301"/>
      <c r="AF28" s="301"/>
      <c r="AG28" s="301"/>
      <c r="AH28" s="301">
        <v>122</v>
      </c>
      <c r="AI28" s="301"/>
      <c r="AJ28" s="377">
        <f>SUM(V28:AI28)</f>
        <v>227.73000000000002</v>
      </c>
      <c r="AK28" s="292"/>
      <c r="AL28" s="292"/>
      <c r="AM28" s="292"/>
      <c r="AN28" s="292"/>
      <c r="AO28" s="292"/>
      <c r="AP28" s="292"/>
      <c r="AQ28" s="292"/>
      <c r="AR28" s="294">
        <f t="shared" si="2"/>
        <v>2432.5700000000002</v>
      </c>
      <c r="AS28" s="303">
        <f t="shared" si="9"/>
        <v>0</v>
      </c>
      <c r="AT28" s="393">
        <f t="shared" si="7"/>
        <v>33763.280000000028</v>
      </c>
    </row>
    <row r="29" spans="1:46" ht="14.25">
      <c r="A29" s="296">
        <v>43757</v>
      </c>
      <c r="B29" s="311">
        <v>0.11700000000000001</v>
      </c>
      <c r="C29" s="297">
        <f t="shared" si="8"/>
        <v>31330.710000000028</v>
      </c>
      <c r="D29" s="305"/>
      <c r="E29" s="407"/>
      <c r="F29" s="282"/>
      <c r="G29" s="283">
        <v>424.23</v>
      </c>
      <c r="H29" s="301">
        <v>286.64</v>
      </c>
      <c r="I29" s="284"/>
      <c r="J29" s="283">
        <v>335.22</v>
      </c>
      <c r="K29" s="283">
        <v>363.43</v>
      </c>
      <c r="L29" s="412">
        <v>435.66</v>
      </c>
      <c r="M29" s="411">
        <v>1198</v>
      </c>
      <c r="N29" s="285">
        <v>725</v>
      </c>
      <c r="O29" s="285"/>
      <c r="P29" s="285">
        <v>828</v>
      </c>
      <c r="Q29" s="285">
        <v>814</v>
      </c>
      <c r="R29" s="285">
        <v>1126</v>
      </c>
      <c r="S29" s="299">
        <f t="shared" si="0"/>
        <v>1845.1800000000003</v>
      </c>
      <c r="T29" s="300">
        <f>SUM(M29:R29)</f>
        <v>4691</v>
      </c>
      <c r="U29" s="300">
        <f t="shared" si="6"/>
        <v>0.3933447026220423</v>
      </c>
      <c r="V29" s="288"/>
      <c r="W29" s="301"/>
      <c r="X29" s="271">
        <v>22.47</v>
      </c>
      <c r="Y29" s="301"/>
      <c r="Z29" s="283">
        <v>25.82</v>
      </c>
      <c r="AA29" s="379"/>
      <c r="AB29" s="301"/>
      <c r="AC29" s="301"/>
      <c r="AD29" s="301"/>
      <c r="AE29" s="301"/>
      <c r="AF29" s="301"/>
      <c r="AG29" s="301"/>
      <c r="AH29" s="301">
        <v>40</v>
      </c>
      <c r="AI29" s="301"/>
      <c r="AJ29" s="377">
        <f t="shared" si="4"/>
        <v>88.289999999999992</v>
      </c>
      <c r="AK29" s="292"/>
      <c r="AL29" s="292"/>
      <c r="AM29" s="292"/>
      <c r="AN29" s="292"/>
      <c r="AO29" s="292"/>
      <c r="AP29" s="292"/>
      <c r="AQ29" s="292"/>
      <c r="AR29" s="294">
        <f t="shared" si="2"/>
        <v>1933.4700000000003</v>
      </c>
      <c r="AS29" s="303">
        <f t="shared" si="9"/>
        <v>0</v>
      </c>
      <c r="AT29" s="393">
        <f t="shared" si="7"/>
        <v>31330.710000000028</v>
      </c>
    </row>
    <row r="30" spans="1:46" ht="14.25">
      <c r="A30" s="296">
        <v>43758</v>
      </c>
      <c r="B30" s="311">
        <v>0.57099999999999995</v>
      </c>
      <c r="C30" s="297">
        <f t="shared" si="8"/>
        <v>29397.240000000027</v>
      </c>
      <c r="D30" s="305"/>
      <c r="E30" s="407"/>
      <c r="F30" s="282"/>
      <c r="G30" s="283">
        <v>540.28</v>
      </c>
      <c r="H30" s="301">
        <v>428.27</v>
      </c>
      <c r="I30" s="284">
        <v>600</v>
      </c>
      <c r="J30" s="283">
        <v>458.66</v>
      </c>
      <c r="K30" s="283">
        <v>381.62</v>
      </c>
      <c r="L30" s="412">
        <v>388.18</v>
      </c>
      <c r="M30" s="411">
        <v>1229</v>
      </c>
      <c r="N30" s="285">
        <v>1147</v>
      </c>
      <c r="O30" s="285"/>
      <c r="P30" s="285">
        <v>1157</v>
      </c>
      <c r="Q30" s="285">
        <v>1119</v>
      </c>
      <c r="R30" s="285">
        <v>1060</v>
      </c>
      <c r="S30" s="299">
        <f t="shared" si="0"/>
        <v>2797.0099999999998</v>
      </c>
      <c r="T30" s="300">
        <f t="shared" si="5"/>
        <v>5712</v>
      </c>
      <c r="U30" s="300">
        <f t="shared" si="6"/>
        <v>0.489672619047619</v>
      </c>
      <c r="V30" s="288"/>
      <c r="W30" s="301"/>
      <c r="X30" s="271">
        <v>40.92</v>
      </c>
      <c r="Y30" s="301"/>
      <c r="Z30" s="283"/>
      <c r="AA30" s="379"/>
      <c r="AB30" s="301"/>
      <c r="AC30" s="301"/>
      <c r="AD30" s="301"/>
      <c r="AE30" s="301"/>
      <c r="AF30" s="301"/>
      <c r="AG30" s="301"/>
      <c r="AH30" s="301">
        <v>143</v>
      </c>
      <c r="AI30" s="301"/>
      <c r="AJ30" s="377">
        <f t="shared" si="4"/>
        <v>183.92000000000002</v>
      </c>
      <c r="AK30" s="292"/>
      <c r="AL30" s="292"/>
      <c r="AM30" s="292"/>
      <c r="AN30" s="292"/>
      <c r="AO30" s="292"/>
      <c r="AP30" s="292"/>
      <c r="AQ30" s="292"/>
      <c r="AR30" s="294">
        <f t="shared" si="2"/>
        <v>2980.93</v>
      </c>
      <c r="AS30" s="303">
        <f t="shared" si="9"/>
        <v>0</v>
      </c>
      <c r="AT30" s="393">
        <f t="shared" si="7"/>
        <v>29397.240000000027</v>
      </c>
    </row>
    <row r="31" spans="1:46" ht="14.25">
      <c r="A31" s="296">
        <v>43759</v>
      </c>
      <c r="B31" s="311">
        <v>0.55800000000000005</v>
      </c>
      <c r="C31" s="297">
        <f t="shared" si="8"/>
        <v>41416.310000000027</v>
      </c>
      <c r="D31" s="305">
        <v>15000</v>
      </c>
      <c r="E31" s="407">
        <v>15000</v>
      </c>
      <c r="F31" s="282"/>
      <c r="G31" s="283">
        <v>750.48</v>
      </c>
      <c r="H31" s="301">
        <v>379.46</v>
      </c>
      <c r="I31" s="284"/>
      <c r="J31" s="283">
        <v>381.39</v>
      </c>
      <c r="K31" s="283">
        <v>334.72</v>
      </c>
      <c r="L31" s="412">
        <v>416.11</v>
      </c>
      <c r="M31" s="411">
        <v>1499</v>
      </c>
      <c r="N31" s="285">
        <v>1029</v>
      </c>
      <c r="O31" s="285"/>
      <c r="P31" s="285">
        <v>969</v>
      </c>
      <c r="Q31" s="285">
        <v>1399</v>
      </c>
      <c r="R31" s="285">
        <v>1045</v>
      </c>
      <c r="S31" s="299">
        <f t="shared" si="0"/>
        <v>2262.16</v>
      </c>
      <c r="T31" s="300">
        <f t="shared" si="5"/>
        <v>5941</v>
      </c>
      <c r="U31" s="300">
        <f t="shared" si="6"/>
        <v>0.38077091398754415</v>
      </c>
      <c r="V31" s="288"/>
      <c r="W31" s="301">
        <v>69.87</v>
      </c>
      <c r="X31" s="271">
        <v>17.66</v>
      </c>
      <c r="Y31" s="301"/>
      <c r="Z31" s="283">
        <v>35.840000000000003</v>
      </c>
      <c r="AA31" s="379"/>
      <c r="AB31" s="301"/>
      <c r="AC31" s="301">
        <v>48.68</v>
      </c>
      <c r="AD31" s="301"/>
      <c r="AE31" s="301"/>
      <c r="AF31" s="301"/>
      <c r="AG31" s="301"/>
      <c r="AH31" s="301"/>
      <c r="AI31" s="301"/>
      <c r="AJ31" s="377">
        <f t="shared" si="4"/>
        <v>172.05</v>
      </c>
      <c r="AK31" s="292"/>
      <c r="AL31" s="292"/>
      <c r="AM31" s="292"/>
      <c r="AN31" s="292"/>
      <c r="AO31" s="292"/>
      <c r="AP31" s="292"/>
      <c r="AQ31" s="292"/>
      <c r="AR31" s="294">
        <f t="shared" si="2"/>
        <v>2434.21</v>
      </c>
      <c r="AS31" s="303">
        <f t="shared" si="9"/>
        <v>0</v>
      </c>
      <c r="AT31" s="393">
        <f t="shared" si="7"/>
        <v>41416.310000000027</v>
      </c>
    </row>
    <row r="32" spans="1:46" ht="14.25">
      <c r="A32" s="296">
        <v>43760</v>
      </c>
      <c r="B32" s="311">
        <v>0.40300000000000002</v>
      </c>
      <c r="C32" s="297">
        <f t="shared" si="8"/>
        <v>38982.100000000028</v>
      </c>
      <c r="D32" s="305"/>
      <c r="E32" s="407"/>
      <c r="F32" s="282"/>
      <c r="G32" s="283">
        <v>392.41</v>
      </c>
      <c r="H32" s="301">
        <v>714.75</v>
      </c>
      <c r="I32" s="284"/>
      <c r="J32" s="283">
        <v>471.63</v>
      </c>
      <c r="K32" s="283">
        <v>284.99</v>
      </c>
      <c r="L32" s="412">
        <v>423.08</v>
      </c>
      <c r="M32" s="411">
        <v>873</v>
      </c>
      <c r="N32" s="285">
        <v>1453</v>
      </c>
      <c r="O32" s="285"/>
      <c r="P32" s="285">
        <v>1238</v>
      </c>
      <c r="Q32" s="285">
        <v>511</v>
      </c>
      <c r="R32" s="285">
        <v>1325</v>
      </c>
      <c r="S32" s="299">
        <f t="shared" si="0"/>
        <v>2286.86</v>
      </c>
      <c r="T32" s="300">
        <f t="shared" si="5"/>
        <v>5400</v>
      </c>
      <c r="U32" s="300">
        <f t="shared" si="6"/>
        <v>0.42349259259259264</v>
      </c>
      <c r="V32" s="288"/>
      <c r="W32" s="301"/>
      <c r="X32" s="271">
        <v>18.63</v>
      </c>
      <c r="Y32" s="301"/>
      <c r="Z32" s="283"/>
      <c r="AA32" s="379"/>
      <c r="AB32" s="301"/>
      <c r="AC32" s="301"/>
      <c r="AD32" s="301"/>
      <c r="AE32" s="301"/>
      <c r="AF32" s="301"/>
      <c r="AG32" s="301"/>
      <c r="AH32" s="301"/>
      <c r="AI32" s="301"/>
      <c r="AJ32" s="377">
        <f t="shared" si="4"/>
        <v>18.63</v>
      </c>
      <c r="AK32" s="292"/>
      <c r="AL32" s="292"/>
      <c r="AM32" s="292"/>
      <c r="AN32" s="292"/>
      <c r="AO32" s="292"/>
      <c r="AP32" s="292"/>
      <c r="AQ32" s="292"/>
      <c r="AR32" s="294">
        <f t="shared" si="2"/>
        <v>2305.4900000000002</v>
      </c>
      <c r="AS32" s="303">
        <f t="shared" si="9"/>
        <v>0</v>
      </c>
      <c r="AT32" s="393">
        <f t="shared" si="7"/>
        <v>38982.100000000028</v>
      </c>
    </row>
    <row r="33" spans="1:47" ht="14.25">
      <c r="A33" s="296">
        <v>43761</v>
      </c>
      <c r="B33" s="311">
        <v>0.24</v>
      </c>
      <c r="C33" s="297">
        <f t="shared" si="8"/>
        <v>36676.61000000003</v>
      </c>
      <c r="D33" s="305"/>
      <c r="E33" s="407"/>
      <c r="F33" s="282"/>
      <c r="G33" s="283">
        <v>659.46</v>
      </c>
      <c r="H33" s="301">
        <v>372.64</v>
      </c>
      <c r="I33" s="284"/>
      <c r="J33" s="283">
        <v>394.2</v>
      </c>
      <c r="K33" s="283">
        <v>365.55</v>
      </c>
      <c r="L33" s="412">
        <v>356.45</v>
      </c>
      <c r="M33" s="411">
        <v>1346</v>
      </c>
      <c r="N33" s="285">
        <v>857</v>
      </c>
      <c r="O33" s="285"/>
      <c r="P33" s="285">
        <v>968</v>
      </c>
      <c r="Q33" s="285">
        <v>1224</v>
      </c>
      <c r="R33" s="285">
        <v>976</v>
      </c>
      <c r="S33" s="299">
        <f t="shared" si="0"/>
        <v>2148.2999999999997</v>
      </c>
      <c r="T33" s="300">
        <f>SUM(M33:R33)</f>
        <v>5371</v>
      </c>
      <c r="U33" s="300">
        <f t="shared" si="6"/>
        <v>0.39998138149320417</v>
      </c>
      <c r="V33" s="288"/>
      <c r="W33" s="301"/>
      <c r="X33" s="271"/>
      <c r="Y33" s="301"/>
      <c r="Z33" s="283">
        <v>21.33</v>
      </c>
      <c r="AA33" s="379"/>
      <c r="AB33" s="301"/>
      <c r="AC33" s="301">
        <v>30.67</v>
      </c>
      <c r="AD33" s="301"/>
      <c r="AE33" s="301"/>
      <c r="AF33" s="301"/>
      <c r="AG33" s="301"/>
      <c r="AH33" s="301">
        <v>66</v>
      </c>
      <c r="AI33" s="301">
        <v>193.34</v>
      </c>
      <c r="AJ33" s="377">
        <f t="shared" si="4"/>
        <v>311.34000000000003</v>
      </c>
      <c r="AK33" s="292"/>
      <c r="AL33" s="292"/>
      <c r="AM33" s="292"/>
      <c r="AN33" s="292"/>
      <c r="AO33" s="292"/>
      <c r="AP33" s="292"/>
      <c r="AQ33" s="292"/>
      <c r="AR33" s="294">
        <f t="shared" si="2"/>
        <v>2459.64</v>
      </c>
      <c r="AS33" s="303">
        <f t="shared" si="9"/>
        <v>0</v>
      </c>
      <c r="AT33" s="393">
        <f t="shared" si="7"/>
        <v>36676.61000000003</v>
      </c>
      <c r="AU33" s="249">
        <f t="shared" ref="AU33:AU41" si="10">SUM(AU32)</f>
        <v>0</v>
      </c>
    </row>
    <row r="34" spans="1:47" ht="14.25">
      <c r="A34" s="296">
        <v>43762</v>
      </c>
      <c r="B34" s="311">
        <v>0.09</v>
      </c>
      <c r="C34" s="297">
        <f t="shared" si="8"/>
        <v>44216.97000000003</v>
      </c>
      <c r="D34" s="305">
        <v>10000</v>
      </c>
      <c r="E34" s="407"/>
      <c r="F34" s="282"/>
      <c r="G34" s="283">
        <v>590.80999999999995</v>
      </c>
      <c r="H34" s="301">
        <v>373.45</v>
      </c>
      <c r="I34" s="284"/>
      <c r="J34" s="283">
        <v>353.12</v>
      </c>
      <c r="K34" s="283">
        <v>465.7</v>
      </c>
      <c r="L34" s="412">
        <v>330.19</v>
      </c>
      <c r="M34" s="411">
        <v>1499</v>
      </c>
      <c r="N34" s="285">
        <v>917</v>
      </c>
      <c r="O34" s="285"/>
      <c r="P34" s="285">
        <v>813</v>
      </c>
      <c r="Q34" s="285">
        <v>1161</v>
      </c>
      <c r="R34" s="285">
        <v>906</v>
      </c>
      <c r="S34" s="299">
        <f t="shared" si="0"/>
        <v>2113.27</v>
      </c>
      <c r="T34" s="300">
        <f t="shared" si="5"/>
        <v>5296</v>
      </c>
      <c r="U34" s="300">
        <f t="shared" si="6"/>
        <v>0.39903134441087612</v>
      </c>
      <c r="V34" s="288"/>
      <c r="W34" s="301">
        <v>70.069999999999993</v>
      </c>
      <c r="X34" s="271"/>
      <c r="Y34" s="301"/>
      <c r="Z34" s="283">
        <v>28.63</v>
      </c>
      <c r="AA34" s="379"/>
      <c r="AB34" s="301"/>
      <c r="AC34" s="301"/>
      <c r="AD34" s="301"/>
      <c r="AE34" s="301"/>
      <c r="AF34" s="301"/>
      <c r="AG34" s="301"/>
      <c r="AH34" s="301">
        <v>103</v>
      </c>
      <c r="AI34" s="301">
        <v>179</v>
      </c>
      <c r="AJ34" s="377">
        <f t="shared" si="4"/>
        <v>380.7</v>
      </c>
      <c r="AK34" s="292"/>
      <c r="AL34" s="292"/>
      <c r="AM34" s="292"/>
      <c r="AN34" s="292"/>
      <c r="AO34" s="292"/>
      <c r="AP34" s="292"/>
      <c r="AQ34" s="292"/>
      <c r="AR34" s="294">
        <f t="shared" si="2"/>
        <v>2493.9699999999998</v>
      </c>
      <c r="AS34" s="303">
        <f t="shared" si="9"/>
        <v>0</v>
      </c>
      <c r="AT34" s="393">
        <f t="shared" si="7"/>
        <v>44216.97000000003</v>
      </c>
      <c r="AU34" s="249">
        <f t="shared" si="10"/>
        <v>0</v>
      </c>
    </row>
    <row r="35" spans="1:47" ht="14.25">
      <c r="A35" s="296">
        <v>43763</v>
      </c>
      <c r="B35" s="311">
        <v>0.28599999999999998</v>
      </c>
      <c r="C35" s="297">
        <f t="shared" si="8"/>
        <v>41723.000000000029</v>
      </c>
      <c r="D35" s="305"/>
      <c r="E35" s="407"/>
      <c r="F35" s="282"/>
      <c r="G35" s="283">
        <v>568.33000000000004</v>
      </c>
      <c r="H35" s="301">
        <v>356.81</v>
      </c>
      <c r="I35" s="284"/>
      <c r="J35" s="283">
        <v>339.75</v>
      </c>
      <c r="K35" s="283">
        <v>364.91</v>
      </c>
      <c r="L35" s="412">
        <v>474.72</v>
      </c>
      <c r="M35" s="411">
        <v>1365</v>
      </c>
      <c r="N35" s="285">
        <v>872</v>
      </c>
      <c r="O35" s="285"/>
      <c r="P35" s="285">
        <v>866</v>
      </c>
      <c r="Q35" s="285">
        <v>864</v>
      </c>
      <c r="R35" s="285">
        <v>1254</v>
      </c>
      <c r="S35" s="299">
        <f t="shared" si="0"/>
        <v>2104.5200000000004</v>
      </c>
      <c r="T35" s="300">
        <f t="shared" si="5"/>
        <v>5221</v>
      </c>
      <c r="U35" s="300">
        <f t="shared" si="6"/>
        <v>0.40308753112430579</v>
      </c>
      <c r="V35" s="288"/>
      <c r="W35" s="301"/>
      <c r="X35" s="271">
        <v>37.659999999999997</v>
      </c>
      <c r="Y35" s="301">
        <v>29.16</v>
      </c>
      <c r="Z35" s="283">
        <v>18.55</v>
      </c>
      <c r="AA35" s="379"/>
      <c r="AB35" s="301"/>
      <c r="AC35" s="301"/>
      <c r="AD35" s="301"/>
      <c r="AE35" s="301"/>
      <c r="AF35" s="301"/>
      <c r="AG35" s="301"/>
      <c r="AH35" s="301"/>
      <c r="AI35" s="301">
        <v>188</v>
      </c>
      <c r="AJ35" s="377">
        <f t="shared" si="4"/>
        <v>273.37</v>
      </c>
      <c r="AK35" s="292"/>
      <c r="AL35" s="292"/>
      <c r="AM35" s="292"/>
      <c r="AN35" s="292"/>
      <c r="AO35" s="292"/>
      <c r="AP35" s="292"/>
      <c r="AQ35" s="292"/>
      <c r="AR35" s="294">
        <f t="shared" si="2"/>
        <v>2377.8900000000003</v>
      </c>
      <c r="AS35" s="303">
        <f t="shared" si="9"/>
        <v>0</v>
      </c>
      <c r="AT35" s="393">
        <f t="shared" si="7"/>
        <v>41723.000000000029</v>
      </c>
      <c r="AU35" s="249">
        <f t="shared" si="10"/>
        <v>0</v>
      </c>
    </row>
    <row r="36" spans="1:47" ht="14.25">
      <c r="A36" s="296">
        <v>43764</v>
      </c>
      <c r="B36" s="311">
        <v>0.54500000000000004</v>
      </c>
      <c r="C36" s="297">
        <f t="shared" si="8"/>
        <v>39345.11000000003</v>
      </c>
      <c r="D36" s="305"/>
      <c r="E36" s="407"/>
      <c r="F36" s="282"/>
      <c r="G36" s="283">
        <v>375.76</v>
      </c>
      <c r="H36" s="301">
        <v>597.46</v>
      </c>
      <c r="I36" s="284"/>
      <c r="J36" s="283">
        <v>420.31</v>
      </c>
      <c r="K36" s="283">
        <v>616.83000000000004</v>
      </c>
      <c r="L36" s="412">
        <v>459.88</v>
      </c>
      <c r="M36" s="411">
        <v>616</v>
      </c>
      <c r="N36" s="285">
        <v>1549</v>
      </c>
      <c r="O36" s="285"/>
      <c r="P36" s="285">
        <v>1025</v>
      </c>
      <c r="Q36" s="285">
        <v>1469</v>
      </c>
      <c r="R36" s="285">
        <v>1006</v>
      </c>
      <c r="S36" s="299">
        <f t="shared" si="0"/>
        <v>2470.2400000000002</v>
      </c>
      <c r="T36" s="300">
        <f t="shared" si="5"/>
        <v>5665</v>
      </c>
      <c r="U36" s="300">
        <f t="shared" si="6"/>
        <v>0.43605295675198591</v>
      </c>
      <c r="V36" s="288"/>
      <c r="W36" s="301">
        <v>46.4</v>
      </c>
      <c r="X36" s="271">
        <v>9.3800000000000008</v>
      </c>
      <c r="Y36" s="301"/>
      <c r="Z36" s="283"/>
      <c r="AA36" s="379"/>
      <c r="AB36" s="301"/>
      <c r="AC36" s="301"/>
      <c r="AD36" s="301">
        <v>174.05</v>
      </c>
      <c r="AE36" s="301"/>
      <c r="AF36" s="301"/>
      <c r="AG36" s="301"/>
      <c r="AH36" s="301"/>
      <c r="AI36" s="301">
        <v>166.73</v>
      </c>
      <c r="AJ36" s="377">
        <f t="shared" si="4"/>
        <v>396.56</v>
      </c>
      <c r="AK36" s="292"/>
      <c r="AL36" s="292"/>
      <c r="AM36" s="292"/>
      <c r="AN36" s="292"/>
      <c r="AO36" s="292"/>
      <c r="AP36" s="292"/>
      <c r="AQ36" s="292"/>
      <c r="AR36" s="294">
        <f t="shared" si="2"/>
        <v>2866.8</v>
      </c>
      <c r="AS36" s="303">
        <f t="shared" si="9"/>
        <v>0</v>
      </c>
      <c r="AT36" s="393">
        <f t="shared" si="7"/>
        <v>39345.11000000003</v>
      </c>
      <c r="AU36" s="249">
        <f t="shared" si="10"/>
        <v>0</v>
      </c>
    </row>
    <row r="37" spans="1:47" ht="14.25">
      <c r="A37" s="296">
        <v>43765</v>
      </c>
      <c r="B37" s="311">
        <v>0.67500000000000004</v>
      </c>
      <c r="C37" s="297">
        <f t="shared" si="8"/>
        <v>36478.310000000027</v>
      </c>
      <c r="D37" s="305"/>
      <c r="E37" s="407"/>
      <c r="F37" s="282"/>
      <c r="G37" s="283">
        <v>460.53</v>
      </c>
      <c r="H37" s="301">
        <v>486.95</v>
      </c>
      <c r="I37" s="284"/>
      <c r="J37" s="283">
        <v>467.04</v>
      </c>
      <c r="K37" s="283">
        <v>537.99</v>
      </c>
      <c r="L37" s="412">
        <v>371.23</v>
      </c>
      <c r="M37" s="411">
        <v>1000</v>
      </c>
      <c r="N37" s="285">
        <v>1643</v>
      </c>
      <c r="O37" s="285"/>
      <c r="P37" s="285">
        <v>952</v>
      </c>
      <c r="Q37" s="285">
        <v>1561</v>
      </c>
      <c r="R37" s="285">
        <v>953</v>
      </c>
      <c r="S37" s="299">
        <f t="shared" si="0"/>
        <v>2323.7399999999998</v>
      </c>
      <c r="T37" s="300">
        <f t="shared" si="5"/>
        <v>6109</v>
      </c>
      <c r="U37" s="300">
        <f t="shared" si="6"/>
        <v>0.38037976755606479</v>
      </c>
      <c r="V37" s="288">
        <v>80.63</v>
      </c>
      <c r="W37" s="301"/>
      <c r="X37" s="271"/>
      <c r="Y37" s="301"/>
      <c r="Z37" s="283"/>
      <c r="AA37" s="379"/>
      <c r="AB37" s="301"/>
      <c r="AC37" s="301"/>
      <c r="AD37" s="301"/>
      <c r="AE37" s="301"/>
      <c r="AF37" s="301"/>
      <c r="AG37" s="673"/>
      <c r="AH37" s="301"/>
      <c r="AI37" s="571">
        <v>200</v>
      </c>
      <c r="AJ37" s="377">
        <f t="shared" si="4"/>
        <v>280.63</v>
      </c>
      <c r="AK37" s="292"/>
      <c r="AL37" s="292"/>
      <c r="AM37" s="292"/>
      <c r="AN37" s="292"/>
      <c r="AO37" s="292"/>
      <c r="AP37" s="292"/>
      <c r="AQ37" s="292"/>
      <c r="AR37" s="294">
        <f t="shared" si="2"/>
        <v>2604.37</v>
      </c>
      <c r="AS37" s="303">
        <f t="shared" si="9"/>
        <v>0</v>
      </c>
      <c r="AT37" s="393">
        <f t="shared" si="7"/>
        <v>36478.310000000027</v>
      </c>
      <c r="AU37" s="249">
        <f t="shared" si="10"/>
        <v>0</v>
      </c>
    </row>
    <row r="38" spans="1:47" ht="14.25">
      <c r="A38" s="296">
        <v>43766</v>
      </c>
      <c r="B38" s="311">
        <v>0.27300000000000002</v>
      </c>
      <c r="C38" s="297">
        <f t="shared" si="8"/>
        <v>44873.940000000024</v>
      </c>
      <c r="D38" s="305">
        <v>11000</v>
      </c>
      <c r="E38" s="407">
        <v>18000</v>
      </c>
      <c r="F38" s="282"/>
      <c r="G38" s="283"/>
      <c r="H38" s="301">
        <v>478.88</v>
      </c>
      <c r="I38" s="284"/>
      <c r="J38" s="283">
        <v>389.78</v>
      </c>
      <c r="K38" s="283">
        <v>456.14</v>
      </c>
      <c r="L38" s="412">
        <v>707.03</v>
      </c>
      <c r="M38" s="411"/>
      <c r="N38" s="285">
        <v>1218</v>
      </c>
      <c r="O38" s="285"/>
      <c r="P38" s="285">
        <v>953</v>
      </c>
      <c r="Q38" s="285">
        <v>1169</v>
      </c>
      <c r="R38" s="285">
        <v>1785</v>
      </c>
      <c r="S38" s="299">
        <f t="shared" si="0"/>
        <v>2031.83</v>
      </c>
      <c r="T38" s="300">
        <f t="shared" si="5"/>
        <v>5125</v>
      </c>
      <c r="U38" s="300">
        <f t="shared" si="6"/>
        <v>0.39645463414634147</v>
      </c>
      <c r="V38" s="288">
        <v>25.52</v>
      </c>
      <c r="W38" s="301">
        <v>34.950000000000003</v>
      </c>
      <c r="X38" s="271">
        <v>8.67</v>
      </c>
      <c r="Y38" s="301">
        <v>45.96</v>
      </c>
      <c r="Z38" s="283">
        <v>37.67</v>
      </c>
      <c r="AA38" s="379"/>
      <c r="AB38" s="301"/>
      <c r="AC38" s="301"/>
      <c r="AD38" s="301"/>
      <c r="AE38" s="301"/>
      <c r="AF38" s="301"/>
      <c r="AG38" s="673"/>
      <c r="AH38" s="301">
        <v>343</v>
      </c>
      <c r="AI38" s="571">
        <v>180.52</v>
      </c>
      <c r="AJ38" s="377">
        <f t="shared" si="4"/>
        <v>676.29</v>
      </c>
      <c r="AK38" s="292"/>
      <c r="AL38" s="292"/>
      <c r="AM38" s="292"/>
      <c r="AN38" s="292"/>
      <c r="AO38" s="292"/>
      <c r="AP38" s="292"/>
      <c r="AQ38" s="292"/>
      <c r="AR38" s="294">
        <f t="shared" si="2"/>
        <v>2708.12</v>
      </c>
      <c r="AS38" s="303">
        <f t="shared" si="9"/>
        <v>0</v>
      </c>
      <c r="AT38" s="393">
        <f t="shared" si="7"/>
        <v>44873.940000000024</v>
      </c>
      <c r="AU38" s="249">
        <f t="shared" si="10"/>
        <v>0</v>
      </c>
    </row>
    <row r="39" spans="1:47" ht="14.25">
      <c r="A39" s="296">
        <v>43767</v>
      </c>
      <c r="B39" s="311">
        <v>0.41599999999999998</v>
      </c>
      <c r="C39" s="297">
        <f t="shared" si="8"/>
        <v>42165.820000000022</v>
      </c>
      <c r="D39" s="305"/>
      <c r="E39" s="407"/>
      <c r="F39" s="282"/>
      <c r="G39" s="283">
        <v>354.94</v>
      </c>
      <c r="H39" s="301">
        <v>364.88</v>
      </c>
      <c r="I39" s="312"/>
      <c r="J39" s="283">
        <v>671.52</v>
      </c>
      <c r="K39" s="283">
        <v>281.77999999999997</v>
      </c>
      <c r="L39" s="412">
        <v>458.25</v>
      </c>
      <c r="M39" s="411">
        <v>1364</v>
      </c>
      <c r="N39" s="285">
        <v>734</v>
      </c>
      <c r="O39" s="313"/>
      <c r="P39" s="285"/>
      <c r="Q39" s="285">
        <v>693</v>
      </c>
      <c r="R39" s="285">
        <v>652</v>
      </c>
      <c r="S39" s="299">
        <f t="shared" si="0"/>
        <v>2131.37</v>
      </c>
      <c r="T39" s="300">
        <f t="shared" si="5"/>
        <v>3443</v>
      </c>
      <c r="U39" s="300">
        <f t="shared" si="6"/>
        <v>0.61904443799012487</v>
      </c>
      <c r="V39" s="288">
        <v>11.48</v>
      </c>
      <c r="W39" s="301"/>
      <c r="X39" s="271">
        <v>9.6</v>
      </c>
      <c r="Y39" s="301">
        <v>23.51</v>
      </c>
      <c r="Z39" s="283">
        <v>16.11</v>
      </c>
      <c r="AA39" s="379"/>
      <c r="AB39" s="301"/>
      <c r="AC39" s="301"/>
      <c r="AD39" s="301"/>
      <c r="AE39" s="301"/>
      <c r="AF39" s="301"/>
      <c r="AG39" s="673"/>
      <c r="AH39" s="301"/>
      <c r="AI39" s="571">
        <v>60</v>
      </c>
      <c r="AJ39" s="377">
        <f t="shared" si="4"/>
        <v>120.7</v>
      </c>
      <c r="AK39" s="292"/>
      <c r="AL39" s="292"/>
      <c r="AM39" s="292"/>
      <c r="AN39" s="292"/>
      <c r="AO39" s="292"/>
      <c r="AP39" s="292"/>
      <c r="AQ39" s="292"/>
      <c r="AR39" s="294">
        <f t="shared" si="2"/>
        <v>2252.0699999999997</v>
      </c>
      <c r="AS39" s="303">
        <f t="shared" si="9"/>
        <v>0</v>
      </c>
      <c r="AT39" s="393">
        <f t="shared" si="7"/>
        <v>42165.820000000022</v>
      </c>
      <c r="AU39" s="249">
        <f t="shared" si="10"/>
        <v>0</v>
      </c>
    </row>
    <row r="40" spans="1:47" ht="14.25">
      <c r="A40" s="296">
        <v>43768</v>
      </c>
      <c r="B40" s="311">
        <v>0.42899999999999999</v>
      </c>
      <c r="C40" s="297">
        <f t="shared" si="8"/>
        <v>39913.750000000022</v>
      </c>
      <c r="D40" s="305"/>
      <c r="E40" s="407"/>
      <c r="F40" s="282"/>
      <c r="G40" s="283">
        <v>320.89999999999998</v>
      </c>
      <c r="H40" s="301">
        <v>442.39</v>
      </c>
      <c r="I40" s="284"/>
      <c r="J40" s="283">
        <v>625.47</v>
      </c>
      <c r="K40" s="283">
        <v>349.41</v>
      </c>
      <c r="L40" s="412">
        <v>295.57</v>
      </c>
      <c r="M40" s="411">
        <v>775</v>
      </c>
      <c r="N40" s="285">
        <v>1387</v>
      </c>
      <c r="O40" s="285"/>
      <c r="P40" s="285">
        <v>1478</v>
      </c>
      <c r="Q40" s="285">
        <v>798</v>
      </c>
      <c r="R40" s="285">
        <v>754</v>
      </c>
      <c r="S40" s="299">
        <f t="shared" si="0"/>
        <v>2033.74</v>
      </c>
      <c r="T40" s="300">
        <f t="shared" si="5"/>
        <v>5192</v>
      </c>
      <c r="U40" s="300">
        <f t="shared" si="6"/>
        <v>0.39170647149460708</v>
      </c>
      <c r="V40" s="288"/>
      <c r="W40" s="301">
        <v>12.54</v>
      </c>
      <c r="X40" s="271"/>
      <c r="Y40" s="301"/>
      <c r="Z40" s="283">
        <v>12.98</v>
      </c>
      <c r="AA40" s="379"/>
      <c r="AB40" s="301"/>
      <c r="AC40" s="301"/>
      <c r="AD40" s="301"/>
      <c r="AE40" s="301"/>
      <c r="AF40" s="301"/>
      <c r="AG40" s="673"/>
      <c r="AH40" s="301"/>
      <c r="AI40" s="571"/>
      <c r="AJ40" s="377">
        <f t="shared" si="4"/>
        <v>25.52</v>
      </c>
      <c r="AK40" s="292"/>
      <c r="AL40" s="292"/>
      <c r="AM40" s="292"/>
      <c r="AN40" s="292"/>
      <c r="AO40" s="292"/>
      <c r="AP40" s="292"/>
      <c r="AQ40" s="292"/>
      <c r="AR40" s="294">
        <f t="shared" si="2"/>
        <v>2059.2600000000002</v>
      </c>
      <c r="AS40" s="303">
        <f t="shared" si="9"/>
        <v>0</v>
      </c>
      <c r="AT40" s="393">
        <f t="shared" si="7"/>
        <v>39913.750000000022</v>
      </c>
      <c r="AU40" s="249">
        <f t="shared" si="10"/>
        <v>0</v>
      </c>
    </row>
    <row r="41" spans="1:47" ht="14.25">
      <c r="A41" s="296">
        <v>43769</v>
      </c>
      <c r="B41" s="311">
        <v>0.32500000000000001</v>
      </c>
      <c r="C41" s="297">
        <f t="shared" si="8"/>
        <v>37854.49000000002</v>
      </c>
      <c r="D41" s="305"/>
      <c r="E41" s="407"/>
      <c r="F41" s="282"/>
      <c r="G41" s="283">
        <v>213.1</v>
      </c>
      <c r="H41" s="283">
        <v>362.41</v>
      </c>
      <c r="I41" s="283"/>
      <c r="J41" s="283">
        <v>588.05999999999995</v>
      </c>
      <c r="K41" s="283">
        <v>687.8</v>
      </c>
      <c r="L41" s="412">
        <v>275.05</v>
      </c>
      <c r="M41" s="411">
        <v>743</v>
      </c>
      <c r="N41" s="285">
        <v>870</v>
      </c>
      <c r="O41" s="285"/>
      <c r="P41" s="285">
        <v>1502</v>
      </c>
      <c r="Q41" s="285">
        <v>1383</v>
      </c>
      <c r="R41" s="285">
        <v>736</v>
      </c>
      <c r="S41" s="299">
        <f t="shared" si="0"/>
        <v>2126.42</v>
      </c>
      <c r="T41" s="300">
        <f t="shared" si="5"/>
        <v>5234</v>
      </c>
      <c r="U41" s="300">
        <f t="shared" si="6"/>
        <v>0.40627053878486818</v>
      </c>
      <c r="V41" s="288">
        <v>67.37</v>
      </c>
      <c r="W41" s="301">
        <v>24.56</v>
      </c>
      <c r="X41" s="271"/>
      <c r="Y41" s="301"/>
      <c r="Z41" s="283">
        <v>12.73</v>
      </c>
      <c r="AA41" s="379"/>
      <c r="AB41" s="301"/>
      <c r="AC41" s="301"/>
      <c r="AD41" s="301"/>
      <c r="AE41" s="301"/>
      <c r="AF41" s="301"/>
      <c r="AG41" s="673"/>
      <c r="AH41" s="301">
        <v>429</v>
      </c>
      <c r="AI41" s="571"/>
      <c r="AJ41" s="377">
        <f t="shared" si="4"/>
        <v>533.66</v>
      </c>
      <c r="AK41" s="292"/>
      <c r="AL41" s="292"/>
      <c r="AM41" s="292"/>
      <c r="AN41" s="292"/>
      <c r="AO41" s="292"/>
      <c r="AP41" s="292"/>
      <c r="AQ41" s="292"/>
      <c r="AR41" s="294">
        <f t="shared" si="2"/>
        <v>2660.08</v>
      </c>
      <c r="AS41" s="303">
        <f t="shared" si="9"/>
        <v>0</v>
      </c>
      <c r="AT41" s="393">
        <f t="shared" si="7"/>
        <v>37854.49000000002</v>
      </c>
      <c r="AU41" s="249">
        <f t="shared" si="10"/>
        <v>0</v>
      </c>
    </row>
    <row r="42" spans="1:47" ht="14.25">
      <c r="A42" s="296"/>
      <c r="B42" s="626"/>
      <c r="C42" s="297">
        <f t="shared" si="8"/>
        <v>35194.410000000018</v>
      </c>
      <c r="D42" s="280"/>
      <c r="E42" s="407"/>
      <c r="F42" s="282"/>
      <c r="G42" s="283"/>
      <c r="H42" s="283"/>
      <c r="I42" s="283"/>
      <c r="J42" s="283"/>
      <c r="K42" s="283"/>
      <c r="L42" s="412"/>
      <c r="M42" s="411"/>
      <c r="N42" s="285"/>
      <c r="O42" s="285"/>
      <c r="P42" s="285"/>
      <c r="Q42" s="285"/>
      <c r="R42" s="285"/>
      <c r="S42" s="299">
        <f t="shared" si="0"/>
        <v>0</v>
      </c>
      <c r="T42" s="300">
        <f t="shared" si="5"/>
        <v>0</v>
      </c>
      <c r="U42" s="314"/>
      <c r="V42" s="288"/>
      <c r="W42" s="301"/>
      <c r="X42" s="271"/>
      <c r="Y42" s="301"/>
      <c r="Z42" s="283"/>
      <c r="AA42" s="379"/>
      <c r="AB42" s="301"/>
      <c r="AC42" s="287"/>
      <c r="AD42" s="301"/>
      <c r="AE42" s="301"/>
      <c r="AF42" s="301"/>
      <c r="AG42" s="673"/>
      <c r="AH42" s="301"/>
      <c r="AI42" s="571"/>
      <c r="AJ42" s="377">
        <f t="shared" si="4"/>
        <v>0</v>
      </c>
      <c r="AK42" s="315"/>
      <c r="AL42" s="315"/>
      <c r="AM42" s="315"/>
      <c r="AN42" s="315"/>
      <c r="AO42" s="315"/>
      <c r="AP42" s="315"/>
      <c r="AQ42" s="315"/>
      <c r="AR42" s="294">
        <f t="shared" si="2"/>
        <v>0</v>
      </c>
      <c r="AS42" s="303">
        <f t="shared" si="9"/>
        <v>0</v>
      </c>
      <c r="AT42" s="393">
        <f t="shared" si="7"/>
        <v>35194.410000000018</v>
      </c>
    </row>
    <row r="43" spans="1:47" ht="14.25">
      <c r="A43" s="316" t="s">
        <v>25</v>
      </c>
      <c r="B43" s="316"/>
      <c r="C43" s="317">
        <f t="shared" si="8"/>
        <v>35194.410000000018</v>
      </c>
      <c r="D43" s="280"/>
      <c r="E43" s="280"/>
      <c r="F43" s="282"/>
      <c r="G43" s="624"/>
      <c r="H43" s="283"/>
      <c r="I43" s="283"/>
      <c r="J43" s="283"/>
      <c r="K43" s="283"/>
      <c r="L43" s="412"/>
      <c r="M43" s="411"/>
      <c r="N43" s="285"/>
      <c r="O43" s="285"/>
      <c r="P43" s="285"/>
      <c r="Q43" s="285"/>
      <c r="R43" s="285"/>
      <c r="S43" s="299">
        <f t="shared" si="0"/>
        <v>0</v>
      </c>
      <c r="T43" s="300">
        <f t="shared" si="5"/>
        <v>0</v>
      </c>
      <c r="U43" s="314"/>
      <c r="V43" s="288"/>
      <c r="W43" s="301"/>
      <c r="X43" s="283"/>
      <c r="Y43" s="287"/>
      <c r="Z43" s="287"/>
      <c r="AA43" s="379"/>
      <c r="AB43" s="287"/>
      <c r="AC43" s="322"/>
      <c r="AD43" s="322"/>
      <c r="AE43" s="301"/>
      <c r="AF43" s="301"/>
      <c r="AG43" s="673"/>
      <c r="AH43" s="287"/>
      <c r="AI43" s="571"/>
      <c r="AJ43" s="377">
        <f t="shared" si="4"/>
        <v>0</v>
      </c>
      <c r="AK43" s="318"/>
      <c r="AL43" s="318"/>
      <c r="AM43" s="318"/>
      <c r="AN43" s="318"/>
      <c r="AO43" s="318"/>
      <c r="AP43" s="318"/>
      <c r="AQ43" s="318"/>
      <c r="AR43" s="294">
        <f t="shared" si="2"/>
        <v>0</v>
      </c>
      <c r="AS43" s="303">
        <f t="shared" si="9"/>
        <v>0</v>
      </c>
      <c r="AT43" s="393">
        <f t="shared" si="7"/>
        <v>35194.410000000018</v>
      </c>
    </row>
    <row r="44" spans="1:47" ht="15" thickBot="1">
      <c r="A44" s="319"/>
      <c r="B44" s="319"/>
      <c r="C44" s="429"/>
      <c r="D44" s="430"/>
      <c r="E44" s="430"/>
      <c r="F44" s="267"/>
      <c r="G44" s="633"/>
      <c r="H44" s="267"/>
      <c r="I44" s="267"/>
      <c r="J44" s="267"/>
      <c r="K44" s="267"/>
      <c r="L44" s="413"/>
      <c r="M44" s="410"/>
      <c r="N44" s="268"/>
      <c r="O44" s="285"/>
      <c r="P44" s="285"/>
      <c r="Q44" s="268"/>
      <c r="R44" s="268"/>
      <c r="S44" s="299">
        <f t="shared" si="0"/>
        <v>0</v>
      </c>
      <c r="T44" s="320"/>
      <c r="U44" s="320"/>
      <c r="V44" s="321"/>
      <c r="W44" s="256"/>
      <c r="X44" s="322"/>
      <c r="Y44" s="322"/>
      <c r="Z44" s="322"/>
      <c r="AA44" s="323"/>
      <c r="AB44" s="322"/>
      <c r="AC44" s="322"/>
      <c r="AD44" s="322"/>
      <c r="AE44" s="322"/>
      <c r="AF44" s="322"/>
      <c r="AG44" s="324"/>
      <c r="AH44" s="571"/>
      <c r="AI44" s="571"/>
      <c r="AJ44" s="377">
        <f t="shared" si="4"/>
        <v>0</v>
      </c>
      <c r="AK44" s="431"/>
      <c r="AL44" s="431"/>
      <c r="AM44" s="431"/>
      <c r="AN44" s="431"/>
      <c r="AO44" s="431"/>
      <c r="AP44" s="431"/>
      <c r="AQ44" s="431"/>
      <c r="AR44" s="432">
        <f>S44+AJ44</f>
        <v>0</v>
      </c>
      <c r="AS44" s="433">
        <f t="shared" si="9"/>
        <v>0</v>
      </c>
      <c r="AT44" s="434"/>
    </row>
    <row r="45" spans="1:47" s="327" customFormat="1" ht="13.5" thickBot="1">
      <c r="A45" s="435"/>
      <c r="B45" s="436"/>
      <c r="C45" s="437"/>
      <c r="D45" s="438">
        <f>SUM(D11:D44)</f>
        <v>78000</v>
      </c>
      <c r="E45" s="438">
        <f>SUM(E11:E42)</f>
        <v>66000</v>
      </c>
      <c r="F45" s="439">
        <f t="shared" ref="F45" si="11">SUM(F11:F44)</f>
        <v>0</v>
      </c>
      <c r="G45" s="597">
        <f>SUM(G11:G44)</f>
        <v>10429.820000000002</v>
      </c>
      <c r="H45" s="597">
        <f t="shared" ref="H45:O45" si="12">SUM(H11:H44)</f>
        <v>19584.82</v>
      </c>
      <c r="I45" s="597">
        <f t="shared" si="12"/>
        <v>600</v>
      </c>
      <c r="J45" s="597">
        <f t="shared" si="12"/>
        <v>6853.01</v>
      </c>
      <c r="K45" s="597">
        <f>SUM(K11:K44)</f>
        <v>15431.380000000001</v>
      </c>
      <c r="L45" s="597">
        <f t="shared" si="12"/>
        <v>19007.21</v>
      </c>
      <c r="M45" s="597">
        <f t="shared" si="12"/>
        <v>25436</v>
      </c>
      <c r="N45" s="598">
        <f t="shared" si="12"/>
        <v>51028</v>
      </c>
      <c r="O45" s="438">
        <f t="shared" si="12"/>
        <v>0</v>
      </c>
      <c r="P45" s="439">
        <f>SUM(P11:P43)</f>
        <v>15013</v>
      </c>
      <c r="Q45" s="438">
        <f>SUM(Q11:Q44)</f>
        <v>38220</v>
      </c>
      <c r="R45" s="440">
        <f>SUM(R11:R44)</f>
        <v>47154</v>
      </c>
      <c r="S45" s="299">
        <f t="shared" si="0"/>
        <v>71906.239999999991</v>
      </c>
      <c r="T45" s="428">
        <f>SUM(M45:R45)</f>
        <v>176851</v>
      </c>
      <c r="U45" s="326">
        <f>SUM(U11:U42)</f>
        <v>12.698235442875239</v>
      </c>
      <c r="V45" s="325">
        <f>SUM(V9:V44)</f>
        <v>535.34999999999991</v>
      </c>
      <c r="W45" s="325">
        <f t="shared" ref="W45:AJ45" si="13">SUM(W9:W44)</f>
        <v>647.24999999999989</v>
      </c>
      <c r="X45" s="325">
        <f t="shared" si="13"/>
        <v>474.94</v>
      </c>
      <c r="Y45" s="325">
        <f t="shared" si="13"/>
        <v>379.13</v>
      </c>
      <c r="Z45" s="325">
        <f t="shared" si="13"/>
        <v>432.72000000000008</v>
      </c>
      <c r="AA45" s="325">
        <f t="shared" si="13"/>
        <v>0</v>
      </c>
      <c r="AB45" s="325">
        <f t="shared" si="13"/>
        <v>0</v>
      </c>
      <c r="AC45" s="325">
        <f>SUM(AC10:AC44)</f>
        <v>207.41000000000003</v>
      </c>
      <c r="AD45" s="325">
        <f>SUM(AD10:AD44)</f>
        <v>174.05</v>
      </c>
      <c r="AE45" s="325">
        <f t="shared" si="13"/>
        <v>0</v>
      </c>
      <c r="AF45" s="325">
        <f t="shared" si="13"/>
        <v>45.32</v>
      </c>
      <c r="AG45" s="325">
        <f t="shared" si="13"/>
        <v>0</v>
      </c>
      <c r="AH45" s="674">
        <f>SUM(AH9:AH43)</f>
        <v>2293</v>
      </c>
      <c r="AI45" s="674">
        <f>SUM(AI9:AI39)</f>
        <v>1516.83</v>
      </c>
      <c r="AJ45" s="325">
        <f t="shared" si="13"/>
        <v>6706.0000000000009</v>
      </c>
      <c r="AK45" s="325"/>
      <c r="AL45" s="325"/>
      <c r="AM45" s="325"/>
      <c r="AN45" s="325"/>
      <c r="AO45" s="325"/>
      <c r="AP45" s="325"/>
      <c r="AQ45" s="441"/>
      <c r="AR45" s="442">
        <f>SUM(AR11:AR43)</f>
        <v>78612.239999999991</v>
      </c>
      <c r="AS45" s="443">
        <f>SUM(AS11:AS44)</f>
        <v>0</v>
      </c>
      <c r="AT45" s="444"/>
    </row>
    <row r="46" spans="1:47" ht="14.25" thickBot="1">
      <c r="A46" s="629" t="s">
        <v>69</v>
      </c>
      <c r="W46" s="260"/>
      <c r="X46" s="260"/>
      <c r="Y46" s="260"/>
      <c r="Z46" s="260"/>
      <c r="AA46" s="260"/>
      <c r="AC46" s="251" t="e">
        <f>SUM(AC44/A47)</f>
        <v>#DIV/0!</v>
      </c>
      <c r="AD46" s="251" t="e">
        <f>SUM(AD44/A47)</f>
        <v>#DIV/0!</v>
      </c>
      <c r="AJ46" s="251">
        <v>0</v>
      </c>
      <c r="AQ46" s="251">
        <f>SUM(AQ45/12)</f>
        <v>0</v>
      </c>
      <c r="AR46" s="250"/>
      <c r="AS46" s="328"/>
      <c r="AT46" s="249"/>
    </row>
    <row r="47" spans="1:47" ht="14.25" thickBot="1">
      <c r="A47" s="457"/>
      <c r="F47" s="329"/>
      <c r="R47" s="250" t="e">
        <f>SUM(S47+#REF!)</f>
        <v>#REF!</v>
      </c>
      <c r="S47" s="250"/>
      <c r="T47" s="451">
        <f>S45*2143</f>
        <v>154095072.31999999</v>
      </c>
      <c r="U47" s="452" t="s">
        <v>250</v>
      </c>
      <c r="W47" s="251" t="e">
        <f>SUM(W45/A47)</f>
        <v>#DIV/0!</v>
      </c>
      <c r="X47" s="251" t="e">
        <f>SUM(X45/A47)</f>
        <v>#DIV/0!</v>
      </c>
      <c r="Y47" s="251" t="e">
        <f>SUM(Y45/A47)</f>
        <v>#DIV/0!</v>
      </c>
      <c r="Z47" s="251" t="e">
        <f>SUM(Z45/A47)</f>
        <v>#DIV/0!</v>
      </c>
      <c r="AA47" s="251" t="e">
        <f>SUM(AA45/A47)</f>
        <v>#DIV/0!</v>
      </c>
      <c r="AB47" s="251" t="e">
        <f>SUM(AB45/A47)</f>
        <v>#DIV/0!</v>
      </c>
      <c r="AF47" s="251" t="e">
        <f>SUM(AF45/A47)</f>
        <v>#DIV/0!</v>
      </c>
      <c r="AG47" s="251" t="e">
        <f>SUM(AG45/A47)</f>
        <v>#DIV/0!</v>
      </c>
      <c r="AQ47" s="251" t="e">
        <f>SUM(AQ45/A47)</f>
        <v>#DIV/0!</v>
      </c>
      <c r="AS47" s="328"/>
      <c r="AT47" s="249"/>
    </row>
    <row r="48" spans="1:47" ht="14.25" thickBot="1">
      <c r="A48" s="458" t="s">
        <v>253</v>
      </c>
      <c r="B48" s="330" t="e">
        <f>SUM(B11:B41)/A47</f>
        <v>#DIV/0!</v>
      </c>
      <c r="T48" s="451">
        <f>T47/2245</f>
        <v>68639.230432071272</v>
      </c>
      <c r="U48" s="452" t="s">
        <v>251</v>
      </c>
      <c r="W48" s="260"/>
      <c r="X48" s="260"/>
      <c r="Y48" s="260"/>
      <c r="Z48" s="260"/>
      <c r="AA48" s="260"/>
      <c r="AR48" s="250">
        <f>AVERAGE(AR11:AR24)</f>
        <v>2540.1764285714285</v>
      </c>
      <c r="AT48" s="328"/>
    </row>
    <row r="49" spans="2:46" ht="14.25" thickBot="1">
      <c r="U49" s="331"/>
      <c r="W49" s="260"/>
      <c r="X49" s="260"/>
      <c r="Y49" s="260"/>
      <c r="Z49" s="260"/>
      <c r="AA49" s="260"/>
      <c r="AB49" s="253"/>
      <c r="AJ49" s="251" t="e">
        <f>SUM(AJ10:AJ25)/A47</f>
        <v>#DIV/0!</v>
      </c>
      <c r="AR49" s="331" t="e">
        <f>SUM(AQ45*'[1]Summery Report'!#REF!)</f>
        <v>#REF!</v>
      </c>
      <c r="AT49" s="328"/>
    </row>
    <row r="50" spans="2:46" ht="13.5" customHeight="1" thickBot="1">
      <c r="B50" s="755" t="s">
        <v>246</v>
      </c>
      <c r="C50" s="756"/>
      <c r="D50" s="756"/>
      <c r="E50" s="757"/>
      <c r="F50" s="780" t="s">
        <v>218</v>
      </c>
      <c r="G50" s="781"/>
      <c r="H50" s="781"/>
      <c r="I50" s="781"/>
      <c r="J50" s="781"/>
      <c r="K50" s="781"/>
      <c r="L50" s="785" t="s">
        <v>249</v>
      </c>
      <c r="M50" s="786"/>
      <c r="N50" s="786"/>
      <c r="O50" s="786"/>
      <c r="P50" s="786"/>
      <c r="Q50" s="786"/>
      <c r="R50" s="787"/>
      <c r="S50" s="782" t="s">
        <v>231</v>
      </c>
      <c r="T50" s="783"/>
      <c r="U50" s="783"/>
      <c r="V50" s="783"/>
      <c r="W50" s="783"/>
      <c r="X50" s="784"/>
      <c r="AJ50" s="251" t="e">
        <f>SUM(#REF!-AI34)/14</f>
        <v>#REF!</v>
      </c>
    </row>
    <row r="51" spans="2:46" ht="25.5" customHeight="1" thickBot="1">
      <c r="B51" s="557" t="s">
        <v>100</v>
      </c>
      <c r="C51" s="558" t="s">
        <v>201</v>
      </c>
      <c r="D51" s="559" t="s">
        <v>202</v>
      </c>
      <c r="E51" s="560" t="s">
        <v>217</v>
      </c>
      <c r="F51" s="788" t="s">
        <v>100</v>
      </c>
      <c r="G51" s="789"/>
      <c r="H51" s="628" t="s">
        <v>201</v>
      </c>
      <c r="I51" s="759" t="s">
        <v>202</v>
      </c>
      <c r="J51" s="759"/>
      <c r="K51" s="504" t="s">
        <v>217</v>
      </c>
      <c r="L51" s="788" t="s">
        <v>100</v>
      </c>
      <c r="M51" s="789"/>
      <c r="N51" s="628" t="s">
        <v>201</v>
      </c>
      <c r="O51" s="759" t="s">
        <v>202</v>
      </c>
      <c r="P51" s="759"/>
      <c r="Q51" s="501" t="s">
        <v>217</v>
      </c>
      <c r="R51" s="502" t="s">
        <v>220</v>
      </c>
      <c r="S51" s="506" t="s">
        <v>0</v>
      </c>
      <c r="T51" s="507" t="s">
        <v>201</v>
      </c>
      <c r="U51" s="507" t="s">
        <v>232</v>
      </c>
      <c r="V51" s="507" t="s">
        <v>217</v>
      </c>
      <c r="W51" s="507" t="s">
        <v>233</v>
      </c>
      <c r="X51" s="508" t="s">
        <v>234</v>
      </c>
    </row>
    <row r="52" spans="2:46" ht="11.25" customHeight="1" thickBot="1">
      <c r="B52" s="509">
        <v>43744</v>
      </c>
      <c r="C52" s="562" t="s">
        <v>294</v>
      </c>
      <c r="D52" s="563">
        <v>57</v>
      </c>
      <c r="E52" s="564" t="s">
        <v>268</v>
      </c>
      <c r="F52" s="774"/>
      <c r="G52" s="775"/>
      <c r="H52" s="627"/>
      <c r="I52" s="769"/>
      <c r="J52" s="769"/>
      <c r="K52" s="503"/>
      <c r="L52" s="770">
        <v>43755</v>
      </c>
      <c r="M52" s="771"/>
      <c r="N52" s="630" t="s">
        <v>295</v>
      </c>
      <c r="O52" s="758">
        <v>50</v>
      </c>
      <c r="P52" s="758"/>
      <c r="Q52" s="630" t="s">
        <v>296</v>
      </c>
      <c r="R52" s="630"/>
      <c r="S52" s="509">
        <v>43740</v>
      </c>
      <c r="T52" s="509" t="s">
        <v>264</v>
      </c>
      <c r="U52" s="571">
        <v>78.239999999999995</v>
      </c>
      <c r="V52" s="570" t="s">
        <v>265</v>
      </c>
      <c r="W52" s="509" t="s">
        <v>303</v>
      </c>
      <c r="X52" s="509"/>
    </row>
    <row r="53" spans="2:46" ht="11.25" customHeight="1" thickBot="1">
      <c r="B53" s="509">
        <v>43747</v>
      </c>
      <c r="C53" s="422" t="s">
        <v>269</v>
      </c>
      <c r="D53" s="561">
        <v>80</v>
      </c>
      <c r="E53" s="495" t="s">
        <v>270</v>
      </c>
      <c r="F53" s="748"/>
      <c r="G53" s="749"/>
      <c r="H53" s="365"/>
      <c r="I53" s="747"/>
      <c r="J53" s="747"/>
      <c r="K53" s="372"/>
      <c r="L53" s="770">
        <v>43755</v>
      </c>
      <c r="M53" s="771"/>
      <c r="N53" s="630" t="s">
        <v>297</v>
      </c>
      <c r="O53" s="758">
        <v>90</v>
      </c>
      <c r="P53" s="758"/>
      <c r="Q53" s="630" t="s">
        <v>298</v>
      </c>
      <c r="R53" s="630"/>
      <c r="S53" s="509">
        <v>43753</v>
      </c>
      <c r="T53" s="509" t="s">
        <v>292</v>
      </c>
      <c r="U53" s="571">
        <v>39</v>
      </c>
      <c r="V53" s="570" t="s">
        <v>293</v>
      </c>
      <c r="W53" s="509" t="s">
        <v>266</v>
      </c>
      <c r="X53" s="509"/>
    </row>
    <row r="54" spans="2:46" ht="11.25" customHeight="1" thickBot="1">
      <c r="B54" s="494">
        <v>43747</v>
      </c>
      <c r="C54" s="422" t="s">
        <v>271</v>
      </c>
      <c r="D54" s="561">
        <v>80</v>
      </c>
      <c r="E54" s="495" t="s">
        <v>272</v>
      </c>
      <c r="F54" s="748"/>
      <c r="G54" s="749"/>
      <c r="H54" s="365"/>
      <c r="I54" s="747"/>
      <c r="J54" s="747"/>
      <c r="K54" s="372"/>
      <c r="L54" s="770">
        <v>43755</v>
      </c>
      <c r="M54" s="771"/>
      <c r="N54" s="630" t="s">
        <v>299</v>
      </c>
      <c r="O54" s="758">
        <v>70</v>
      </c>
      <c r="P54" s="758"/>
      <c r="Q54" s="630" t="s">
        <v>300</v>
      </c>
      <c r="R54" s="630"/>
      <c r="S54" s="494">
        <v>43754</v>
      </c>
      <c r="T54" s="422" t="s">
        <v>292</v>
      </c>
      <c r="U54" s="571">
        <v>22</v>
      </c>
      <c r="V54" s="570" t="s">
        <v>293</v>
      </c>
      <c r="W54" s="422" t="s">
        <v>266</v>
      </c>
      <c r="X54" s="509"/>
    </row>
    <row r="55" spans="2:46" ht="11.25" customHeight="1" thickBot="1">
      <c r="B55" s="494">
        <v>43747</v>
      </c>
      <c r="C55" s="422" t="s">
        <v>273</v>
      </c>
      <c r="D55" s="561">
        <v>104</v>
      </c>
      <c r="E55" s="495" t="s">
        <v>274</v>
      </c>
      <c r="F55" s="748"/>
      <c r="G55" s="749"/>
      <c r="H55" s="365"/>
      <c r="I55" s="747"/>
      <c r="J55" s="747"/>
      <c r="K55" s="372"/>
      <c r="L55" s="772">
        <v>43767</v>
      </c>
      <c r="M55" s="773"/>
      <c r="N55" s="668" t="s">
        <v>352</v>
      </c>
      <c r="O55" s="758">
        <v>60</v>
      </c>
      <c r="P55" s="758"/>
      <c r="Q55" s="668" t="s">
        <v>353</v>
      </c>
      <c r="R55" s="630"/>
      <c r="S55" s="494">
        <v>43761</v>
      </c>
      <c r="T55" s="422" t="s">
        <v>305</v>
      </c>
      <c r="U55" s="571">
        <v>193.34</v>
      </c>
      <c r="V55" s="626" t="s">
        <v>342</v>
      </c>
      <c r="W55" s="422" t="s">
        <v>266</v>
      </c>
      <c r="X55" s="509"/>
    </row>
    <row r="56" spans="2:46" ht="11.25" customHeight="1">
      <c r="B56" s="494">
        <v>43749</v>
      </c>
      <c r="C56" s="422" t="s">
        <v>275</v>
      </c>
      <c r="D56" s="561">
        <v>111</v>
      </c>
      <c r="E56" s="495" t="s">
        <v>276</v>
      </c>
      <c r="F56" s="748"/>
      <c r="G56" s="749"/>
      <c r="H56" s="365"/>
      <c r="I56" s="743"/>
      <c r="J56" s="744"/>
      <c r="K56" s="372"/>
      <c r="L56" s="772"/>
      <c r="M56" s="773"/>
      <c r="N56" s="630"/>
      <c r="O56" s="758"/>
      <c r="P56" s="758"/>
      <c r="Q56" s="630"/>
      <c r="R56" s="630"/>
      <c r="S56" s="494">
        <v>43762</v>
      </c>
      <c r="T56" s="422" t="s">
        <v>305</v>
      </c>
      <c r="U56" s="571">
        <v>179</v>
      </c>
      <c r="V56" s="626" t="s">
        <v>342</v>
      </c>
      <c r="W56" s="422" t="s">
        <v>266</v>
      </c>
      <c r="X56" s="509"/>
    </row>
    <row r="57" spans="2:46" ht="11.25" customHeight="1">
      <c r="B57" s="494">
        <v>43749</v>
      </c>
      <c r="C57" s="422" t="s">
        <v>277</v>
      </c>
      <c r="D57" s="561">
        <v>92</v>
      </c>
      <c r="E57" s="495" t="s">
        <v>278</v>
      </c>
      <c r="F57" s="625"/>
      <c r="G57" s="626"/>
      <c r="H57" s="365"/>
      <c r="I57" s="621"/>
      <c r="J57" s="622"/>
      <c r="K57" s="372"/>
      <c r="L57" s="631"/>
      <c r="M57" s="632"/>
      <c r="N57" s="630"/>
      <c r="O57" s="639"/>
      <c r="P57" s="640"/>
      <c r="Q57" s="572"/>
      <c r="R57" s="630"/>
      <c r="S57" s="494">
        <v>43763</v>
      </c>
      <c r="T57" s="422" t="s">
        <v>305</v>
      </c>
      <c r="U57" s="571">
        <v>188</v>
      </c>
      <c r="V57" s="626" t="s">
        <v>342</v>
      </c>
      <c r="W57" s="422" t="s">
        <v>266</v>
      </c>
      <c r="X57" s="495"/>
    </row>
    <row r="58" spans="2:46" ht="11.25" customHeight="1">
      <c r="B58" s="494">
        <v>43750</v>
      </c>
      <c r="C58" s="422" t="s">
        <v>279</v>
      </c>
      <c r="D58" s="561">
        <v>153</v>
      </c>
      <c r="E58" s="495" t="s">
        <v>280</v>
      </c>
      <c r="F58" s="625"/>
      <c r="G58" s="626"/>
      <c r="H58" s="365"/>
      <c r="I58" s="621"/>
      <c r="J58" s="622"/>
      <c r="K58" s="372"/>
      <c r="L58" s="631"/>
      <c r="M58" s="632"/>
      <c r="N58" s="630"/>
      <c r="O58" s="641"/>
      <c r="P58" s="642"/>
      <c r="Q58" s="572"/>
      <c r="R58" s="630"/>
      <c r="S58" s="494">
        <v>43764</v>
      </c>
      <c r="T58" s="422" t="s">
        <v>305</v>
      </c>
      <c r="U58" s="571">
        <v>166.73</v>
      </c>
      <c r="V58" s="626" t="s">
        <v>342</v>
      </c>
      <c r="W58" s="422" t="s">
        <v>266</v>
      </c>
      <c r="X58" s="495"/>
    </row>
    <row r="59" spans="2:46" ht="11.25" customHeight="1">
      <c r="B59" s="494">
        <v>43752</v>
      </c>
      <c r="C59" s="422" t="s">
        <v>281</v>
      </c>
      <c r="D59" s="561">
        <v>121</v>
      </c>
      <c r="E59" s="495" t="s">
        <v>282</v>
      </c>
      <c r="F59" s="748"/>
      <c r="G59" s="749"/>
      <c r="H59" s="365"/>
      <c r="I59" s="743"/>
      <c r="J59" s="744"/>
      <c r="K59" s="372"/>
      <c r="L59" s="790"/>
      <c r="M59" s="791"/>
      <c r="N59" s="624"/>
      <c r="O59" s="753"/>
      <c r="P59" s="754"/>
      <c r="Q59" s="621"/>
      <c r="R59" s="630"/>
      <c r="S59" s="494">
        <v>43765</v>
      </c>
      <c r="T59" s="422" t="s">
        <v>343</v>
      </c>
      <c r="U59" s="571">
        <v>200</v>
      </c>
      <c r="V59" s="626" t="s">
        <v>342</v>
      </c>
      <c r="W59" s="422" t="s">
        <v>266</v>
      </c>
      <c r="X59" s="495"/>
    </row>
    <row r="60" spans="2:46" ht="11.25" customHeight="1">
      <c r="B60" s="494">
        <v>43755</v>
      </c>
      <c r="C60" s="422" t="s">
        <v>277</v>
      </c>
      <c r="D60" s="561">
        <v>114</v>
      </c>
      <c r="E60" s="495" t="s">
        <v>278</v>
      </c>
      <c r="F60" s="748"/>
      <c r="G60" s="749"/>
      <c r="H60" s="365"/>
      <c r="I60" s="743"/>
      <c r="J60" s="744"/>
      <c r="K60" s="372"/>
      <c r="L60" s="741"/>
      <c r="M60" s="742"/>
      <c r="N60" s="624"/>
      <c r="O60" s="753"/>
      <c r="P60" s="754"/>
      <c r="Q60" s="621"/>
      <c r="R60" s="630"/>
      <c r="S60" s="494">
        <v>43766</v>
      </c>
      <c r="T60" s="422" t="s">
        <v>343</v>
      </c>
      <c r="U60" s="571">
        <v>180.52</v>
      </c>
      <c r="V60" s="638" t="s">
        <v>342</v>
      </c>
      <c r="W60" s="422" t="s">
        <v>350</v>
      </c>
      <c r="X60" s="495"/>
    </row>
    <row r="61" spans="2:46" ht="11.25" customHeight="1">
      <c r="B61" s="494">
        <v>43755</v>
      </c>
      <c r="C61" s="422" t="s">
        <v>294</v>
      </c>
      <c r="D61" s="561">
        <v>135</v>
      </c>
      <c r="E61" s="495" t="s">
        <v>268</v>
      </c>
      <c r="F61" s="748"/>
      <c r="G61" s="749"/>
      <c r="H61" s="365"/>
      <c r="I61" s="743"/>
      <c r="J61" s="744"/>
      <c r="K61" s="372"/>
      <c r="L61" s="741"/>
      <c r="M61" s="742"/>
      <c r="N61" s="624"/>
      <c r="O61" s="753"/>
      <c r="P61" s="754"/>
      <c r="Q61" s="621"/>
      <c r="R61" s="621"/>
      <c r="S61" s="494"/>
      <c r="T61" s="422"/>
      <c r="U61" s="571"/>
      <c r="V61" s="626"/>
      <c r="W61" s="422"/>
      <c r="X61" s="495"/>
    </row>
    <row r="62" spans="2:46" ht="11.25" customHeight="1">
      <c r="B62" s="494">
        <v>43756</v>
      </c>
      <c r="C62" s="422" t="s">
        <v>275</v>
      </c>
      <c r="D62" s="561">
        <v>122</v>
      </c>
      <c r="E62" s="495" t="s">
        <v>276</v>
      </c>
      <c r="F62" s="748"/>
      <c r="G62" s="749"/>
      <c r="H62" s="365"/>
      <c r="I62" s="743"/>
      <c r="J62" s="744"/>
      <c r="K62" s="372"/>
      <c r="L62" s="741"/>
      <c r="M62" s="742"/>
      <c r="N62" s="624"/>
      <c r="O62" s="753"/>
      <c r="P62" s="754"/>
      <c r="Q62" s="621"/>
      <c r="R62" s="621"/>
      <c r="S62" s="494"/>
      <c r="T62" s="422"/>
      <c r="U62" s="571"/>
      <c r="V62" s="626"/>
      <c r="W62" s="422"/>
      <c r="X62" s="495"/>
    </row>
    <row r="63" spans="2:46" ht="11.25" customHeight="1">
      <c r="B63" s="494">
        <v>43757</v>
      </c>
      <c r="C63" s="422" t="s">
        <v>301</v>
      </c>
      <c r="D63" s="561">
        <v>40</v>
      </c>
      <c r="E63" s="495" t="s">
        <v>302</v>
      </c>
      <c r="F63" s="748"/>
      <c r="G63" s="749"/>
      <c r="H63" s="365"/>
      <c r="I63" s="743"/>
      <c r="J63" s="744"/>
      <c r="K63" s="372"/>
      <c r="L63" s="741"/>
      <c r="M63" s="742"/>
      <c r="N63" s="624"/>
      <c r="O63" s="753"/>
      <c r="P63" s="754"/>
      <c r="Q63" s="621"/>
      <c r="R63" s="621"/>
      <c r="S63" s="494"/>
      <c r="T63" s="422"/>
      <c r="U63" s="571"/>
      <c r="V63" s="626"/>
      <c r="W63" s="422"/>
      <c r="X63" s="495"/>
    </row>
    <row r="64" spans="2:46" ht="11.25" customHeight="1">
      <c r="B64" s="494">
        <v>43758</v>
      </c>
      <c r="C64" s="422" t="s">
        <v>279</v>
      </c>
      <c r="D64" s="561">
        <v>143</v>
      </c>
      <c r="E64" s="495" t="s">
        <v>280</v>
      </c>
      <c r="F64" s="748"/>
      <c r="G64" s="749"/>
      <c r="H64" s="365"/>
      <c r="I64" s="743"/>
      <c r="J64" s="744"/>
      <c r="K64" s="372"/>
      <c r="L64" s="741"/>
      <c r="M64" s="742"/>
      <c r="N64" s="624"/>
      <c r="O64" s="753"/>
      <c r="P64" s="754"/>
      <c r="Q64" s="621"/>
      <c r="R64" s="621"/>
      <c r="S64" s="494"/>
      <c r="T64" s="422"/>
      <c r="U64" s="571"/>
      <c r="V64" s="626"/>
      <c r="W64" s="422"/>
      <c r="X64" s="495"/>
    </row>
    <row r="65" spans="2:24" ht="11.25" customHeight="1">
      <c r="B65" s="494">
        <v>43761</v>
      </c>
      <c r="C65" s="422" t="s">
        <v>275</v>
      </c>
      <c r="D65" s="561">
        <v>66</v>
      </c>
      <c r="E65" s="495" t="s">
        <v>306</v>
      </c>
      <c r="F65" s="748"/>
      <c r="G65" s="749"/>
      <c r="H65" s="365"/>
      <c r="I65" s="743"/>
      <c r="J65" s="744"/>
      <c r="K65" s="372"/>
      <c r="L65" s="741"/>
      <c r="M65" s="742"/>
      <c r="N65" s="624"/>
      <c r="O65" s="753"/>
      <c r="P65" s="754"/>
      <c r="Q65" s="621"/>
      <c r="R65" s="621"/>
      <c r="S65" s="494"/>
      <c r="T65" s="422"/>
      <c r="U65" s="571"/>
      <c r="V65" s="626"/>
      <c r="W65" s="422"/>
      <c r="X65" s="495"/>
    </row>
    <row r="66" spans="2:24" ht="11.25" customHeight="1">
      <c r="B66" s="494">
        <v>43762</v>
      </c>
      <c r="C66" s="422" t="s">
        <v>294</v>
      </c>
      <c r="D66" s="561">
        <v>103</v>
      </c>
      <c r="E66" s="495" t="s">
        <v>276</v>
      </c>
      <c r="F66" s="748"/>
      <c r="G66" s="749"/>
      <c r="H66" s="365"/>
      <c r="I66" s="743"/>
      <c r="J66" s="744"/>
      <c r="K66" s="372"/>
      <c r="L66" s="741"/>
      <c r="M66" s="742"/>
      <c r="N66" s="624"/>
      <c r="O66" s="753"/>
      <c r="P66" s="754"/>
      <c r="Q66" s="565"/>
      <c r="R66" s="621"/>
      <c r="S66" s="494"/>
      <c r="T66" s="422"/>
      <c r="U66" s="571"/>
      <c r="V66" s="626"/>
      <c r="W66" s="422"/>
      <c r="X66" s="495"/>
    </row>
    <row r="67" spans="2:24" ht="11.25" customHeight="1">
      <c r="B67" s="494">
        <v>43766</v>
      </c>
      <c r="C67" s="422" t="s">
        <v>294</v>
      </c>
      <c r="D67" s="561">
        <v>97</v>
      </c>
      <c r="E67" s="495" t="s">
        <v>276</v>
      </c>
      <c r="F67" s="748"/>
      <c r="G67" s="749"/>
      <c r="H67" s="365"/>
      <c r="I67" s="743"/>
      <c r="J67" s="744"/>
      <c r="K67" s="372"/>
      <c r="L67" s="741"/>
      <c r="M67" s="742"/>
      <c r="N67" s="624"/>
      <c r="O67" s="753"/>
      <c r="P67" s="754"/>
      <c r="Q67" s="565"/>
      <c r="R67" s="621"/>
      <c r="S67" s="494"/>
      <c r="T67" s="422"/>
      <c r="U67" s="571"/>
      <c r="V67" s="626"/>
      <c r="W67" s="422"/>
      <c r="X67" s="495"/>
    </row>
    <row r="68" spans="2:24" ht="11.25" customHeight="1">
      <c r="B68" s="494">
        <v>43766</v>
      </c>
      <c r="C68" s="422" t="s">
        <v>349</v>
      </c>
      <c r="D68" s="561">
        <v>120</v>
      </c>
      <c r="E68" s="495" t="s">
        <v>268</v>
      </c>
      <c r="F68" s="748"/>
      <c r="G68" s="749"/>
      <c r="H68" s="365"/>
      <c r="I68" s="743"/>
      <c r="J68" s="744"/>
      <c r="K68" s="372"/>
      <c r="L68" s="741"/>
      <c r="M68" s="742"/>
      <c r="N68" s="624"/>
      <c r="O68" s="753"/>
      <c r="P68" s="754"/>
      <c r="Q68" s="621"/>
      <c r="R68" s="621"/>
      <c r="S68" s="494"/>
      <c r="T68" s="422"/>
      <c r="U68" s="571"/>
      <c r="V68" s="626"/>
      <c r="W68" s="422"/>
      <c r="X68" s="495"/>
    </row>
    <row r="69" spans="2:24" ht="11.25" customHeight="1">
      <c r="B69" s="494">
        <v>43766</v>
      </c>
      <c r="C69" s="422" t="s">
        <v>281</v>
      </c>
      <c r="D69" s="561">
        <v>126</v>
      </c>
      <c r="E69" s="495" t="s">
        <v>282</v>
      </c>
      <c r="F69" s="748"/>
      <c r="G69" s="749"/>
      <c r="H69" s="365"/>
      <c r="I69" s="743"/>
      <c r="J69" s="744"/>
      <c r="K69" s="372"/>
      <c r="L69" s="741"/>
      <c r="M69" s="742"/>
      <c r="N69" s="624"/>
      <c r="O69" s="753"/>
      <c r="P69" s="754"/>
      <c r="Q69" s="621"/>
      <c r="R69" s="621"/>
      <c r="S69" s="494"/>
      <c r="T69" s="422"/>
      <c r="U69" s="571"/>
      <c r="V69" s="626"/>
      <c r="W69" s="422"/>
      <c r="X69" s="495"/>
    </row>
    <row r="70" spans="2:24" ht="11.25" customHeight="1">
      <c r="B70" s="494">
        <v>43769</v>
      </c>
      <c r="C70" s="422" t="s">
        <v>279</v>
      </c>
      <c r="D70" s="561">
        <v>124</v>
      </c>
      <c r="E70" s="495" t="s">
        <v>280</v>
      </c>
      <c r="F70" s="748"/>
      <c r="G70" s="749"/>
      <c r="H70" s="365"/>
      <c r="I70" s="743"/>
      <c r="J70" s="744"/>
      <c r="K70" s="372"/>
      <c r="L70" s="741"/>
      <c r="M70" s="742"/>
      <c r="N70" s="624"/>
      <c r="O70" s="753"/>
      <c r="P70" s="754"/>
      <c r="Q70" s="621"/>
      <c r="R70" s="621"/>
      <c r="S70" s="494"/>
      <c r="T70" s="422"/>
      <c r="U70" s="571"/>
      <c r="V70" s="626"/>
      <c r="W70" s="422"/>
      <c r="X70" s="495"/>
    </row>
    <row r="71" spans="2:24" ht="11.25" customHeight="1">
      <c r="B71" s="494">
        <v>43769</v>
      </c>
      <c r="C71" s="422" t="s">
        <v>354</v>
      </c>
      <c r="D71" s="561">
        <v>30</v>
      </c>
      <c r="E71" s="495" t="s">
        <v>355</v>
      </c>
      <c r="F71" s="748"/>
      <c r="G71" s="749"/>
      <c r="H71" s="365"/>
      <c r="I71" s="743"/>
      <c r="J71" s="744"/>
      <c r="K71" s="372"/>
      <c r="L71" s="741"/>
      <c r="M71" s="742"/>
      <c r="N71" s="624"/>
      <c r="O71" s="753"/>
      <c r="P71" s="754"/>
      <c r="Q71" s="621"/>
      <c r="R71" s="621"/>
      <c r="S71" s="494"/>
      <c r="T71" s="422"/>
      <c r="U71" s="571"/>
      <c r="V71" s="626"/>
      <c r="W71" s="422"/>
      <c r="X71" s="495"/>
    </row>
    <row r="72" spans="2:24" ht="11.25" customHeight="1">
      <c r="B72" s="494">
        <v>43769</v>
      </c>
      <c r="C72" s="422" t="s">
        <v>277</v>
      </c>
      <c r="D72" s="561">
        <v>111</v>
      </c>
      <c r="E72" s="495" t="s">
        <v>278</v>
      </c>
      <c r="F72" s="748"/>
      <c r="G72" s="749"/>
      <c r="H72" s="370"/>
      <c r="I72" s="778"/>
      <c r="J72" s="779"/>
      <c r="K72" s="373"/>
      <c r="L72" s="741"/>
      <c r="M72" s="742"/>
      <c r="N72" s="624"/>
      <c r="O72" s="753"/>
      <c r="P72" s="754"/>
      <c r="Q72" s="634"/>
      <c r="R72" s="621"/>
      <c r="S72" s="494"/>
      <c r="T72" s="422"/>
      <c r="U72" s="571"/>
      <c r="V72" s="626"/>
      <c r="W72" s="422"/>
      <c r="X72" s="495"/>
    </row>
    <row r="73" spans="2:24" ht="11.25" customHeight="1">
      <c r="B73" s="494">
        <v>43769</v>
      </c>
      <c r="C73" s="422" t="s">
        <v>275</v>
      </c>
      <c r="D73" s="561">
        <v>100</v>
      </c>
      <c r="E73" s="495" t="s">
        <v>306</v>
      </c>
      <c r="F73" s="748"/>
      <c r="G73" s="749"/>
      <c r="H73" s="365"/>
      <c r="I73" s="743"/>
      <c r="J73" s="744"/>
      <c r="K73" s="372"/>
      <c r="L73" s="741"/>
      <c r="M73" s="742"/>
      <c r="N73" s="624"/>
      <c r="O73" s="753"/>
      <c r="P73" s="754"/>
      <c r="Q73" s="621"/>
      <c r="R73" s="621"/>
      <c r="S73" s="494"/>
      <c r="T73" s="422"/>
      <c r="U73" s="571"/>
      <c r="V73" s="626"/>
      <c r="W73" s="422"/>
      <c r="X73" s="495"/>
    </row>
    <row r="74" spans="2:24" ht="11.25" customHeight="1">
      <c r="B74" s="494">
        <v>43769</v>
      </c>
      <c r="C74" s="422" t="s">
        <v>281</v>
      </c>
      <c r="D74" s="561">
        <v>22</v>
      </c>
      <c r="E74" s="495" t="s">
        <v>282</v>
      </c>
      <c r="F74" s="748"/>
      <c r="G74" s="749"/>
      <c r="H74" s="365"/>
      <c r="I74" s="743"/>
      <c r="J74" s="744"/>
      <c r="K74" s="372"/>
      <c r="L74" s="741"/>
      <c r="M74" s="742"/>
      <c r="N74" s="624"/>
      <c r="O74" s="753"/>
      <c r="P74" s="754"/>
      <c r="Q74" s="621"/>
      <c r="R74" s="621"/>
      <c r="S74" s="494"/>
      <c r="T74" s="422"/>
      <c r="U74" s="571"/>
      <c r="V74" s="626"/>
      <c r="W74" s="422"/>
      <c r="X74" s="495"/>
    </row>
    <row r="75" spans="2:24" ht="11.25" customHeight="1">
      <c r="B75" s="494">
        <v>43769</v>
      </c>
      <c r="C75" s="422" t="s">
        <v>349</v>
      </c>
      <c r="D75" s="561">
        <v>42</v>
      </c>
      <c r="E75" s="495" t="s">
        <v>356</v>
      </c>
      <c r="F75" s="748"/>
      <c r="G75" s="749"/>
      <c r="H75" s="365"/>
      <c r="I75" s="743"/>
      <c r="J75" s="744"/>
      <c r="K75" s="372"/>
      <c r="L75" s="741"/>
      <c r="M75" s="742"/>
      <c r="N75" s="624"/>
      <c r="O75" s="753"/>
      <c r="P75" s="754"/>
      <c r="Q75" s="621"/>
      <c r="R75" s="621"/>
      <c r="S75" s="494"/>
      <c r="T75" s="422"/>
      <c r="U75" s="571"/>
      <c r="V75" s="626"/>
      <c r="W75" s="422"/>
      <c r="X75" s="495"/>
    </row>
    <row r="76" spans="2:24" ht="9.75" customHeight="1">
      <c r="B76" s="494"/>
      <c r="C76" s="422"/>
      <c r="D76" s="561"/>
      <c r="E76" s="495"/>
      <c r="F76" s="748"/>
      <c r="G76" s="749"/>
      <c r="H76" s="365"/>
      <c r="I76" s="743"/>
      <c r="J76" s="744"/>
      <c r="K76" s="372"/>
      <c r="L76" s="741"/>
      <c r="M76" s="742"/>
      <c r="N76" s="624"/>
      <c r="O76" s="753"/>
      <c r="P76" s="754"/>
      <c r="Q76" s="621"/>
      <c r="R76" s="621"/>
      <c r="S76" s="494"/>
      <c r="T76" s="422"/>
      <c r="U76" s="571"/>
      <c r="V76" s="626"/>
      <c r="W76" s="422"/>
      <c r="X76" s="495"/>
    </row>
    <row r="77" spans="2:24" ht="11.25" hidden="1" customHeight="1">
      <c r="B77" s="494"/>
      <c r="C77" s="422"/>
      <c r="D77" s="561"/>
      <c r="E77" s="495"/>
      <c r="F77" s="748"/>
      <c r="G77" s="749"/>
      <c r="H77" s="365"/>
      <c r="I77" s="621"/>
      <c r="J77" s="622"/>
      <c r="K77" s="372"/>
      <c r="L77" s="741"/>
      <c r="M77" s="742"/>
      <c r="N77" s="624"/>
      <c r="O77" s="753">
        <v>67</v>
      </c>
      <c r="P77" s="754"/>
      <c r="Q77" s="621"/>
      <c r="R77" s="621"/>
      <c r="S77" s="494"/>
      <c r="T77" s="422"/>
      <c r="U77" s="571"/>
      <c r="V77" s="626"/>
      <c r="W77" s="422"/>
      <c r="X77" s="495"/>
    </row>
    <row r="78" spans="2:24" ht="11.25" customHeight="1">
      <c r="B78" s="494"/>
      <c r="C78" s="422"/>
      <c r="D78" s="561"/>
      <c r="E78" s="495"/>
      <c r="F78" s="748"/>
      <c r="G78" s="749"/>
      <c r="H78" s="365"/>
      <c r="I78" s="743"/>
      <c r="J78" s="744"/>
      <c r="K78" s="372"/>
      <c r="L78" s="741"/>
      <c r="M78" s="742"/>
      <c r="N78" s="624"/>
      <c r="O78" s="743"/>
      <c r="P78" s="744"/>
      <c r="Q78" s="621"/>
      <c r="R78" s="621"/>
      <c r="S78" s="494"/>
      <c r="T78" s="422"/>
      <c r="U78" s="571"/>
      <c r="V78" s="626"/>
      <c r="W78" s="422"/>
      <c r="X78" s="495"/>
    </row>
    <row r="79" spans="2:24" ht="11.25" customHeight="1">
      <c r="B79" s="494"/>
      <c r="C79" s="422"/>
      <c r="D79" s="561"/>
      <c r="E79" s="495"/>
      <c r="F79" s="748"/>
      <c r="G79" s="749"/>
      <c r="H79" s="365"/>
      <c r="I79" s="743"/>
      <c r="J79" s="744"/>
      <c r="K79" s="372"/>
      <c r="L79" s="741"/>
      <c r="M79" s="742"/>
      <c r="N79" s="624"/>
      <c r="O79" s="743"/>
      <c r="P79" s="744"/>
      <c r="Q79" s="621"/>
      <c r="R79" s="621"/>
      <c r="S79" s="494"/>
      <c r="T79" s="422"/>
      <c r="U79" s="571"/>
      <c r="V79" s="626"/>
      <c r="W79" s="422"/>
      <c r="X79" s="495"/>
    </row>
    <row r="80" spans="2:24" ht="11.25" customHeight="1">
      <c r="B80" s="494"/>
      <c r="C80" s="422"/>
      <c r="D80" s="561"/>
      <c r="E80" s="495"/>
      <c r="F80" s="748"/>
      <c r="G80" s="749"/>
      <c r="H80" s="365"/>
      <c r="I80" s="743"/>
      <c r="J80" s="744"/>
      <c r="K80" s="372"/>
      <c r="L80" s="741"/>
      <c r="M80" s="742"/>
      <c r="N80" s="624"/>
      <c r="O80" s="743"/>
      <c r="P80" s="744"/>
      <c r="Q80" s="621"/>
      <c r="R80" s="621"/>
      <c r="S80" s="494"/>
      <c r="T80" s="422"/>
      <c r="U80" s="571"/>
      <c r="V80" s="626"/>
      <c r="W80" s="422"/>
      <c r="X80" s="495"/>
    </row>
    <row r="81" spans="2:24" ht="11.25" customHeight="1">
      <c r="B81" s="494"/>
      <c r="C81" s="422"/>
      <c r="D81" s="561"/>
      <c r="E81" s="495"/>
      <c r="F81" s="748"/>
      <c r="G81" s="749"/>
      <c r="H81" s="365"/>
      <c r="I81" s="743"/>
      <c r="J81" s="744"/>
      <c r="K81" s="372"/>
      <c r="L81" s="741"/>
      <c r="M81" s="742"/>
      <c r="N81" s="624"/>
      <c r="O81" s="743"/>
      <c r="P81" s="744"/>
      <c r="Q81" s="621"/>
      <c r="R81" s="621"/>
      <c r="S81" s="494"/>
      <c r="T81" s="422"/>
      <c r="U81" s="571"/>
      <c r="V81" s="626"/>
      <c r="W81" s="422"/>
      <c r="X81" s="495"/>
    </row>
    <row r="82" spans="2:24" ht="11.25" customHeight="1">
      <c r="B82" s="494"/>
      <c r="C82" s="422"/>
      <c r="D82" s="561"/>
      <c r="E82" s="495"/>
      <c r="F82" s="748"/>
      <c r="G82" s="749"/>
      <c r="H82" s="365"/>
      <c r="I82" s="743"/>
      <c r="J82" s="744"/>
      <c r="K82" s="372"/>
      <c r="L82" s="741"/>
      <c r="M82" s="742"/>
      <c r="N82" s="624"/>
      <c r="O82" s="743"/>
      <c r="P82" s="744"/>
      <c r="Q82" s="621"/>
      <c r="R82" s="621"/>
      <c r="S82" s="494"/>
      <c r="T82" s="422"/>
      <c r="U82" s="571"/>
      <c r="V82" s="626"/>
      <c r="W82" s="422"/>
      <c r="X82" s="495"/>
    </row>
    <row r="83" spans="2:24" ht="11.25" customHeight="1">
      <c r="B83" s="494"/>
      <c r="C83" s="422"/>
      <c r="D83" s="561"/>
      <c r="E83" s="495"/>
      <c r="F83" s="748"/>
      <c r="G83" s="749"/>
      <c r="H83" s="365"/>
      <c r="I83" s="743"/>
      <c r="J83" s="744"/>
      <c r="K83" s="372"/>
      <c r="L83" s="741"/>
      <c r="M83" s="742"/>
      <c r="N83" s="624"/>
      <c r="O83" s="743"/>
      <c r="P83" s="744"/>
      <c r="Q83" s="621"/>
      <c r="R83" s="621"/>
      <c r="S83" s="494"/>
      <c r="T83" s="422"/>
      <c r="U83" s="571"/>
      <c r="V83" s="626"/>
      <c r="W83" s="422"/>
      <c r="X83" s="495"/>
    </row>
    <row r="84" spans="2:24" ht="11.25" customHeight="1">
      <c r="B84" s="494"/>
      <c r="C84" s="422"/>
      <c r="D84" s="561"/>
      <c r="E84" s="495"/>
      <c r="F84" s="748"/>
      <c r="G84" s="749"/>
      <c r="H84" s="365"/>
      <c r="I84" s="743"/>
      <c r="J84" s="744"/>
      <c r="K84" s="372"/>
      <c r="L84" s="741"/>
      <c r="M84" s="742"/>
      <c r="N84" s="624"/>
      <c r="O84" s="743"/>
      <c r="P84" s="744"/>
      <c r="Q84" s="621"/>
      <c r="R84" s="621"/>
      <c r="S84" s="494"/>
      <c r="T84" s="422"/>
      <c r="U84" s="422"/>
      <c r="V84" s="422"/>
      <c r="W84" s="422"/>
      <c r="X84" s="495"/>
    </row>
    <row r="85" spans="2:24" ht="11.25" customHeight="1">
      <c r="B85" s="494"/>
      <c r="C85" s="422"/>
      <c r="D85" s="561"/>
      <c r="E85" s="495"/>
      <c r="F85" s="748"/>
      <c r="G85" s="749"/>
      <c r="H85" s="365"/>
      <c r="I85" s="743"/>
      <c r="J85" s="744"/>
      <c r="K85" s="372"/>
      <c r="L85" s="741"/>
      <c r="M85" s="742"/>
      <c r="N85" s="624"/>
      <c r="O85" s="743"/>
      <c r="P85" s="744"/>
      <c r="Q85" s="621"/>
      <c r="R85" s="621"/>
      <c r="S85" s="494"/>
      <c r="T85" s="422"/>
      <c r="U85" s="422"/>
      <c r="V85" s="422"/>
      <c r="W85" s="422"/>
      <c r="X85" s="495"/>
    </row>
    <row r="86" spans="2:24" ht="11.25" customHeight="1">
      <c r="B86" s="494"/>
      <c r="C86" s="422"/>
      <c r="D86" s="561"/>
      <c r="E86" s="495"/>
      <c r="F86" s="748"/>
      <c r="G86" s="749"/>
      <c r="H86" s="365"/>
      <c r="I86" s="743"/>
      <c r="J86" s="744"/>
      <c r="K86" s="372"/>
      <c r="L86" s="741"/>
      <c r="M86" s="742"/>
      <c r="N86" s="624"/>
      <c r="O86" s="743"/>
      <c r="P86" s="744"/>
      <c r="Q86" s="621"/>
      <c r="R86" s="621"/>
      <c r="S86" s="494"/>
      <c r="T86" s="422"/>
      <c r="U86" s="422"/>
      <c r="V86" s="422"/>
      <c r="W86" s="422"/>
      <c r="X86" s="495"/>
    </row>
    <row r="87" spans="2:24" ht="11.25" customHeight="1">
      <c r="B87" s="494"/>
      <c r="C87" s="422"/>
      <c r="D87" s="561"/>
      <c r="E87" s="495"/>
      <c r="F87" s="748"/>
      <c r="G87" s="749"/>
      <c r="H87" s="365"/>
      <c r="I87" s="743"/>
      <c r="J87" s="744"/>
      <c r="K87" s="372"/>
      <c r="L87" s="741"/>
      <c r="M87" s="742"/>
      <c r="N87" s="624"/>
      <c r="O87" s="743"/>
      <c r="P87" s="744"/>
      <c r="Q87" s="621"/>
      <c r="R87" s="621"/>
      <c r="S87" s="494"/>
      <c r="T87" s="422"/>
      <c r="U87" s="422"/>
      <c r="V87" s="422"/>
      <c r="W87" s="422"/>
      <c r="X87" s="495"/>
    </row>
    <row r="88" spans="2:24" ht="11.25" customHeight="1">
      <c r="B88" s="494"/>
      <c r="C88" s="422"/>
      <c r="D88" s="561"/>
      <c r="E88" s="495"/>
      <c r="F88" s="748"/>
      <c r="G88" s="749"/>
      <c r="H88" s="365"/>
      <c r="I88" s="743"/>
      <c r="J88" s="744"/>
      <c r="K88" s="372"/>
      <c r="L88" s="741"/>
      <c r="M88" s="742"/>
      <c r="N88" s="624"/>
      <c r="O88" s="743"/>
      <c r="P88" s="744"/>
      <c r="Q88" s="621"/>
      <c r="R88" s="621"/>
      <c r="S88" s="494"/>
      <c r="T88" s="422"/>
      <c r="U88" s="422"/>
      <c r="V88" s="422"/>
      <c r="W88" s="422"/>
      <c r="X88" s="495"/>
    </row>
    <row r="89" spans="2:24" ht="11.25" customHeight="1">
      <c r="B89" s="494"/>
      <c r="C89" s="422"/>
      <c r="D89" s="561"/>
      <c r="E89" s="495"/>
      <c r="F89" s="748"/>
      <c r="G89" s="749"/>
      <c r="H89" s="365"/>
      <c r="I89" s="743"/>
      <c r="J89" s="744"/>
      <c r="K89" s="372"/>
      <c r="L89" s="741"/>
      <c r="M89" s="742"/>
      <c r="N89" s="624"/>
      <c r="O89" s="743"/>
      <c r="P89" s="744"/>
      <c r="Q89" s="621"/>
      <c r="R89" s="621"/>
      <c r="S89" s="494"/>
      <c r="T89" s="422"/>
      <c r="U89" s="422"/>
      <c r="V89" s="422"/>
      <c r="W89" s="422"/>
      <c r="X89" s="495"/>
    </row>
    <row r="90" spans="2:24" ht="11.25" customHeight="1">
      <c r="B90" s="494"/>
      <c r="C90" s="422"/>
      <c r="D90" s="561"/>
      <c r="E90" s="495"/>
      <c r="F90" s="748"/>
      <c r="G90" s="749"/>
      <c r="H90" s="365"/>
      <c r="I90" s="747"/>
      <c r="J90" s="747"/>
      <c r="K90" s="372"/>
      <c r="L90" s="741"/>
      <c r="M90" s="742"/>
      <c r="N90" s="624"/>
      <c r="O90" s="776"/>
      <c r="P90" s="777"/>
      <c r="Q90" s="633"/>
      <c r="R90" s="621"/>
      <c r="S90" s="494"/>
      <c r="T90" s="422"/>
      <c r="U90" s="422"/>
      <c r="V90" s="422"/>
      <c r="W90" s="422"/>
      <c r="X90" s="495"/>
    </row>
    <row r="91" spans="2:24">
      <c r="B91" s="494"/>
      <c r="C91" s="422"/>
      <c r="D91" s="561"/>
      <c r="E91" s="495"/>
      <c r="F91" s="748"/>
      <c r="G91" s="749"/>
      <c r="H91" s="365"/>
      <c r="I91" s="747"/>
      <c r="J91" s="747"/>
      <c r="K91" s="372"/>
      <c r="L91" s="741"/>
      <c r="M91" s="742"/>
      <c r="N91" s="624"/>
      <c r="O91" s="747"/>
      <c r="P91" s="747"/>
      <c r="Q91" s="624"/>
      <c r="R91" s="621"/>
      <c r="S91" s="494"/>
      <c r="T91" s="422"/>
      <c r="U91" s="422"/>
      <c r="V91" s="422"/>
      <c r="W91" s="422"/>
      <c r="X91" s="495"/>
    </row>
    <row r="92" spans="2:24">
      <c r="B92" s="494"/>
      <c r="C92" s="422"/>
      <c r="D92" s="561"/>
      <c r="E92" s="495"/>
      <c r="F92" s="748"/>
      <c r="G92" s="749"/>
      <c r="H92" s="365"/>
      <c r="I92" s="747"/>
      <c r="J92" s="747"/>
      <c r="K92" s="372"/>
      <c r="L92" s="741"/>
      <c r="M92" s="742"/>
      <c r="N92" s="624"/>
      <c r="O92" s="747"/>
      <c r="P92" s="747"/>
      <c r="Q92" s="624"/>
      <c r="R92" s="621"/>
      <c r="S92" s="494"/>
      <c r="T92" s="422"/>
      <c r="U92" s="422"/>
      <c r="V92" s="422"/>
      <c r="W92" s="422"/>
      <c r="X92" s="495"/>
    </row>
    <row r="93" spans="2:24">
      <c r="B93" s="494"/>
      <c r="C93" s="422"/>
      <c r="D93" s="561"/>
      <c r="E93" s="495"/>
      <c r="F93" s="748"/>
      <c r="G93" s="749"/>
      <c r="H93" s="365"/>
      <c r="I93" s="747"/>
      <c r="J93" s="747"/>
      <c r="K93" s="372"/>
      <c r="L93" s="741"/>
      <c r="M93" s="742"/>
      <c r="N93" s="624"/>
      <c r="O93" s="747"/>
      <c r="P93" s="747"/>
      <c r="Q93" s="624"/>
      <c r="R93" s="621"/>
      <c r="S93" s="494"/>
      <c r="T93" s="422"/>
      <c r="U93" s="422"/>
      <c r="V93" s="422"/>
      <c r="W93" s="422"/>
      <c r="X93" s="495"/>
    </row>
    <row r="94" spans="2:24">
      <c r="B94" s="494"/>
      <c r="C94" s="422"/>
      <c r="D94" s="561"/>
      <c r="E94" s="495"/>
      <c r="F94" s="748"/>
      <c r="G94" s="749"/>
      <c r="H94" s="365"/>
      <c r="I94" s="747"/>
      <c r="J94" s="747"/>
      <c r="K94" s="372"/>
      <c r="L94" s="741"/>
      <c r="M94" s="742"/>
      <c r="N94" s="624"/>
      <c r="O94" s="747"/>
      <c r="P94" s="747"/>
      <c r="Q94" s="624"/>
      <c r="R94" s="621"/>
      <c r="S94" s="494"/>
      <c r="T94" s="422"/>
      <c r="U94" s="422"/>
      <c r="V94" s="422"/>
      <c r="W94" s="422"/>
      <c r="X94" s="495"/>
    </row>
    <row r="95" spans="2:24">
      <c r="B95" s="494"/>
      <c r="C95" s="422"/>
      <c r="D95" s="561"/>
      <c r="E95" s="495"/>
      <c r="F95" s="748"/>
      <c r="G95" s="749"/>
      <c r="H95" s="365"/>
      <c r="I95" s="747"/>
      <c r="J95" s="747"/>
      <c r="K95" s="372"/>
      <c r="L95" s="741"/>
      <c r="M95" s="742"/>
      <c r="N95" s="624"/>
      <c r="O95" s="747"/>
      <c r="P95" s="747"/>
      <c r="Q95" s="624"/>
      <c r="R95" s="621"/>
      <c r="S95" s="494"/>
      <c r="T95" s="422"/>
      <c r="U95" s="422"/>
      <c r="V95" s="422"/>
      <c r="W95" s="422"/>
      <c r="X95" s="495"/>
    </row>
    <row r="96" spans="2:24">
      <c r="B96" s="494"/>
      <c r="C96" s="422"/>
      <c r="D96" s="561"/>
      <c r="E96" s="495"/>
      <c r="F96" s="748"/>
      <c r="G96" s="749"/>
      <c r="H96" s="365"/>
      <c r="I96" s="747"/>
      <c r="J96" s="747"/>
      <c r="K96" s="372"/>
      <c r="L96" s="741"/>
      <c r="M96" s="742"/>
      <c r="N96" s="624"/>
      <c r="O96" s="747"/>
      <c r="P96" s="747"/>
      <c r="Q96" s="624"/>
      <c r="R96" s="621"/>
      <c r="S96" s="494"/>
      <c r="T96" s="422"/>
      <c r="U96" s="422"/>
      <c r="V96" s="422"/>
      <c r="W96" s="422"/>
      <c r="X96" s="495"/>
    </row>
    <row r="97" spans="2:24" ht="12" thickBot="1">
      <c r="B97" s="496"/>
      <c r="C97" s="497"/>
      <c r="D97" s="498"/>
      <c r="E97" s="499"/>
      <c r="F97" s="739"/>
      <c r="G97" s="740"/>
      <c r="H97" s="416"/>
      <c r="I97" s="745"/>
      <c r="J97" s="746"/>
      <c r="K97" s="500"/>
      <c r="L97" s="741"/>
      <c r="M97" s="742"/>
      <c r="N97" s="624"/>
      <c r="O97" s="745"/>
      <c r="P97" s="746"/>
      <c r="Q97" s="623"/>
      <c r="R97" s="505"/>
      <c r="S97" s="496"/>
      <c r="T97" s="497"/>
      <c r="U97" s="497"/>
      <c r="V97" s="497"/>
      <c r="W97" s="497"/>
      <c r="X97" s="499"/>
    </row>
  </sheetData>
  <mergeCells count="188">
    <mergeCell ref="O53:P53"/>
    <mergeCell ref="O54:P54"/>
    <mergeCell ref="O61:P61"/>
    <mergeCell ref="F53:G53"/>
    <mergeCell ref="F54:G54"/>
    <mergeCell ref="F61:G61"/>
    <mergeCell ref="I53:J53"/>
    <mergeCell ref="I54:J54"/>
    <mergeCell ref="I61:J61"/>
    <mergeCell ref="L53:M53"/>
    <mergeCell ref="L54:M54"/>
    <mergeCell ref="L61:M61"/>
    <mergeCell ref="L56:M56"/>
    <mergeCell ref="L59:M59"/>
    <mergeCell ref="L60:M60"/>
    <mergeCell ref="F59:G59"/>
    <mergeCell ref="F60:G60"/>
    <mergeCell ref="O59:P59"/>
    <mergeCell ref="O60:P60"/>
    <mergeCell ref="F50:K50"/>
    <mergeCell ref="S50:X50"/>
    <mergeCell ref="L50:R50"/>
    <mergeCell ref="F51:G51"/>
    <mergeCell ref="L51:M51"/>
    <mergeCell ref="F94:G94"/>
    <mergeCell ref="F95:G95"/>
    <mergeCell ref="F96:G96"/>
    <mergeCell ref="I74:J74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L93:M93"/>
    <mergeCell ref="L94:M94"/>
    <mergeCell ref="L95:M95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L88:M88"/>
    <mergeCell ref="L89:M89"/>
    <mergeCell ref="L90:M90"/>
    <mergeCell ref="L91:M91"/>
    <mergeCell ref="L92:M92"/>
    <mergeCell ref="L83:M83"/>
    <mergeCell ref="L84:M84"/>
    <mergeCell ref="L85:M85"/>
    <mergeCell ref="L86:M86"/>
    <mergeCell ref="L87:M87"/>
    <mergeCell ref="F78:G78"/>
    <mergeCell ref="F79:G79"/>
    <mergeCell ref="F70:G70"/>
    <mergeCell ref="F71:G71"/>
    <mergeCell ref="F72:G72"/>
    <mergeCell ref="F75:G75"/>
    <mergeCell ref="F76:G76"/>
    <mergeCell ref="F77:G77"/>
    <mergeCell ref="L75:M75"/>
    <mergeCell ref="L76:M76"/>
    <mergeCell ref="L77:M77"/>
    <mergeCell ref="I76:J76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I62:J62"/>
    <mergeCell ref="I63:J63"/>
    <mergeCell ref="F73:G73"/>
    <mergeCell ref="F74:G74"/>
    <mergeCell ref="F65:G65"/>
    <mergeCell ref="F66:G66"/>
    <mergeCell ref="F67:G67"/>
    <mergeCell ref="F68:G68"/>
    <mergeCell ref="F69:G69"/>
    <mergeCell ref="I64:J64"/>
    <mergeCell ref="I65:J65"/>
    <mergeCell ref="F62:G62"/>
    <mergeCell ref="F63:G63"/>
    <mergeCell ref="F64:G64"/>
    <mergeCell ref="I71:J71"/>
    <mergeCell ref="I72:J72"/>
    <mergeCell ref="I73:J73"/>
    <mergeCell ref="I69:J69"/>
    <mergeCell ref="I70:J70"/>
    <mergeCell ref="I66:J66"/>
    <mergeCell ref="I67:J67"/>
    <mergeCell ref="I68:J68"/>
    <mergeCell ref="O62:P62"/>
    <mergeCell ref="O76:P76"/>
    <mergeCell ref="O72:P72"/>
    <mergeCell ref="O73:P73"/>
    <mergeCell ref="O75:P75"/>
    <mergeCell ref="O69:P69"/>
    <mergeCell ref="O70:P70"/>
    <mergeCell ref="O71:P71"/>
    <mergeCell ref="O66:P66"/>
    <mergeCell ref="O67:P67"/>
    <mergeCell ref="O74:P74"/>
    <mergeCell ref="I90:J90"/>
    <mergeCell ref="I94:J94"/>
    <mergeCell ref="I91:J91"/>
    <mergeCell ref="I92:J92"/>
    <mergeCell ref="I93:J93"/>
    <mergeCell ref="O94:P94"/>
    <mergeCell ref="O68:P68"/>
    <mergeCell ref="O95:P95"/>
    <mergeCell ref="O90:P90"/>
    <mergeCell ref="O91:P91"/>
    <mergeCell ref="O92:P92"/>
    <mergeCell ref="O93:P93"/>
    <mergeCell ref="O77:P77"/>
    <mergeCell ref="O78:P78"/>
    <mergeCell ref="L71:M71"/>
    <mergeCell ref="L72:M72"/>
    <mergeCell ref="L78:M78"/>
    <mergeCell ref="L79:M79"/>
    <mergeCell ref="L80:M80"/>
    <mergeCell ref="L81:M81"/>
    <mergeCell ref="L82:M82"/>
    <mergeCell ref="L73:M73"/>
    <mergeCell ref="L74:M74"/>
    <mergeCell ref="I75:J75"/>
    <mergeCell ref="F6:L6"/>
    <mergeCell ref="O65:P65"/>
    <mergeCell ref="B50:E50"/>
    <mergeCell ref="O63:P63"/>
    <mergeCell ref="O64:P64"/>
    <mergeCell ref="O52:P52"/>
    <mergeCell ref="O56:P56"/>
    <mergeCell ref="I51:J51"/>
    <mergeCell ref="A1:B6"/>
    <mergeCell ref="O51:P51"/>
    <mergeCell ref="D2:AT2"/>
    <mergeCell ref="F7:L7"/>
    <mergeCell ref="M7:R7"/>
    <mergeCell ref="I52:J52"/>
    <mergeCell ref="I56:J56"/>
    <mergeCell ref="I59:J59"/>
    <mergeCell ref="L52:M52"/>
    <mergeCell ref="L55:M55"/>
    <mergeCell ref="F52:G52"/>
    <mergeCell ref="F55:G55"/>
    <mergeCell ref="F56:G56"/>
    <mergeCell ref="O55:P55"/>
    <mergeCell ref="I55:J55"/>
    <mergeCell ref="I60:J60"/>
    <mergeCell ref="F97:G97"/>
    <mergeCell ref="L97:M97"/>
    <mergeCell ref="O88:P88"/>
    <mergeCell ref="O89:P89"/>
    <mergeCell ref="O79:P79"/>
    <mergeCell ref="O80:P80"/>
    <mergeCell ref="O81:P81"/>
    <mergeCell ref="O82:P82"/>
    <mergeCell ref="O83:P83"/>
    <mergeCell ref="O84:P84"/>
    <mergeCell ref="O85:P85"/>
    <mergeCell ref="O86:P86"/>
    <mergeCell ref="O87:P87"/>
    <mergeCell ref="I97:J97"/>
    <mergeCell ref="O96:P96"/>
    <mergeCell ref="O97:P97"/>
    <mergeCell ref="F82:G82"/>
    <mergeCell ref="F83:G83"/>
    <mergeCell ref="I95:J95"/>
    <mergeCell ref="I96:J96"/>
    <mergeCell ref="F80:G80"/>
    <mergeCell ref="F81:G81"/>
    <mergeCell ref="L96:M96"/>
    <mergeCell ref="F93:G93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sqref="A1:XFD1048576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304</v>
      </c>
      <c r="C1" s="11" t="s">
        <v>24</v>
      </c>
      <c r="D1" s="79" t="s">
        <v>62</v>
      </c>
      <c r="E1" s="79" t="s">
        <v>63</v>
      </c>
    </row>
    <row r="2" spans="1:6">
      <c r="A2" s="96">
        <f>SUM([1]Gen!A11)</f>
        <v>43739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SUM([1]Gen!A12)</f>
        <v>43740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SUM([1]Gen!A13)</f>
        <v>43741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SUM([1]Gen!A14)</f>
        <v>43742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SUM([1]Gen!A15)</f>
        <v>43743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SUM([1]Gen!A16)</f>
        <v>43744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SUM([1]Gen!A17)</f>
        <v>43745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SUM([1]Gen!A18)</f>
        <v>43746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SUM([1]Gen!A19)</f>
        <v>43747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SUM([1]Gen!A20)</f>
        <v>43748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SUM([1]Gen!A21)</f>
        <v>43749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SUM([1]Gen!A22)</f>
        <v>43750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SUM([1]Gen!A23)</f>
        <v>43751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SUM([1]Gen!A24)</f>
        <v>43752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SUM([1]Gen!A25)</f>
        <v>43753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SUM([1]Gen!A26)</f>
        <v>43754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SUM([1]Gen!A27)</f>
        <v>43755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SUM([1]Gen!A28)</f>
        <v>43756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SUM([1]Gen!A29)</f>
        <v>43757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SUM([1]Gen!A30)</f>
        <v>43758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SUM([1]Gen!A31)</f>
        <v>43759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SUM([1]Gen!A32)</f>
        <v>43760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SUM([1]Gen!A33)</f>
        <v>43761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SUM([1]Gen!A34)</f>
        <v>43762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SUM([1]Gen!A35)</f>
        <v>43763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SUM([1]Gen!A36)</f>
        <v>43764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SUM([1]Gen!A37)</f>
        <v>43765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SUM([1]Gen!A38)</f>
        <v>43766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SUM([1]Gen!A39)</f>
        <v>43767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SUM([1]Gen!A40)</f>
        <v>43768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SUM([1]Gen!A41)</f>
        <v>43769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10"/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Q69"/>
  <sheetViews>
    <sheetView topLeftCell="A16" zoomScale="70" zoomScaleNormal="70" workbookViewId="0">
      <selection activeCell="N83" sqref="N83"/>
    </sheetView>
  </sheetViews>
  <sheetFormatPr defaultRowHeight="12.75"/>
  <cols>
    <col min="1" max="1" width="14" customWidth="1"/>
    <col min="2" max="2" width="10.5703125" customWidth="1"/>
    <col min="3" max="3" width="10.85546875" customWidth="1"/>
    <col min="4" max="4" width="11.140625" customWidth="1"/>
    <col min="5" max="5" width="9.140625" hidden="1" customWidth="1"/>
    <col min="6" max="6" width="20" customWidth="1"/>
    <col min="7" max="7" width="17" style="15" customWidth="1"/>
    <col min="8" max="8" width="16.8554687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>
      <c r="A3" s="33"/>
      <c r="B3" s="38"/>
      <c r="C3" s="793" t="s">
        <v>72</v>
      </c>
      <c r="D3" s="794"/>
      <c r="E3" s="794"/>
      <c r="F3" s="795"/>
      <c r="G3" s="104"/>
      <c r="H3" s="42" t="e">
        <f>4579-#REF!</f>
        <v>#REF!</v>
      </c>
      <c r="I3" s="42"/>
      <c r="J3" s="118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>
      <c r="A6" s="5"/>
      <c r="B6" s="46"/>
      <c r="C6" s="796"/>
      <c r="D6" s="797"/>
      <c r="E6" s="798"/>
      <c r="F6" s="798"/>
      <c r="G6" s="49" t="s">
        <v>4</v>
      </c>
      <c r="H6" s="47" t="s">
        <v>14</v>
      </c>
      <c r="I6" s="42"/>
      <c r="J6" s="117"/>
    </row>
    <row r="7" spans="1:15" ht="18" customHeight="1">
      <c r="A7" s="799" t="s">
        <v>7</v>
      </c>
      <c r="B7" s="101" t="s">
        <v>74</v>
      </c>
      <c r="C7" s="100" t="s">
        <v>75</v>
      </c>
      <c r="D7" s="101" t="s">
        <v>76</v>
      </c>
      <c r="E7" s="106"/>
      <c r="F7" s="107" t="s">
        <v>38</v>
      </c>
      <c r="G7" s="108" t="s">
        <v>13</v>
      </c>
      <c r="H7" s="193" t="s">
        <v>12</v>
      </c>
      <c r="I7" s="109" t="s">
        <v>11</v>
      </c>
      <c r="J7" s="48" t="s">
        <v>10</v>
      </c>
    </row>
    <row r="8" spans="1:15" ht="18" customHeight="1">
      <c r="A8" s="800"/>
      <c r="B8" s="408" t="s">
        <v>61</v>
      </c>
      <c r="C8" s="101" t="s">
        <v>37</v>
      </c>
      <c r="D8" s="102" t="s">
        <v>60</v>
      </c>
      <c r="E8" s="111"/>
      <c r="F8" s="114" t="s">
        <v>16</v>
      </c>
      <c r="G8" s="112" t="s">
        <v>73</v>
      </c>
      <c r="H8" s="110" t="s">
        <v>1</v>
      </c>
      <c r="I8" s="113" t="s">
        <v>9</v>
      </c>
      <c r="J8" s="48" t="s">
        <v>8</v>
      </c>
    </row>
    <row r="9" spans="1:15" ht="18.75">
      <c r="A9" s="336"/>
      <c r="B9" s="371"/>
      <c r="C9" s="371"/>
      <c r="D9" s="371"/>
      <c r="E9" s="371"/>
      <c r="F9" s="371">
        <v>66501.600000000006</v>
      </c>
      <c r="G9" s="371"/>
      <c r="H9" s="34"/>
      <c r="I9" s="21"/>
      <c r="J9" s="120"/>
      <c r="N9" s="194"/>
      <c r="O9" s="194"/>
    </row>
    <row r="10" spans="1:15" ht="18.75">
      <c r="A10" s="97">
        <f>[1]Gen!A11</f>
        <v>43739</v>
      </c>
      <c r="B10" s="371">
        <v>85</v>
      </c>
      <c r="C10" s="371">
        <v>41</v>
      </c>
      <c r="D10" s="371">
        <v>85</v>
      </c>
      <c r="E10" s="371"/>
      <c r="F10" s="371">
        <v>66523.41</v>
      </c>
      <c r="G10" s="371">
        <f t="shared" ref="G10:G41" si="0">(F10-F9)*4.4</f>
        <v>95.963999999989767</v>
      </c>
      <c r="H10" s="115">
        <f>'[1]Summery Report'!C5</f>
        <v>0.623</v>
      </c>
      <c r="I10" s="6">
        <f>SUM(F10/H10)</f>
        <v>106779.14927768862</v>
      </c>
      <c r="J10" s="120">
        <f t="shared" ref="J10:J42" si="1">SUM(G10/I10)</f>
        <v>8.9871478326191659E-4</v>
      </c>
      <c r="N10" s="194"/>
      <c r="O10" s="194"/>
    </row>
    <row r="11" spans="1:15" ht="18.75">
      <c r="A11" s="97">
        <f>[1]Gen!A12</f>
        <v>43740</v>
      </c>
      <c r="B11" s="371">
        <v>85</v>
      </c>
      <c r="C11" s="371">
        <v>38</v>
      </c>
      <c r="D11" s="371">
        <v>85</v>
      </c>
      <c r="E11" s="371"/>
      <c r="F11" s="371">
        <v>66549</v>
      </c>
      <c r="G11" s="371">
        <f t="shared" si="0"/>
        <v>112.59599999998464</v>
      </c>
      <c r="H11" s="115">
        <f>'[1]Summery Report'!C6</f>
        <v>0.77900000000000003</v>
      </c>
      <c r="I11" s="6">
        <f t="shared" ref="I11:I41" si="2">SUM(F11/H11)</f>
        <v>85428.754813863925</v>
      </c>
      <c r="J11" s="120">
        <f t="shared" si="1"/>
        <v>1.3180105486181315E-3</v>
      </c>
      <c r="M11" s="194"/>
      <c r="N11" s="194"/>
    </row>
    <row r="12" spans="1:15" ht="18.75">
      <c r="A12" s="97">
        <f>[1]Gen!A13</f>
        <v>43741</v>
      </c>
      <c r="B12" s="371">
        <v>85</v>
      </c>
      <c r="C12" s="371">
        <v>33</v>
      </c>
      <c r="D12" s="371">
        <v>85</v>
      </c>
      <c r="E12" s="371"/>
      <c r="F12" s="371">
        <v>66575.399999999994</v>
      </c>
      <c r="G12" s="371">
        <f t="shared" si="0"/>
        <v>116.1599999999744</v>
      </c>
      <c r="H12" s="115">
        <f>'[1]Summery Report'!C7</f>
        <v>0.53200000000000003</v>
      </c>
      <c r="I12" s="6">
        <f t="shared" si="2"/>
        <v>125141.72932330826</v>
      </c>
      <c r="J12" s="120">
        <f t="shared" si="1"/>
        <v>9.2822754350685671E-4</v>
      </c>
      <c r="M12" s="194"/>
      <c r="N12" s="194"/>
    </row>
    <row r="13" spans="1:15" ht="18.75">
      <c r="A13" s="97">
        <f>[1]Gen!A14</f>
        <v>43742</v>
      </c>
      <c r="B13" s="371">
        <v>85</v>
      </c>
      <c r="C13" s="371">
        <v>29</v>
      </c>
      <c r="D13" s="371">
        <v>85</v>
      </c>
      <c r="E13" s="371"/>
      <c r="F13" s="371">
        <v>66602.2</v>
      </c>
      <c r="G13" s="371">
        <f t="shared" si="0"/>
        <v>117.92000000001282</v>
      </c>
      <c r="H13" s="115">
        <f>'[1]Summery Report'!C8</f>
        <v>0.61</v>
      </c>
      <c r="I13" s="6">
        <f t="shared" si="2"/>
        <v>109183.93442622951</v>
      </c>
      <c r="J13" s="120">
        <f t="shared" si="1"/>
        <v>1.0800123719638063E-3</v>
      </c>
      <c r="M13" s="194"/>
      <c r="N13" s="194"/>
    </row>
    <row r="14" spans="1:15" ht="18.75">
      <c r="A14" s="97">
        <f>[1]Gen!A15</f>
        <v>43743</v>
      </c>
      <c r="B14" s="371">
        <v>85</v>
      </c>
      <c r="C14" s="371">
        <v>24</v>
      </c>
      <c r="D14" s="371">
        <v>85</v>
      </c>
      <c r="E14" s="371"/>
      <c r="F14" s="371">
        <v>66629.8</v>
      </c>
      <c r="G14" s="371">
        <f t="shared" si="0"/>
        <v>121.44000000002562</v>
      </c>
      <c r="H14" s="115">
        <f>'[1]Summery Report'!C9</f>
        <v>0.68799999999999994</v>
      </c>
      <c r="I14" s="6">
        <f t="shared" si="2"/>
        <v>96845.63953488374</v>
      </c>
      <c r="J14" s="120">
        <f t="shared" si="1"/>
        <v>1.2539542366931556E-3</v>
      </c>
      <c r="M14" s="194"/>
      <c r="N14" s="194"/>
    </row>
    <row r="15" spans="1:15" ht="18.75">
      <c r="A15" s="97">
        <f>[1]Gen!A16</f>
        <v>43744</v>
      </c>
      <c r="B15" s="371">
        <v>85</v>
      </c>
      <c r="C15" s="371">
        <v>19</v>
      </c>
      <c r="D15" s="371">
        <v>85</v>
      </c>
      <c r="E15" s="371"/>
      <c r="F15" s="371">
        <v>66657.2</v>
      </c>
      <c r="G15" s="371">
        <f t="shared" si="0"/>
        <v>120.55999999997439</v>
      </c>
      <c r="H15" s="115">
        <f>'[1]Summery Report'!C10</f>
        <v>0.53200000000000003</v>
      </c>
      <c r="I15" s="6">
        <f t="shared" si="2"/>
        <v>125295.4887218045</v>
      </c>
      <c r="J15" s="120">
        <f t="shared" si="1"/>
        <v>9.6220543317130606E-4</v>
      </c>
      <c r="M15" s="194"/>
      <c r="N15" s="194"/>
    </row>
    <row r="16" spans="1:15" ht="18.75">
      <c r="A16" s="97">
        <f>[1]Gen!A17</f>
        <v>43745</v>
      </c>
      <c r="B16" s="371">
        <v>85</v>
      </c>
      <c r="C16" s="371">
        <v>15</v>
      </c>
      <c r="D16" s="371">
        <v>85</v>
      </c>
      <c r="E16" s="371"/>
      <c r="F16" s="371">
        <v>66684.399999999994</v>
      </c>
      <c r="G16" s="371">
        <f t="shared" si="0"/>
        <v>119.6799999999872</v>
      </c>
      <c r="H16" s="115">
        <f>'[1]Summery Report'!C11</f>
        <v>0.753</v>
      </c>
      <c r="I16" s="6">
        <f t="shared" si="2"/>
        <v>88558.30013280212</v>
      </c>
      <c r="J16" s="120">
        <f t="shared" si="1"/>
        <v>1.3514261206517622E-3</v>
      </c>
      <c r="M16" s="194"/>
      <c r="N16" s="194"/>
    </row>
    <row r="17" spans="1:14" ht="18.75">
      <c r="A17" s="97">
        <f>[1]Gen!A18</f>
        <v>43746</v>
      </c>
      <c r="B17" s="371">
        <v>85</v>
      </c>
      <c r="C17" s="371">
        <v>9</v>
      </c>
      <c r="D17" s="371">
        <v>85</v>
      </c>
      <c r="E17" s="371"/>
      <c r="F17" s="371">
        <v>66711.3</v>
      </c>
      <c r="G17" s="371">
        <f t="shared" si="0"/>
        <v>118.36000000003843</v>
      </c>
      <c r="H17" s="115">
        <f>'[1]Summery Report'!C12</f>
        <v>0.156</v>
      </c>
      <c r="I17" s="6">
        <f t="shared" si="2"/>
        <v>427636.5384615385</v>
      </c>
      <c r="J17" s="120">
        <f t="shared" si="1"/>
        <v>2.7677709773315753E-4</v>
      </c>
      <c r="M17" s="194"/>
      <c r="N17" s="194"/>
    </row>
    <row r="18" spans="1:14" ht="18.75">
      <c r="A18" s="97">
        <f>[1]Gen!A19</f>
        <v>43747</v>
      </c>
      <c r="B18" s="371">
        <v>85</v>
      </c>
      <c r="C18" s="371">
        <v>5</v>
      </c>
      <c r="D18" s="371">
        <v>76</v>
      </c>
      <c r="E18" s="371"/>
      <c r="F18" s="371">
        <v>66737.899999999994</v>
      </c>
      <c r="G18" s="371">
        <f t="shared" si="0"/>
        <v>117.03999999996159</v>
      </c>
      <c r="H18" s="115">
        <f>'[1]Summery Report'!C13</f>
        <v>0.442</v>
      </c>
      <c r="I18" s="6">
        <f t="shared" si="2"/>
        <v>150990.72398190043</v>
      </c>
      <c r="J18" s="120">
        <f t="shared" si="1"/>
        <v>7.7514695547781741E-4</v>
      </c>
      <c r="M18" s="194"/>
      <c r="N18" s="194"/>
    </row>
    <row r="19" spans="1:14" ht="18.75">
      <c r="A19" s="97">
        <f>[1]Gen!A20</f>
        <v>43748</v>
      </c>
      <c r="B19" s="371">
        <v>85</v>
      </c>
      <c r="C19" s="371">
        <v>5</v>
      </c>
      <c r="D19" s="371">
        <v>74</v>
      </c>
      <c r="E19" s="371"/>
      <c r="F19" s="371">
        <v>66764.3</v>
      </c>
      <c r="G19" s="371">
        <f t="shared" si="0"/>
        <v>116.16000000003842</v>
      </c>
      <c r="H19" s="115">
        <f>'[1]Summery Report'!C14</f>
        <v>0.32500000000000001</v>
      </c>
      <c r="I19" s="6">
        <f t="shared" si="2"/>
        <v>205428.61538461538</v>
      </c>
      <c r="J19" s="120">
        <f t="shared" si="1"/>
        <v>5.6545189569893626E-4</v>
      </c>
      <c r="M19" s="194"/>
      <c r="N19" s="194"/>
    </row>
    <row r="20" spans="1:14" ht="18.75">
      <c r="A20" s="97">
        <f>[1]Gen!A21</f>
        <v>43749</v>
      </c>
      <c r="B20" s="371">
        <v>85</v>
      </c>
      <c r="C20" s="371">
        <v>5</v>
      </c>
      <c r="D20" s="371">
        <v>72</v>
      </c>
      <c r="E20" s="371"/>
      <c r="F20" s="371">
        <v>66789.5</v>
      </c>
      <c r="G20" s="371">
        <f t="shared" si="0"/>
        <v>110.87999999998721</v>
      </c>
      <c r="H20" s="115">
        <f>'[1]Summery Report'!C15</f>
        <v>0.45500000000000002</v>
      </c>
      <c r="I20" s="6">
        <f t="shared" si="2"/>
        <v>146790.10989010989</v>
      </c>
      <c r="J20" s="120">
        <f t="shared" si="1"/>
        <v>7.5536424138516057E-4</v>
      </c>
    </row>
    <row r="21" spans="1:14" ht="18.75">
      <c r="A21" s="97">
        <f>[1]Gen!A22</f>
        <v>43750</v>
      </c>
      <c r="B21" s="371">
        <v>85</v>
      </c>
      <c r="C21" s="371">
        <v>5</v>
      </c>
      <c r="D21" s="371">
        <v>68</v>
      </c>
      <c r="E21" s="371"/>
      <c r="F21" s="371">
        <v>66814.100000000006</v>
      </c>
      <c r="G21" s="371">
        <f t="shared" si="0"/>
        <v>108.24000000002562</v>
      </c>
      <c r="H21" s="115">
        <f>'[1]Summery Report'!C16</f>
        <v>0.41599999999999998</v>
      </c>
      <c r="I21" s="6">
        <f t="shared" si="2"/>
        <v>160610.81730769234</v>
      </c>
      <c r="J21" s="120">
        <f t="shared" si="1"/>
        <v>6.7392720997529936E-4</v>
      </c>
    </row>
    <row r="22" spans="1:14" ht="18.75">
      <c r="A22" s="97">
        <f>[1]Gen!A23</f>
        <v>43751</v>
      </c>
      <c r="B22" s="371">
        <v>85</v>
      </c>
      <c r="C22" s="371">
        <v>5</v>
      </c>
      <c r="D22" s="371">
        <v>65</v>
      </c>
      <c r="E22" s="371"/>
      <c r="F22" s="371">
        <v>66837.8</v>
      </c>
      <c r="G22" s="371">
        <f t="shared" si="0"/>
        <v>104.2799999999872</v>
      </c>
      <c r="H22" s="115">
        <f>'[1]Summery Report'!C17</f>
        <v>0.39</v>
      </c>
      <c r="I22" s="6">
        <f t="shared" si="2"/>
        <v>171378.97435897437</v>
      </c>
      <c r="J22" s="120">
        <f t="shared" si="1"/>
        <v>6.0847604200011079E-4</v>
      </c>
    </row>
    <row r="23" spans="1:14" ht="18.75">
      <c r="A23" s="97">
        <f>[1]Gen!A24</f>
        <v>43752</v>
      </c>
      <c r="B23" s="371">
        <v>85</v>
      </c>
      <c r="C23" s="371">
        <v>5</v>
      </c>
      <c r="D23" s="371">
        <v>58</v>
      </c>
      <c r="E23" s="371"/>
      <c r="F23" s="371">
        <v>66862.100000000006</v>
      </c>
      <c r="G23" s="371">
        <f t="shared" si="0"/>
        <v>106.92000000001282</v>
      </c>
      <c r="H23" s="115">
        <f>'[1]Summery Report'!C18</f>
        <v>0.63600000000000001</v>
      </c>
      <c r="I23" s="6">
        <f t="shared" si="2"/>
        <v>105129.08805031447</v>
      </c>
      <c r="J23" s="120">
        <f t="shared" si="1"/>
        <v>1.0170353608398204E-3</v>
      </c>
    </row>
    <row r="24" spans="1:14" ht="18.75">
      <c r="A24" s="97">
        <f>[1]Gen!A25</f>
        <v>43753</v>
      </c>
      <c r="B24" s="371">
        <v>85</v>
      </c>
      <c r="C24" s="371">
        <v>5</v>
      </c>
      <c r="D24" s="371">
        <v>53</v>
      </c>
      <c r="E24" s="371"/>
      <c r="F24" s="371">
        <v>66886</v>
      </c>
      <c r="G24" s="371">
        <f t="shared" si="0"/>
        <v>105.1599999999744</v>
      </c>
      <c r="H24" s="115">
        <f>'[1]Summery Report'!C19</f>
        <v>0.84399999999999997</v>
      </c>
      <c r="I24" s="6">
        <f t="shared" si="2"/>
        <v>79248.815165876775</v>
      </c>
      <c r="J24" s="120">
        <f t="shared" si="1"/>
        <v>1.3269599019223514E-3</v>
      </c>
    </row>
    <row r="25" spans="1:14" ht="18.75">
      <c r="A25" s="97">
        <f>[1]Gen!A26</f>
        <v>43754</v>
      </c>
      <c r="B25" s="371">
        <v>85</v>
      </c>
      <c r="C25" s="371">
        <v>5</v>
      </c>
      <c r="D25" s="371">
        <v>48</v>
      </c>
      <c r="E25" s="371"/>
      <c r="F25" s="371">
        <v>66909.5</v>
      </c>
      <c r="G25" s="371">
        <f t="shared" si="0"/>
        <v>103.4</v>
      </c>
      <c r="H25" s="115">
        <f>'[1]Summery Report'!C20</f>
        <v>0.81799999999999995</v>
      </c>
      <c r="I25" s="6">
        <f t="shared" si="2"/>
        <v>81796.454767726173</v>
      </c>
      <c r="J25" s="120">
        <f t="shared" si="1"/>
        <v>1.264113466697554E-3</v>
      </c>
    </row>
    <row r="26" spans="1:14" ht="18.75">
      <c r="A26" s="97">
        <f>[1]Gen!A27</f>
        <v>43755</v>
      </c>
      <c r="B26" s="371">
        <v>85</v>
      </c>
      <c r="C26" s="371">
        <v>5</v>
      </c>
      <c r="D26" s="371">
        <v>44</v>
      </c>
      <c r="E26" s="371"/>
      <c r="F26" s="371">
        <v>66932.100000000006</v>
      </c>
      <c r="G26" s="371">
        <f t="shared" si="0"/>
        <v>99.44000000002562</v>
      </c>
      <c r="H26" s="115">
        <f>'[1]Summery Report'!C21</f>
        <v>0.20799999999999999</v>
      </c>
      <c r="I26" s="6">
        <f t="shared" si="2"/>
        <v>321788.94230769237</v>
      </c>
      <c r="J26" s="120">
        <f t="shared" si="1"/>
        <v>3.0902242720615857E-4</v>
      </c>
    </row>
    <row r="27" spans="1:14" ht="18.75">
      <c r="A27" s="97">
        <f>[1]Gen!A28</f>
        <v>43756</v>
      </c>
      <c r="B27" s="371">
        <v>85</v>
      </c>
      <c r="C27" s="371">
        <v>5</v>
      </c>
      <c r="D27" s="371">
        <v>39</v>
      </c>
      <c r="E27" s="371"/>
      <c r="F27" s="371">
        <v>66953.600000000006</v>
      </c>
      <c r="G27" s="371">
        <f t="shared" si="0"/>
        <v>94.600000000000009</v>
      </c>
      <c r="H27" s="115">
        <f>'[1]Summery Report'!C22</f>
        <v>0.221</v>
      </c>
      <c r="I27" s="6">
        <f t="shared" si="2"/>
        <v>302957.46606334846</v>
      </c>
      <c r="J27" s="120">
        <f t="shared" si="1"/>
        <v>3.1225505424652296E-4</v>
      </c>
    </row>
    <row r="28" spans="1:14" ht="18.75">
      <c r="A28" s="97">
        <f>[1]Gen!A29</f>
        <v>43757</v>
      </c>
      <c r="B28" s="371">
        <v>85</v>
      </c>
      <c r="C28" s="371">
        <v>5</v>
      </c>
      <c r="D28" s="371">
        <v>35</v>
      </c>
      <c r="E28" s="371"/>
      <c r="F28" s="371">
        <v>66977.399999999994</v>
      </c>
      <c r="G28" s="371">
        <f t="shared" si="0"/>
        <v>104.71999999994878</v>
      </c>
      <c r="H28" s="115">
        <f>'[1]Summery Report'!C23</f>
        <v>0.11700000000000001</v>
      </c>
      <c r="I28" s="6">
        <f t="shared" si="2"/>
        <v>572456.41025641013</v>
      </c>
      <c r="J28" s="120">
        <f t="shared" si="1"/>
        <v>1.8293095880093897E-4</v>
      </c>
    </row>
    <row r="29" spans="1:14" ht="18.75">
      <c r="A29" s="97">
        <f>[1]Gen!A30</f>
        <v>43758</v>
      </c>
      <c r="B29" s="371">
        <v>85</v>
      </c>
      <c r="C29" s="371">
        <v>5</v>
      </c>
      <c r="D29" s="371">
        <v>29</v>
      </c>
      <c r="E29" s="371"/>
      <c r="F29" s="371">
        <v>67004.3</v>
      </c>
      <c r="G29" s="371">
        <f t="shared" si="0"/>
        <v>118.36000000003843</v>
      </c>
      <c r="H29" s="115">
        <f>'[1]Summery Report'!C24</f>
        <v>0.57099999999999995</v>
      </c>
      <c r="I29" s="6">
        <f t="shared" si="2"/>
        <v>117345.53415061298</v>
      </c>
      <c r="J29" s="120">
        <f t="shared" si="1"/>
        <v>1.0086451168062637E-3</v>
      </c>
    </row>
    <row r="30" spans="1:14" ht="18.75">
      <c r="A30" s="97">
        <f>[1]Gen!A31</f>
        <v>43759</v>
      </c>
      <c r="B30" s="371">
        <v>85</v>
      </c>
      <c r="C30" s="371">
        <v>5</v>
      </c>
      <c r="D30" s="371">
        <v>24</v>
      </c>
      <c r="E30" s="371"/>
      <c r="F30" s="371">
        <v>67031.100000000006</v>
      </c>
      <c r="G30" s="371">
        <f t="shared" si="0"/>
        <v>117.92000000001282</v>
      </c>
      <c r="H30" s="115">
        <f>'[1]Summery Report'!C25</f>
        <v>0.55800000000000005</v>
      </c>
      <c r="I30" s="6">
        <f t="shared" si="2"/>
        <v>120127.41935483871</v>
      </c>
      <c r="J30" s="120">
        <f t="shared" si="1"/>
        <v>9.8162435048816383E-4</v>
      </c>
    </row>
    <row r="31" spans="1:14" ht="18.75">
      <c r="A31" s="97">
        <f>[1]Gen!A32</f>
        <v>43760</v>
      </c>
      <c r="B31" s="371">
        <v>85</v>
      </c>
      <c r="C31" s="371">
        <v>85</v>
      </c>
      <c r="D31" s="371">
        <v>85</v>
      </c>
      <c r="E31" s="371"/>
      <c r="F31" s="371">
        <v>67057.5</v>
      </c>
      <c r="G31" s="371">
        <f t="shared" si="0"/>
        <v>116.1599999999744</v>
      </c>
      <c r="H31" s="115">
        <f>'[1]Summery Report'!C26</f>
        <v>0.40300000000000002</v>
      </c>
      <c r="I31" s="6">
        <f t="shared" si="2"/>
        <v>166395.78163771713</v>
      </c>
      <c r="J31" s="120">
        <f t="shared" si="1"/>
        <v>6.9809462028840442E-4</v>
      </c>
    </row>
    <row r="32" spans="1:14" ht="18.75">
      <c r="A32" s="97">
        <f>[1]Gen!A33</f>
        <v>43761</v>
      </c>
      <c r="B32" s="371">
        <v>84</v>
      </c>
      <c r="C32" s="371">
        <v>85</v>
      </c>
      <c r="D32" s="371">
        <v>85</v>
      </c>
      <c r="E32" s="371"/>
      <c r="F32" s="371">
        <v>67082.100000000006</v>
      </c>
      <c r="G32" s="371">
        <f t="shared" si="0"/>
        <v>108.24000000002562</v>
      </c>
      <c r="H32" s="115">
        <f>'[1]Summery Report'!C27</f>
        <v>0.24</v>
      </c>
      <c r="I32" s="6">
        <f t="shared" si="2"/>
        <v>279508.75000000006</v>
      </c>
      <c r="J32" s="120">
        <f t="shared" si="1"/>
        <v>3.8725084635105554E-4</v>
      </c>
    </row>
    <row r="33" spans="1:17" ht="18.75">
      <c r="A33" s="97">
        <f>[1]Gen!A34</f>
        <v>43762</v>
      </c>
      <c r="B33" s="371">
        <v>81</v>
      </c>
      <c r="C33" s="371">
        <v>85</v>
      </c>
      <c r="D33" s="371">
        <v>85</v>
      </c>
      <c r="E33" s="371"/>
      <c r="F33" s="371">
        <v>67106.600000000006</v>
      </c>
      <c r="G33" s="371">
        <f t="shared" si="0"/>
        <v>107.80000000000001</v>
      </c>
      <c r="H33" s="115">
        <f>'[1]Summery Report'!C28</f>
        <v>0.09</v>
      </c>
      <c r="I33" s="6">
        <f t="shared" si="2"/>
        <v>745628.88888888899</v>
      </c>
      <c r="J33" s="120">
        <f t="shared" si="1"/>
        <v>1.4457594334983445E-4</v>
      </c>
    </row>
    <row r="34" spans="1:17" ht="18.75">
      <c r="A34" s="97">
        <f>[1]Gen!A35</f>
        <v>43763</v>
      </c>
      <c r="B34" s="371">
        <v>83</v>
      </c>
      <c r="C34" s="371">
        <v>85</v>
      </c>
      <c r="D34" s="371">
        <v>85</v>
      </c>
      <c r="E34" s="371"/>
      <c r="F34" s="371">
        <v>67131.899999999994</v>
      </c>
      <c r="G34" s="371">
        <f t="shared" si="0"/>
        <v>111.31999999994879</v>
      </c>
      <c r="H34" s="115">
        <f>'[1]Summery Report'!C29</f>
        <v>0.28599999999999998</v>
      </c>
      <c r="I34" s="6">
        <f t="shared" si="2"/>
        <v>234726.92307692306</v>
      </c>
      <c r="J34" s="120">
        <f t="shared" si="1"/>
        <v>4.7425322387695501E-4</v>
      </c>
    </row>
    <row r="35" spans="1:17" ht="18.75">
      <c r="A35" s="97">
        <f>[1]Gen!A36</f>
        <v>43764</v>
      </c>
      <c r="B35" s="371">
        <v>81</v>
      </c>
      <c r="C35" s="371">
        <v>85</v>
      </c>
      <c r="D35" s="371">
        <v>85</v>
      </c>
      <c r="E35" s="371"/>
      <c r="F35" s="371">
        <v>67158.7</v>
      </c>
      <c r="G35" s="371">
        <f t="shared" si="0"/>
        <v>117.92000000001282</v>
      </c>
      <c r="H35" s="115">
        <f>'[1]Summery Report'!C30</f>
        <v>0.54500000000000004</v>
      </c>
      <c r="I35" s="6">
        <f t="shared" si="2"/>
        <v>123226.97247706421</v>
      </c>
      <c r="J35" s="120">
        <f t="shared" si="1"/>
        <v>9.5693335338544361E-4</v>
      </c>
    </row>
    <row r="36" spans="1:17" ht="18.75">
      <c r="A36" s="97">
        <f>[1]Gen!A37</f>
        <v>43765</v>
      </c>
      <c r="B36" s="371">
        <v>80</v>
      </c>
      <c r="C36" s="371">
        <v>85</v>
      </c>
      <c r="D36" s="371">
        <v>85</v>
      </c>
      <c r="E36" s="371"/>
      <c r="F36" s="371">
        <v>67184.899999999994</v>
      </c>
      <c r="G36" s="371">
        <f t="shared" si="0"/>
        <v>115.2799999999872</v>
      </c>
      <c r="H36" s="115">
        <f>'[1]Summery Report'!C31</f>
        <v>0.67500000000000004</v>
      </c>
      <c r="I36" s="6">
        <f t="shared" si="2"/>
        <v>99533.185185185168</v>
      </c>
      <c r="J36" s="120">
        <f t="shared" si="1"/>
        <v>1.1582066803700142E-3</v>
      </c>
    </row>
    <row r="37" spans="1:17" ht="18.75">
      <c r="A37" s="97">
        <f>[1]Gen!A38</f>
        <v>43766</v>
      </c>
      <c r="B37" s="371">
        <v>78</v>
      </c>
      <c r="C37" s="371">
        <v>85</v>
      </c>
      <c r="D37" s="371">
        <v>85</v>
      </c>
      <c r="E37" s="371"/>
      <c r="F37" s="371">
        <v>67210</v>
      </c>
      <c r="G37" s="371">
        <f t="shared" si="0"/>
        <v>110.44000000002562</v>
      </c>
      <c r="H37" s="115">
        <f>'[1]Summery Report'!C32</f>
        <v>0.27300000000000002</v>
      </c>
      <c r="I37" s="6">
        <f t="shared" si="2"/>
        <v>246190.47619047618</v>
      </c>
      <c r="J37" s="120">
        <f t="shared" si="1"/>
        <v>4.4859574468095512E-4</v>
      </c>
    </row>
    <row r="38" spans="1:17" ht="18.75">
      <c r="A38" s="97">
        <f>[1]Gen!A39</f>
        <v>43767</v>
      </c>
      <c r="B38" s="371">
        <v>77</v>
      </c>
      <c r="C38" s="371">
        <v>85</v>
      </c>
      <c r="D38" s="371">
        <v>85</v>
      </c>
      <c r="E38" s="371"/>
      <c r="F38" s="371">
        <v>67234.899999999994</v>
      </c>
      <c r="G38" s="371">
        <f t="shared" si="0"/>
        <v>109.55999999997439</v>
      </c>
      <c r="H38" s="115">
        <f>'[1]Summery Report'!C33</f>
        <v>0</v>
      </c>
      <c r="I38" s="6" t="e">
        <f t="shared" si="2"/>
        <v>#DIV/0!</v>
      </c>
      <c r="J38" s="120" t="e">
        <f t="shared" si="1"/>
        <v>#DIV/0!</v>
      </c>
    </row>
    <row r="39" spans="1:17" ht="18.75">
      <c r="A39" s="97">
        <f>[1]Gen!A40</f>
        <v>43768</v>
      </c>
      <c r="B39" s="371">
        <v>76</v>
      </c>
      <c r="C39" s="371">
        <v>85</v>
      </c>
      <c r="D39" s="371">
        <v>85</v>
      </c>
      <c r="E39" s="371"/>
      <c r="F39" s="371">
        <v>67259.199999999997</v>
      </c>
      <c r="G39" s="371">
        <f t="shared" si="0"/>
        <v>106.92000000001282</v>
      </c>
      <c r="H39" s="115">
        <f>'[1]Summery Report'!C34</f>
        <v>0</v>
      </c>
      <c r="I39" s="6" t="e">
        <f t="shared" si="2"/>
        <v>#DIV/0!</v>
      </c>
      <c r="J39" s="120" t="e">
        <f t="shared" si="1"/>
        <v>#DIV/0!</v>
      </c>
    </row>
    <row r="40" spans="1:17" ht="18.75">
      <c r="A40" s="97">
        <f>[1]Gen!A41</f>
        <v>43769</v>
      </c>
      <c r="B40" s="371">
        <v>75</v>
      </c>
      <c r="C40" s="371">
        <v>85</v>
      </c>
      <c r="D40" s="371">
        <v>85</v>
      </c>
      <c r="E40" s="371"/>
      <c r="F40" s="371">
        <v>67286.399999999994</v>
      </c>
      <c r="G40" s="371">
        <f t="shared" si="0"/>
        <v>119.6799999999872</v>
      </c>
      <c r="H40" s="115">
        <f>'[1]Summery Report'!C35</f>
        <v>0</v>
      </c>
      <c r="I40" s="6" t="e">
        <f t="shared" si="2"/>
        <v>#DIV/0!</v>
      </c>
      <c r="J40" s="120" t="e">
        <f t="shared" si="1"/>
        <v>#DIV/0!</v>
      </c>
    </row>
    <row r="41" spans="1:17" ht="18.75">
      <c r="A41" s="97" t="e">
        <f>[1]Gen!A42</f>
        <v>#REF!</v>
      </c>
      <c r="B41" s="371"/>
      <c r="C41" s="371"/>
      <c r="D41" s="371"/>
      <c r="E41" s="371"/>
      <c r="F41" s="371"/>
      <c r="G41" s="371">
        <f t="shared" si="0"/>
        <v>-296060.15999999997</v>
      </c>
      <c r="H41" s="115">
        <f>'[1]Summery Report'!C36</f>
        <v>0</v>
      </c>
      <c r="I41" s="6" t="e">
        <f t="shared" si="2"/>
        <v>#DIV/0!</v>
      </c>
      <c r="J41" s="120" t="e">
        <f t="shared" si="1"/>
        <v>#DIV/0!</v>
      </c>
    </row>
    <row r="42" spans="1:17" ht="17.25">
      <c r="A42" s="97"/>
      <c r="B42" s="5"/>
      <c r="C42" s="792" t="s">
        <v>6</v>
      </c>
      <c r="D42" s="792"/>
      <c r="E42" s="2">
        <f t="shared" ref="E42:F42" si="3">SUM(E10:E40)</f>
        <v>0</v>
      </c>
      <c r="F42" s="2">
        <f t="shared" si="3"/>
        <v>2074144.61</v>
      </c>
      <c r="G42" s="105">
        <f>SUM(G10:G40)</f>
        <v>3453.119999999949</v>
      </c>
      <c r="H42" s="7"/>
      <c r="I42" s="6"/>
      <c r="J42" s="120" t="e">
        <f t="shared" si="1"/>
        <v>#DIV/0!</v>
      </c>
    </row>
    <row r="47" spans="1:17" ht="13.5" thickBot="1"/>
    <row r="48" spans="1:17">
      <c r="B48" s="801"/>
      <c r="C48" s="802"/>
      <c r="D48" s="802"/>
      <c r="E48" s="802"/>
      <c r="F48" s="803"/>
      <c r="H48" s="801"/>
      <c r="I48" s="802"/>
      <c r="J48" s="803"/>
      <c r="L48" s="801"/>
      <c r="M48" s="802"/>
      <c r="N48" s="802"/>
      <c r="O48" s="802"/>
      <c r="P48" s="802"/>
      <c r="Q48" s="803"/>
    </row>
    <row r="49" spans="2:17">
      <c r="B49" s="804"/>
      <c r="C49" s="805"/>
      <c r="D49" s="805"/>
      <c r="E49" s="805"/>
      <c r="F49" s="806"/>
      <c r="H49" s="804"/>
      <c r="I49" s="805"/>
      <c r="J49" s="806"/>
      <c r="L49" s="804"/>
      <c r="M49" s="805"/>
      <c r="N49" s="805"/>
      <c r="O49" s="805"/>
      <c r="P49" s="805"/>
      <c r="Q49" s="806"/>
    </row>
    <row r="50" spans="2:17">
      <c r="B50" s="804"/>
      <c r="C50" s="805"/>
      <c r="D50" s="805"/>
      <c r="E50" s="805"/>
      <c r="F50" s="806"/>
      <c r="H50" s="804"/>
      <c r="I50" s="805"/>
      <c r="J50" s="806"/>
      <c r="L50" s="804"/>
      <c r="M50" s="805"/>
      <c r="N50" s="805"/>
      <c r="O50" s="805"/>
      <c r="P50" s="805"/>
      <c r="Q50" s="806"/>
    </row>
    <row r="51" spans="2:17">
      <c r="B51" s="804"/>
      <c r="C51" s="805"/>
      <c r="D51" s="805"/>
      <c r="E51" s="805"/>
      <c r="F51" s="806"/>
      <c r="H51" s="804"/>
      <c r="I51" s="805"/>
      <c r="J51" s="806"/>
      <c r="L51" s="804"/>
      <c r="M51" s="805"/>
      <c r="N51" s="805"/>
      <c r="O51" s="805"/>
      <c r="P51" s="805"/>
      <c r="Q51" s="806"/>
    </row>
    <row r="52" spans="2:17">
      <c r="B52" s="804"/>
      <c r="C52" s="805"/>
      <c r="D52" s="805"/>
      <c r="E52" s="805"/>
      <c r="F52" s="806"/>
      <c r="H52" s="804"/>
      <c r="I52" s="805"/>
      <c r="J52" s="806"/>
      <c r="L52" s="804"/>
      <c r="M52" s="805"/>
      <c r="N52" s="805"/>
      <c r="O52" s="805"/>
      <c r="P52" s="805"/>
      <c r="Q52" s="806"/>
    </row>
    <row r="53" spans="2:17">
      <c r="B53" s="804"/>
      <c r="C53" s="805"/>
      <c r="D53" s="805"/>
      <c r="E53" s="805"/>
      <c r="F53" s="806"/>
      <c r="H53" s="804"/>
      <c r="I53" s="805"/>
      <c r="J53" s="806"/>
      <c r="L53" s="804"/>
      <c r="M53" s="805"/>
      <c r="N53" s="805"/>
      <c r="O53" s="805"/>
      <c r="P53" s="805"/>
      <c r="Q53" s="806"/>
    </row>
    <row r="54" spans="2:17">
      <c r="B54" s="804"/>
      <c r="C54" s="805"/>
      <c r="D54" s="805"/>
      <c r="E54" s="805"/>
      <c r="F54" s="806"/>
      <c r="H54" s="804"/>
      <c r="I54" s="805"/>
      <c r="J54" s="806"/>
      <c r="L54" s="804"/>
      <c r="M54" s="805"/>
      <c r="N54" s="805"/>
      <c r="O54" s="805"/>
      <c r="P54" s="805"/>
      <c r="Q54" s="806"/>
    </row>
    <row r="55" spans="2:17">
      <c r="B55" s="804"/>
      <c r="C55" s="805"/>
      <c r="D55" s="805"/>
      <c r="E55" s="805"/>
      <c r="F55" s="806"/>
      <c r="H55" s="804"/>
      <c r="I55" s="805"/>
      <c r="J55" s="806"/>
      <c r="L55" s="804"/>
      <c r="M55" s="805"/>
      <c r="N55" s="805"/>
      <c r="O55" s="805"/>
      <c r="P55" s="805"/>
      <c r="Q55" s="806"/>
    </row>
    <row r="56" spans="2:17">
      <c r="B56" s="804"/>
      <c r="C56" s="805"/>
      <c r="D56" s="805"/>
      <c r="E56" s="805"/>
      <c r="F56" s="806"/>
      <c r="H56" s="804"/>
      <c r="I56" s="805"/>
      <c r="J56" s="806"/>
      <c r="L56" s="804"/>
      <c r="M56" s="805"/>
      <c r="N56" s="805"/>
      <c r="O56" s="805"/>
      <c r="P56" s="805"/>
      <c r="Q56" s="806"/>
    </row>
    <row r="57" spans="2:17">
      <c r="B57" s="804"/>
      <c r="C57" s="805"/>
      <c r="D57" s="805"/>
      <c r="E57" s="805"/>
      <c r="F57" s="806"/>
      <c r="H57" s="804"/>
      <c r="I57" s="805"/>
      <c r="J57" s="806"/>
      <c r="L57" s="804"/>
      <c r="M57" s="805"/>
      <c r="N57" s="805"/>
      <c r="O57" s="805"/>
      <c r="P57" s="805"/>
      <c r="Q57" s="806"/>
    </row>
    <row r="58" spans="2:17">
      <c r="B58" s="804"/>
      <c r="C58" s="805"/>
      <c r="D58" s="805"/>
      <c r="E58" s="805"/>
      <c r="F58" s="806"/>
      <c r="H58" s="804"/>
      <c r="I58" s="805"/>
      <c r="J58" s="806"/>
      <c r="L58" s="804"/>
      <c r="M58" s="805"/>
      <c r="N58" s="805"/>
      <c r="O58" s="805"/>
      <c r="P58" s="805"/>
      <c r="Q58" s="806"/>
    </row>
    <row r="59" spans="2:17">
      <c r="B59" s="804"/>
      <c r="C59" s="805"/>
      <c r="D59" s="805"/>
      <c r="E59" s="805"/>
      <c r="F59" s="806"/>
      <c r="H59" s="804"/>
      <c r="I59" s="805"/>
      <c r="J59" s="806"/>
      <c r="L59" s="804"/>
      <c r="M59" s="805"/>
      <c r="N59" s="805"/>
      <c r="O59" s="805"/>
      <c r="P59" s="805"/>
      <c r="Q59" s="806"/>
    </row>
    <row r="60" spans="2:17">
      <c r="B60" s="804"/>
      <c r="C60" s="805"/>
      <c r="D60" s="805"/>
      <c r="E60" s="805"/>
      <c r="F60" s="806"/>
      <c r="H60" s="804"/>
      <c r="I60" s="805"/>
      <c r="J60" s="806"/>
      <c r="L60" s="804"/>
      <c r="M60" s="805"/>
      <c r="N60" s="805"/>
      <c r="O60" s="805"/>
      <c r="P60" s="805"/>
      <c r="Q60" s="806"/>
    </row>
    <row r="61" spans="2:17">
      <c r="B61" s="804"/>
      <c r="C61" s="805"/>
      <c r="D61" s="805"/>
      <c r="E61" s="805"/>
      <c r="F61" s="806"/>
      <c r="H61" s="804"/>
      <c r="I61" s="805"/>
      <c r="J61" s="806"/>
      <c r="L61" s="804"/>
      <c r="M61" s="805"/>
      <c r="N61" s="805"/>
      <c r="O61" s="805"/>
      <c r="P61" s="805"/>
      <c r="Q61" s="806"/>
    </row>
    <row r="62" spans="2:17">
      <c r="B62" s="804"/>
      <c r="C62" s="805"/>
      <c r="D62" s="805"/>
      <c r="E62" s="805"/>
      <c r="F62" s="806"/>
      <c r="H62" s="804"/>
      <c r="I62" s="805"/>
      <c r="J62" s="806"/>
      <c r="L62" s="804"/>
      <c r="M62" s="805"/>
      <c r="N62" s="805"/>
      <c r="O62" s="805"/>
      <c r="P62" s="805"/>
      <c r="Q62" s="806"/>
    </row>
    <row r="63" spans="2:17">
      <c r="B63" s="804"/>
      <c r="C63" s="805"/>
      <c r="D63" s="805"/>
      <c r="E63" s="805"/>
      <c r="F63" s="806"/>
      <c r="H63" s="804"/>
      <c r="I63" s="805"/>
      <c r="J63" s="806"/>
      <c r="L63" s="804"/>
      <c r="M63" s="805"/>
      <c r="N63" s="805"/>
      <c r="O63" s="805"/>
      <c r="P63" s="805"/>
      <c r="Q63" s="806"/>
    </row>
    <row r="64" spans="2:17">
      <c r="B64" s="804"/>
      <c r="C64" s="805"/>
      <c r="D64" s="805"/>
      <c r="E64" s="805"/>
      <c r="F64" s="806"/>
      <c r="H64" s="804"/>
      <c r="I64" s="805"/>
      <c r="J64" s="806"/>
      <c r="L64" s="804"/>
      <c r="M64" s="805"/>
      <c r="N64" s="805"/>
      <c r="O64" s="805"/>
      <c r="P64" s="805"/>
      <c r="Q64" s="806"/>
    </row>
    <row r="65" spans="2:17">
      <c r="B65" s="804"/>
      <c r="C65" s="805"/>
      <c r="D65" s="805"/>
      <c r="E65" s="805"/>
      <c r="F65" s="806"/>
      <c r="H65" s="804"/>
      <c r="I65" s="805"/>
      <c r="J65" s="806"/>
      <c r="L65" s="804"/>
      <c r="M65" s="805"/>
      <c r="N65" s="805"/>
      <c r="O65" s="805"/>
      <c r="P65" s="805"/>
      <c r="Q65" s="806"/>
    </row>
    <row r="66" spans="2:17" ht="13.5" thickBot="1">
      <c r="B66" s="807"/>
      <c r="C66" s="808"/>
      <c r="D66" s="808"/>
      <c r="E66" s="808"/>
      <c r="F66" s="809"/>
      <c r="H66" s="807"/>
      <c r="I66" s="808"/>
      <c r="J66" s="809"/>
      <c r="L66" s="807"/>
      <c r="M66" s="808"/>
      <c r="N66" s="808"/>
      <c r="O66" s="808"/>
      <c r="P66" s="808"/>
      <c r="Q66" s="809"/>
    </row>
    <row r="67" spans="2:17" ht="13.5" thickBot="1"/>
    <row r="68" spans="2:17">
      <c r="B68" s="810" t="s">
        <v>357</v>
      </c>
      <c r="C68" s="811"/>
      <c r="D68" s="811"/>
      <c r="E68" s="811"/>
      <c r="F68" s="812"/>
      <c r="H68" s="810" t="s">
        <v>358</v>
      </c>
      <c r="I68" s="811"/>
      <c r="J68" s="812"/>
      <c r="L68" s="810" t="s">
        <v>359</v>
      </c>
      <c r="M68" s="811"/>
      <c r="N68" s="811"/>
      <c r="O68" s="811"/>
      <c r="P68" s="811"/>
      <c r="Q68" s="812"/>
    </row>
    <row r="69" spans="2:17" ht="13.5" thickBot="1">
      <c r="B69" s="813"/>
      <c r="C69" s="814"/>
      <c r="D69" s="814"/>
      <c r="E69" s="814"/>
      <c r="F69" s="815"/>
      <c r="H69" s="813"/>
      <c r="I69" s="814"/>
      <c r="J69" s="815"/>
      <c r="L69" s="813"/>
      <c r="M69" s="814"/>
      <c r="N69" s="814"/>
      <c r="O69" s="814"/>
      <c r="P69" s="814"/>
      <c r="Q69" s="815"/>
    </row>
  </sheetData>
  <mergeCells count="11">
    <mergeCell ref="B48:F66"/>
    <mergeCell ref="H48:J66"/>
    <mergeCell ref="L48:Q66"/>
    <mergeCell ref="B68:F69"/>
    <mergeCell ref="H68:J69"/>
    <mergeCell ref="L68:Q69"/>
    <mergeCell ref="C42:D42"/>
    <mergeCell ref="C3:F3"/>
    <mergeCell ref="C6:D6"/>
    <mergeCell ref="E6:F6"/>
    <mergeCell ref="A7:A8"/>
  </mergeCells>
  <pageMargins left="0.75" right="0.75" top="1" bottom="1" header="0.5" footer="0.5"/>
  <pageSetup scale="5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77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7"/>
  <sheetViews>
    <sheetView topLeftCell="A40" zoomScale="98" zoomScaleNormal="98" workbookViewId="0">
      <pane xSplit="1" topLeftCell="B1" activePane="topRight" state="frozen"/>
      <selection pane="topRight" activeCell="AP6" sqref="AP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3.28515625" bestFit="1" customWidth="1"/>
    <col min="9" max="9" width="10.28515625" customWidth="1"/>
    <col min="10" max="10" width="9.42578125" customWidth="1"/>
    <col min="11" max="11" width="13.28515625" bestFit="1" customWidth="1"/>
    <col min="12" max="14" width="10.28515625" customWidth="1"/>
    <col min="15" max="15" width="9.28515625" customWidth="1"/>
    <col min="16" max="16" width="10.140625" bestFit="1" customWidth="1"/>
    <col min="17" max="17" width="13.42578125" bestFit="1" customWidth="1"/>
    <col min="18" max="18" width="12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20" t="s">
        <v>267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  <c r="P1" s="821"/>
      <c r="Q1" s="821"/>
      <c r="R1" s="821"/>
      <c r="S1" s="821"/>
      <c r="T1" s="821"/>
      <c r="U1" s="821"/>
      <c r="V1" s="821"/>
      <c r="W1" s="821"/>
      <c r="X1" s="821"/>
      <c r="Y1" s="821"/>
      <c r="Z1" s="821"/>
      <c r="AA1" s="821"/>
      <c r="AB1" s="821"/>
      <c r="AC1" s="821"/>
      <c r="AD1" s="821"/>
      <c r="AE1" s="821"/>
      <c r="AF1" s="821"/>
      <c r="AG1" s="821"/>
      <c r="AH1" s="821"/>
      <c r="AI1" s="821"/>
      <c r="AJ1" s="821"/>
      <c r="AK1" s="821"/>
      <c r="AL1" s="821"/>
      <c r="AM1" s="821"/>
      <c r="AN1" s="821"/>
    </row>
    <row r="2" spans="1:40" ht="13.5" customHeight="1" thickTop="1">
      <c r="A2" s="30"/>
      <c r="B2" s="30"/>
      <c r="C2" s="817" t="s">
        <v>54</v>
      </c>
      <c r="D2" s="817"/>
      <c r="E2" s="817"/>
      <c r="F2" s="817" t="s">
        <v>17</v>
      </c>
      <c r="G2" s="817"/>
      <c r="H2" s="817"/>
      <c r="I2" s="817" t="s">
        <v>133</v>
      </c>
      <c r="J2" s="817"/>
      <c r="K2" s="817"/>
      <c r="L2" s="817" t="s">
        <v>136</v>
      </c>
      <c r="M2" s="817"/>
      <c r="N2" s="817"/>
      <c r="O2" s="817" t="s">
        <v>134</v>
      </c>
      <c r="P2" s="817"/>
      <c r="Q2" s="817"/>
      <c r="R2" s="346"/>
      <c r="S2" s="828" t="s">
        <v>186</v>
      </c>
      <c r="T2" s="829"/>
      <c r="U2" s="830"/>
      <c r="V2" s="828" t="s">
        <v>187</v>
      </c>
      <c r="W2" s="829"/>
      <c r="X2" s="830"/>
      <c r="Y2" s="828" t="s">
        <v>188</v>
      </c>
      <c r="Z2" s="829"/>
      <c r="AA2" s="830"/>
      <c r="AB2" s="828" t="s">
        <v>189</v>
      </c>
      <c r="AC2" s="829"/>
      <c r="AD2" s="830"/>
      <c r="AE2" s="822" t="s">
        <v>244</v>
      </c>
      <c r="AF2" s="823"/>
      <c r="AG2" s="834"/>
      <c r="AH2" s="822" t="s">
        <v>248</v>
      </c>
      <c r="AI2" s="823"/>
      <c r="AJ2" s="834"/>
      <c r="AK2" s="822" t="s">
        <v>245</v>
      </c>
      <c r="AL2" s="823"/>
      <c r="AM2" s="823"/>
      <c r="AN2" s="826" t="s">
        <v>194</v>
      </c>
    </row>
    <row r="3" spans="1:40" ht="21.75" customHeight="1" thickBot="1">
      <c r="A3" s="818" t="s">
        <v>7</v>
      </c>
      <c r="B3" s="30"/>
      <c r="C3" s="817" t="s">
        <v>135</v>
      </c>
      <c r="D3" s="817" t="s">
        <v>15</v>
      </c>
      <c r="E3" s="817" t="s">
        <v>16</v>
      </c>
      <c r="F3" s="817" t="s">
        <v>135</v>
      </c>
      <c r="G3" s="817" t="s">
        <v>15</v>
      </c>
      <c r="H3" s="817" t="s">
        <v>16</v>
      </c>
      <c r="I3" s="817" t="s">
        <v>135</v>
      </c>
      <c r="J3" s="817" t="s">
        <v>15</v>
      </c>
      <c r="K3" s="817" t="s">
        <v>16</v>
      </c>
      <c r="L3" s="817" t="s">
        <v>135</v>
      </c>
      <c r="M3" s="817" t="s">
        <v>15</v>
      </c>
      <c r="N3" s="817" t="s">
        <v>16</v>
      </c>
      <c r="O3" s="817" t="s">
        <v>135</v>
      </c>
      <c r="P3" s="817" t="s">
        <v>15</v>
      </c>
      <c r="Q3" s="817" t="s">
        <v>16</v>
      </c>
      <c r="R3" s="836" t="s">
        <v>190</v>
      </c>
      <c r="S3" s="831"/>
      <c r="T3" s="832"/>
      <c r="U3" s="833"/>
      <c r="V3" s="831"/>
      <c r="W3" s="832"/>
      <c r="X3" s="833"/>
      <c r="Y3" s="831"/>
      <c r="Z3" s="832"/>
      <c r="AA3" s="833"/>
      <c r="AB3" s="831"/>
      <c r="AC3" s="832"/>
      <c r="AD3" s="833"/>
      <c r="AE3" s="824"/>
      <c r="AF3" s="825"/>
      <c r="AG3" s="835"/>
      <c r="AH3" s="824"/>
      <c r="AI3" s="825"/>
      <c r="AJ3" s="835"/>
      <c r="AK3" s="824"/>
      <c r="AL3" s="825"/>
      <c r="AM3" s="825"/>
      <c r="AN3" s="827"/>
    </row>
    <row r="4" spans="1:40" ht="15.75" thickTop="1">
      <c r="A4" s="819"/>
      <c r="B4" s="337"/>
      <c r="C4" s="817"/>
      <c r="D4" s="817"/>
      <c r="E4" s="817"/>
      <c r="F4" s="817"/>
      <c r="G4" s="817"/>
      <c r="H4" s="817"/>
      <c r="I4" s="817"/>
      <c r="J4" s="817"/>
      <c r="K4" s="817"/>
      <c r="L4" s="817"/>
      <c r="M4" s="817"/>
      <c r="N4" s="817"/>
      <c r="O4" s="817"/>
      <c r="P4" s="817"/>
      <c r="Q4" s="817"/>
      <c r="R4" s="836"/>
      <c r="S4" s="352" t="s">
        <v>191</v>
      </c>
      <c r="T4" s="353" t="s">
        <v>192</v>
      </c>
      <c r="U4" s="350" t="s">
        <v>193</v>
      </c>
      <c r="V4" s="348" t="s">
        <v>191</v>
      </c>
      <c r="W4" s="349" t="s">
        <v>192</v>
      </c>
      <c r="X4" s="350" t="s">
        <v>193</v>
      </c>
      <c r="Y4" s="348" t="s">
        <v>191</v>
      </c>
      <c r="Z4" s="349" t="s">
        <v>192</v>
      </c>
      <c r="AA4" s="350" t="s">
        <v>193</v>
      </c>
      <c r="AB4" s="348" t="s">
        <v>191</v>
      </c>
      <c r="AC4" s="349" t="s">
        <v>192</v>
      </c>
      <c r="AD4" s="402" t="s">
        <v>121</v>
      </c>
      <c r="AE4" s="348" t="s">
        <v>191</v>
      </c>
      <c r="AF4" s="349" t="s">
        <v>192</v>
      </c>
      <c r="AG4" s="403" t="s">
        <v>121</v>
      </c>
      <c r="AH4" s="348" t="s">
        <v>191</v>
      </c>
      <c r="AI4" s="349" t="s">
        <v>192</v>
      </c>
      <c r="AJ4" s="403" t="s">
        <v>121</v>
      </c>
      <c r="AK4" s="348" t="s">
        <v>191</v>
      </c>
      <c r="AL4" s="349" t="s">
        <v>192</v>
      </c>
      <c r="AM4" s="403" t="s">
        <v>121</v>
      </c>
      <c r="AN4" s="404"/>
    </row>
    <row r="5" spans="1:40" ht="20.25">
      <c r="A5" s="4"/>
      <c r="B5" s="4"/>
      <c r="C5" s="98">
        <f t="shared" ref="C5:C24" si="0">D4</f>
        <v>0</v>
      </c>
      <c r="D5" s="1">
        <v>212333</v>
      </c>
      <c r="E5" s="59">
        <f>D5-D4</f>
        <v>212333</v>
      </c>
      <c r="F5" s="98">
        <f t="shared" ref="F5:F37" si="1">G4</f>
        <v>0</v>
      </c>
      <c r="G5" s="574">
        <v>36423</v>
      </c>
      <c r="H5" s="59">
        <f>G5-G4</f>
        <v>36423</v>
      </c>
      <c r="I5" s="98">
        <f t="shared" ref="I5:I37" si="2">J4</f>
        <v>0</v>
      </c>
      <c r="J5" s="1">
        <v>7351</v>
      </c>
      <c r="K5" s="59">
        <f>J5-J4</f>
        <v>7351</v>
      </c>
      <c r="L5" s="98">
        <f>M4</f>
        <v>0</v>
      </c>
      <c r="M5" s="1">
        <v>10201</v>
      </c>
      <c r="N5" s="29">
        <f t="shared" ref="N5:N6" si="3">M5-M4</f>
        <v>10201</v>
      </c>
      <c r="O5" s="98">
        <f t="shared" ref="O5:O37" si="4">P4</f>
        <v>0</v>
      </c>
      <c r="P5" s="566">
        <v>18541</v>
      </c>
      <c r="Q5" s="59">
        <f>P5-P4</f>
        <v>18541</v>
      </c>
      <c r="R5" s="339"/>
      <c r="S5" s="338" t="str">
        <f t="shared" ref="S5:S37" si="5">T4</f>
        <v>FINAL</v>
      </c>
      <c r="T5" s="567">
        <v>45036</v>
      </c>
      <c r="U5" s="338" t="str">
        <f t="shared" ref="U5:V20" si="6">V4</f>
        <v xml:space="preserve">OPEN </v>
      </c>
      <c r="V5" s="338" t="str">
        <f t="shared" si="6"/>
        <v>FINAL</v>
      </c>
      <c r="W5" s="567">
        <v>62658</v>
      </c>
      <c r="X5" s="339"/>
      <c r="Y5" s="338" t="str">
        <f t="shared" ref="Y5:Y37" si="7">Z4</f>
        <v>FINAL</v>
      </c>
      <c r="Z5" s="567">
        <v>71806</v>
      </c>
      <c r="AA5" s="339"/>
      <c r="AB5" s="338" t="str">
        <f t="shared" ref="AB5:AB37" si="8">AC4</f>
        <v>FINAL</v>
      </c>
      <c r="AC5" s="567">
        <v>11327</v>
      </c>
      <c r="AD5" s="354"/>
      <c r="AE5" s="338" t="str">
        <f t="shared" ref="AE5:AE37" si="9">AF4</f>
        <v>FINAL</v>
      </c>
      <c r="AF5" s="568">
        <v>13704</v>
      </c>
      <c r="AG5" s="354"/>
      <c r="AH5" s="338" t="str">
        <f t="shared" ref="AH5:AH37" si="10">AI4</f>
        <v>FINAL</v>
      </c>
      <c r="AI5" s="568">
        <v>22158</v>
      </c>
      <c r="AJ5" s="354"/>
      <c r="AK5" s="450" t="str">
        <f t="shared" ref="AK5:AK37" si="11">AL4</f>
        <v>FINAL</v>
      </c>
      <c r="AL5" s="567">
        <v>15154</v>
      </c>
      <c r="AM5" s="354"/>
      <c r="AN5" s="580"/>
    </row>
    <row r="6" spans="1:40" ht="23.1" customHeight="1">
      <c r="A6" s="58">
        <f>[1]Gen!A11</f>
        <v>43739</v>
      </c>
      <c r="B6" s="4"/>
      <c r="C6" s="98">
        <f t="shared" si="0"/>
        <v>212333</v>
      </c>
      <c r="D6" s="1">
        <v>212463</v>
      </c>
      <c r="E6" s="59">
        <f>D6-D5</f>
        <v>130</v>
      </c>
      <c r="F6" s="98">
        <f t="shared" si="1"/>
        <v>36423</v>
      </c>
      <c r="G6" s="574">
        <v>36434</v>
      </c>
      <c r="H6" s="59">
        <f>G6-G5</f>
        <v>11</v>
      </c>
      <c r="I6" s="98">
        <f t="shared" si="2"/>
        <v>7351</v>
      </c>
      <c r="J6" s="1">
        <v>7353</v>
      </c>
      <c r="K6" s="59">
        <f>J6-J5</f>
        <v>2</v>
      </c>
      <c r="L6" s="98">
        <f t="shared" ref="L6:L37" si="12">M5</f>
        <v>10201</v>
      </c>
      <c r="M6" s="1">
        <v>10227</v>
      </c>
      <c r="N6" s="29">
        <f t="shared" si="3"/>
        <v>26</v>
      </c>
      <c r="O6" s="98">
        <f t="shared" si="4"/>
        <v>18541</v>
      </c>
      <c r="P6" s="566">
        <v>18547</v>
      </c>
      <c r="Q6" s="59">
        <f>P6-P5</f>
        <v>6</v>
      </c>
      <c r="R6" s="344"/>
      <c r="S6" s="338">
        <f t="shared" si="5"/>
        <v>45036</v>
      </c>
      <c r="T6" s="567">
        <v>45061</v>
      </c>
      <c r="U6" s="579">
        <f t="shared" ref="U6:U37" si="13">T6-T5</f>
        <v>25</v>
      </c>
      <c r="V6" s="338">
        <f t="shared" si="6"/>
        <v>62658</v>
      </c>
      <c r="W6" s="567">
        <v>62709</v>
      </c>
      <c r="X6" s="579">
        <f>W6-W5</f>
        <v>51</v>
      </c>
      <c r="Y6" s="338">
        <f t="shared" si="7"/>
        <v>71806</v>
      </c>
      <c r="Z6" s="567">
        <v>71856</v>
      </c>
      <c r="AA6" s="579">
        <f>Z6-Z5</f>
        <v>50</v>
      </c>
      <c r="AB6" s="338">
        <f t="shared" si="8"/>
        <v>11327</v>
      </c>
      <c r="AC6" s="567">
        <v>11327</v>
      </c>
      <c r="AD6" s="340">
        <f>AC6-AC5</f>
        <v>0</v>
      </c>
      <c r="AE6" s="338">
        <f t="shared" si="9"/>
        <v>13704</v>
      </c>
      <c r="AF6" s="568">
        <v>13717</v>
      </c>
      <c r="AG6" s="340">
        <f>AF6-AF5</f>
        <v>13</v>
      </c>
      <c r="AH6" s="338">
        <f t="shared" si="10"/>
        <v>22158</v>
      </c>
      <c r="AI6" s="568">
        <v>22179</v>
      </c>
      <c r="AJ6" s="340">
        <f>AI6-AI5</f>
        <v>21</v>
      </c>
      <c r="AK6" s="450">
        <f t="shared" si="11"/>
        <v>15154</v>
      </c>
      <c r="AL6" s="567">
        <v>15154</v>
      </c>
      <c r="AM6" s="579">
        <f>AL6-AL5</f>
        <v>0</v>
      </c>
      <c r="AN6" s="580">
        <f>AM6+AJ6+AG6+AD6+AA6+X6+U6</f>
        <v>160</v>
      </c>
    </row>
    <row r="7" spans="1:40" ht="23.1" customHeight="1">
      <c r="A7" s="58">
        <f>[1]Gen!A12</f>
        <v>43740</v>
      </c>
      <c r="B7" s="4"/>
      <c r="C7" s="98">
        <f t="shared" si="0"/>
        <v>212463</v>
      </c>
      <c r="D7" s="1">
        <v>212591</v>
      </c>
      <c r="E7" s="59">
        <f t="shared" ref="E7:E37" si="14">D7-D6</f>
        <v>128</v>
      </c>
      <c r="F7" s="98">
        <f t="shared" si="1"/>
        <v>36434</v>
      </c>
      <c r="G7" s="574">
        <v>36454</v>
      </c>
      <c r="H7" s="59">
        <f t="shared" ref="H7:H37" si="15">G7-G6</f>
        <v>20</v>
      </c>
      <c r="I7" s="98">
        <f t="shared" si="2"/>
        <v>7353</v>
      </c>
      <c r="J7" s="1">
        <v>7357</v>
      </c>
      <c r="K7" s="59">
        <f t="shared" ref="K7:K37" si="16">J7-J6</f>
        <v>4</v>
      </c>
      <c r="L7" s="98">
        <f t="shared" si="12"/>
        <v>10227</v>
      </c>
      <c r="M7" s="1">
        <v>10240</v>
      </c>
      <c r="N7" s="29">
        <f>M7-M6</f>
        <v>13</v>
      </c>
      <c r="O7" s="98">
        <f t="shared" si="4"/>
        <v>18547</v>
      </c>
      <c r="P7" s="566">
        <v>18554</v>
      </c>
      <c r="Q7" s="59">
        <f t="shared" ref="Q7:Q37" si="17">P7-P6</f>
        <v>7</v>
      </c>
      <c r="R7" s="344"/>
      <c r="S7" s="338">
        <f t="shared" si="5"/>
        <v>45061</v>
      </c>
      <c r="T7" s="567">
        <v>45090</v>
      </c>
      <c r="U7" s="579">
        <f t="shared" si="13"/>
        <v>29</v>
      </c>
      <c r="V7" s="338">
        <f t="shared" si="6"/>
        <v>62709</v>
      </c>
      <c r="W7" s="567">
        <v>62763</v>
      </c>
      <c r="X7" s="579">
        <f t="shared" ref="X7:X36" si="18">W7-W6</f>
        <v>54</v>
      </c>
      <c r="Y7" s="338">
        <f t="shared" si="7"/>
        <v>71856</v>
      </c>
      <c r="Z7" s="567">
        <v>71908</v>
      </c>
      <c r="AA7" s="579">
        <f t="shared" ref="AA7:AA37" si="19">Z7-Z6</f>
        <v>52</v>
      </c>
      <c r="AB7" s="338">
        <f t="shared" si="8"/>
        <v>11327</v>
      </c>
      <c r="AC7" s="567">
        <v>11327</v>
      </c>
      <c r="AD7" s="340">
        <f t="shared" ref="AD7:AD36" si="20">AC7-AC6</f>
        <v>0</v>
      </c>
      <c r="AE7" s="338">
        <f t="shared" si="9"/>
        <v>13717</v>
      </c>
      <c r="AF7" s="568">
        <v>13730</v>
      </c>
      <c r="AG7" s="340">
        <f t="shared" ref="AG7:AG37" si="21">AF7-AF6</f>
        <v>13</v>
      </c>
      <c r="AH7" s="338">
        <f t="shared" si="10"/>
        <v>22179</v>
      </c>
      <c r="AI7" s="568">
        <v>22199</v>
      </c>
      <c r="AJ7" s="340">
        <f t="shared" ref="AJ7:AJ37" si="22">AI7-AI6</f>
        <v>20</v>
      </c>
      <c r="AK7" s="450">
        <f t="shared" si="11"/>
        <v>15154</v>
      </c>
      <c r="AL7" s="567">
        <v>15154</v>
      </c>
      <c r="AM7" s="579">
        <f t="shared" ref="AM7:AM37" si="23">AL7-AL6</f>
        <v>0</v>
      </c>
      <c r="AN7" s="580">
        <f t="shared" ref="AN7:AN37" si="24">AM7+AJ7+AG7+AD7+AA7+X7+U7</f>
        <v>168</v>
      </c>
    </row>
    <row r="8" spans="1:40" ht="23.1" customHeight="1">
      <c r="A8" s="58">
        <f>[1]Gen!A13</f>
        <v>43741</v>
      </c>
      <c r="B8" s="4"/>
      <c r="C8" s="98">
        <f t="shared" si="0"/>
        <v>212591</v>
      </c>
      <c r="D8" s="1">
        <v>212711</v>
      </c>
      <c r="E8" s="59">
        <f t="shared" si="14"/>
        <v>120</v>
      </c>
      <c r="F8" s="98">
        <f t="shared" si="1"/>
        <v>36454</v>
      </c>
      <c r="G8" s="574">
        <v>36472</v>
      </c>
      <c r="H8" s="59">
        <f t="shared" si="15"/>
        <v>18</v>
      </c>
      <c r="I8" s="98">
        <f t="shared" si="2"/>
        <v>7357</v>
      </c>
      <c r="J8" s="1">
        <v>7360</v>
      </c>
      <c r="K8" s="59">
        <f t="shared" si="16"/>
        <v>3</v>
      </c>
      <c r="L8" s="98">
        <f t="shared" si="12"/>
        <v>10240</v>
      </c>
      <c r="M8" s="1">
        <v>10255</v>
      </c>
      <c r="N8" s="29">
        <f t="shared" ref="N8:N38" si="25">M8-M7</f>
        <v>15</v>
      </c>
      <c r="O8" s="98">
        <f t="shared" si="4"/>
        <v>18554</v>
      </c>
      <c r="P8" s="566">
        <v>18563</v>
      </c>
      <c r="Q8" s="59">
        <f t="shared" si="17"/>
        <v>9</v>
      </c>
      <c r="R8" s="344"/>
      <c r="S8" s="338">
        <f t="shared" si="5"/>
        <v>45090</v>
      </c>
      <c r="T8" s="567">
        <v>45120</v>
      </c>
      <c r="U8" s="579">
        <f t="shared" si="13"/>
        <v>30</v>
      </c>
      <c r="V8" s="338">
        <f t="shared" si="6"/>
        <v>62763</v>
      </c>
      <c r="W8" s="567">
        <v>62815</v>
      </c>
      <c r="X8" s="579">
        <f t="shared" si="18"/>
        <v>52</v>
      </c>
      <c r="Y8" s="338">
        <f t="shared" si="7"/>
        <v>71908</v>
      </c>
      <c r="Z8" s="567">
        <v>71959</v>
      </c>
      <c r="AA8" s="579">
        <f t="shared" si="19"/>
        <v>51</v>
      </c>
      <c r="AB8" s="338">
        <f t="shared" si="8"/>
        <v>11327</v>
      </c>
      <c r="AC8" s="567">
        <v>11327</v>
      </c>
      <c r="AD8" s="340">
        <f t="shared" si="20"/>
        <v>0</v>
      </c>
      <c r="AE8" s="338">
        <f t="shared" si="9"/>
        <v>13730</v>
      </c>
      <c r="AF8" s="568">
        <v>13742</v>
      </c>
      <c r="AG8" s="340">
        <f t="shared" si="21"/>
        <v>12</v>
      </c>
      <c r="AH8" s="338">
        <f t="shared" si="10"/>
        <v>22199</v>
      </c>
      <c r="AI8" s="568">
        <v>22221</v>
      </c>
      <c r="AJ8" s="340">
        <f t="shared" si="22"/>
        <v>22</v>
      </c>
      <c r="AK8" s="450">
        <f t="shared" si="11"/>
        <v>15154</v>
      </c>
      <c r="AL8" s="567">
        <v>15154</v>
      </c>
      <c r="AM8" s="579">
        <f t="shared" si="23"/>
        <v>0</v>
      </c>
      <c r="AN8" s="580">
        <f t="shared" si="24"/>
        <v>167</v>
      </c>
    </row>
    <row r="9" spans="1:40" ht="23.1" customHeight="1">
      <c r="A9" s="58">
        <f>[1]Gen!A14</f>
        <v>43742</v>
      </c>
      <c r="B9" s="4"/>
      <c r="C9" s="98">
        <f t="shared" si="0"/>
        <v>212711</v>
      </c>
      <c r="D9" s="1">
        <v>212831</v>
      </c>
      <c r="E9" s="59">
        <f t="shared" si="14"/>
        <v>120</v>
      </c>
      <c r="F9" s="98">
        <f t="shared" si="1"/>
        <v>36472</v>
      </c>
      <c r="G9" s="574">
        <v>36485</v>
      </c>
      <c r="H9" s="59">
        <f t="shared" si="15"/>
        <v>13</v>
      </c>
      <c r="I9" s="98">
        <f t="shared" si="2"/>
        <v>7360</v>
      </c>
      <c r="J9" s="1">
        <v>7364</v>
      </c>
      <c r="K9" s="59">
        <f t="shared" si="16"/>
        <v>4</v>
      </c>
      <c r="L9" s="98">
        <f t="shared" si="12"/>
        <v>10255</v>
      </c>
      <c r="M9" s="1">
        <v>10270</v>
      </c>
      <c r="N9" s="29">
        <f t="shared" si="25"/>
        <v>15</v>
      </c>
      <c r="O9" s="98">
        <f t="shared" si="4"/>
        <v>18563</v>
      </c>
      <c r="P9" s="566">
        <v>18575</v>
      </c>
      <c r="Q9" s="59">
        <f t="shared" si="17"/>
        <v>12</v>
      </c>
      <c r="R9" s="344"/>
      <c r="S9" s="338">
        <f t="shared" si="5"/>
        <v>45120</v>
      </c>
      <c r="T9" s="567">
        <v>45161</v>
      </c>
      <c r="U9" s="579">
        <f t="shared" si="13"/>
        <v>41</v>
      </c>
      <c r="V9" s="338">
        <f t="shared" si="6"/>
        <v>62815</v>
      </c>
      <c r="W9" s="567">
        <v>62863</v>
      </c>
      <c r="X9" s="579">
        <f t="shared" si="18"/>
        <v>48</v>
      </c>
      <c r="Y9" s="338">
        <f t="shared" si="7"/>
        <v>71959</v>
      </c>
      <c r="Z9" s="567">
        <v>72021</v>
      </c>
      <c r="AA9" s="579">
        <f t="shared" si="19"/>
        <v>62</v>
      </c>
      <c r="AB9" s="338">
        <f t="shared" si="8"/>
        <v>11327</v>
      </c>
      <c r="AC9" s="567">
        <v>11342</v>
      </c>
      <c r="AD9" s="340">
        <f t="shared" si="20"/>
        <v>15</v>
      </c>
      <c r="AE9" s="338">
        <f t="shared" si="9"/>
        <v>13742</v>
      </c>
      <c r="AF9" s="568">
        <v>13752</v>
      </c>
      <c r="AG9" s="340">
        <f t="shared" si="21"/>
        <v>10</v>
      </c>
      <c r="AH9" s="338">
        <f t="shared" si="10"/>
        <v>22221</v>
      </c>
      <c r="AI9" s="568">
        <v>22239</v>
      </c>
      <c r="AJ9" s="340">
        <f t="shared" si="22"/>
        <v>18</v>
      </c>
      <c r="AK9" s="450">
        <f t="shared" si="11"/>
        <v>15154</v>
      </c>
      <c r="AL9" s="567">
        <v>15154</v>
      </c>
      <c r="AM9" s="579">
        <f t="shared" si="23"/>
        <v>0</v>
      </c>
      <c r="AN9" s="580">
        <f t="shared" si="24"/>
        <v>194</v>
      </c>
    </row>
    <row r="10" spans="1:40" ht="23.1" customHeight="1">
      <c r="A10" s="58">
        <f>[1]Gen!A15</f>
        <v>43743</v>
      </c>
      <c r="B10" s="4"/>
      <c r="C10" s="98">
        <f t="shared" si="0"/>
        <v>212831</v>
      </c>
      <c r="D10" s="1">
        <v>212945</v>
      </c>
      <c r="E10" s="59">
        <f t="shared" si="14"/>
        <v>114</v>
      </c>
      <c r="F10" s="98">
        <f t="shared" si="1"/>
        <v>36485</v>
      </c>
      <c r="G10" s="574">
        <v>36500</v>
      </c>
      <c r="H10" s="59">
        <f t="shared" si="15"/>
        <v>15</v>
      </c>
      <c r="I10" s="98">
        <f t="shared" si="2"/>
        <v>7364</v>
      </c>
      <c r="J10" s="1">
        <v>7367</v>
      </c>
      <c r="K10" s="59">
        <f t="shared" si="16"/>
        <v>3</v>
      </c>
      <c r="L10" s="98">
        <f t="shared" si="12"/>
        <v>10270</v>
      </c>
      <c r="M10" s="1">
        <v>10285</v>
      </c>
      <c r="N10" s="29">
        <f t="shared" si="25"/>
        <v>15</v>
      </c>
      <c r="O10" s="98">
        <f t="shared" si="4"/>
        <v>18575</v>
      </c>
      <c r="P10" s="566">
        <v>18586</v>
      </c>
      <c r="Q10" s="59">
        <f t="shared" si="17"/>
        <v>11</v>
      </c>
      <c r="R10" s="344"/>
      <c r="S10" s="338">
        <f t="shared" si="5"/>
        <v>45161</v>
      </c>
      <c r="T10" s="567">
        <v>45190</v>
      </c>
      <c r="U10" s="579">
        <f t="shared" si="13"/>
        <v>29</v>
      </c>
      <c r="V10" s="338">
        <f t="shared" si="6"/>
        <v>62863</v>
      </c>
      <c r="W10" s="567">
        <v>62913</v>
      </c>
      <c r="X10" s="579">
        <f t="shared" si="18"/>
        <v>50</v>
      </c>
      <c r="Y10" s="338">
        <f t="shared" si="7"/>
        <v>72021</v>
      </c>
      <c r="Z10" s="567">
        <v>72084</v>
      </c>
      <c r="AA10" s="579">
        <f t="shared" si="19"/>
        <v>63</v>
      </c>
      <c r="AB10" s="338">
        <f t="shared" si="8"/>
        <v>11342</v>
      </c>
      <c r="AC10" s="339">
        <v>11351</v>
      </c>
      <c r="AD10" s="340">
        <f t="shared" si="20"/>
        <v>9</v>
      </c>
      <c r="AE10" s="338">
        <f t="shared" si="9"/>
        <v>13752</v>
      </c>
      <c r="AF10" s="568">
        <v>13763</v>
      </c>
      <c r="AG10" s="340">
        <f t="shared" si="21"/>
        <v>11</v>
      </c>
      <c r="AH10" s="338">
        <f t="shared" si="10"/>
        <v>22239</v>
      </c>
      <c r="AI10" s="568">
        <v>22259</v>
      </c>
      <c r="AJ10" s="340">
        <f t="shared" si="22"/>
        <v>20</v>
      </c>
      <c r="AK10" s="450">
        <f t="shared" si="11"/>
        <v>15154</v>
      </c>
      <c r="AL10" s="567">
        <v>15154</v>
      </c>
      <c r="AM10" s="579">
        <f t="shared" si="23"/>
        <v>0</v>
      </c>
      <c r="AN10" s="580">
        <f t="shared" si="24"/>
        <v>182</v>
      </c>
    </row>
    <row r="11" spans="1:40" ht="23.1" customHeight="1">
      <c r="A11" s="58">
        <f>[1]Gen!A16</f>
        <v>43744</v>
      </c>
      <c r="B11" s="4"/>
      <c r="C11" s="98">
        <f t="shared" si="0"/>
        <v>212945</v>
      </c>
      <c r="D11" s="1">
        <v>213071</v>
      </c>
      <c r="E11" s="59">
        <f t="shared" si="14"/>
        <v>126</v>
      </c>
      <c r="F11" s="98">
        <f t="shared" si="1"/>
        <v>36500</v>
      </c>
      <c r="G11" s="574">
        <v>36516</v>
      </c>
      <c r="H11" s="59">
        <f t="shared" si="15"/>
        <v>16</v>
      </c>
      <c r="I11" s="98">
        <f t="shared" si="2"/>
        <v>7367</v>
      </c>
      <c r="J11" s="1">
        <v>7369</v>
      </c>
      <c r="K11" s="59">
        <f t="shared" si="16"/>
        <v>2</v>
      </c>
      <c r="L11" s="98"/>
      <c r="M11" s="1">
        <v>10295</v>
      </c>
      <c r="N11" s="29">
        <f t="shared" si="25"/>
        <v>10</v>
      </c>
      <c r="O11" s="98">
        <f t="shared" si="4"/>
        <v>18586</v>
      </c>
      <c r="P11" s="566">
        <v>18593</v>
      </c>
      <c r="Q11" s="59">
        <f t="shared" si="17"/>
        <v>7</v>
      </c>
      <c r="R11" s="344"/>
      <c r="S11" s="338">
        <f t="shared" si="5"/>
        <v>45190</v>
      </c>
      <c r="T11" s="567">
        <v>45220</v>
      </c>
      <c r="U11" s="579">
        <f t="shared" si="13"/>
        <v>30</v>
      </c>
      <c r="V11" s="338">
        <f t="shared" si="6"/>
        <v>62913</v>
      </c>
      <c r="W11" s="567">
        <v>62964</v>
      </c>
      <c r="X11" s="579">
        <f t="shared" si="18"/>
        <v>51</v>
      </c>
      <c r="Y11" s="338">
        <f t="shared" si="7"/>
        <v>72084</v>
      </c>
      <c r="Z11" s="567">
        <v>72152</v>
      </c>
      <c r="AA11" s="579">
        <f t="shared" si="19"/>
        <v>68</v>
      </c>
      <c r="AB11" s="338">
        <f t="shared" si="8"/>
        <v>11351</v>
      </c>
      <c r="AC11" s="339">
        <v>11359</v>
      </c>
      <c r="AD11" s="340">
        <f t="shared" si="20"/>
        <v>8</v>
      </c>
      <c r="AE11" s="338">
        <f t="shared" si="9"/>
        <v>13763</v>
      </c>
      <c r="AF11" s="568">
        <v>13774</v>
      </c>
      <c r="AG11" s="340">
        <f t="shared" si="21"/>
        <v>11</v>
      </c>
      <c r="AH11" s="338">
        <f t="shared" si="10"/>
        <v>22259</v>
      </c>
      <c r="AI11" s="568">
        <v>22280</v>
      </c>
      <c r="AJ11" s="340">
        <f t="shared" si="22"/>
        <v>21</v>
      </c>
      <c r="AK11" s="450">
        <f t="shared" si="11"/>
        <v>15154</v>
      </c>
      <c r="AL11" s="567">
        <v>15154</v>
      </c>
      <c r="AM11" s="579">
        <f t="shared" si="23"/>
        <v>0</v>
      </c>
      <c r="AN11" s="580">
        <f t="shared" si="24"/>
        <v>189</v>
      </c>
    </row>
    <row r="12" spans="1:40" ht="23.1" customHeight="1">
      <c r="A12" s="58">
        <f>[1]Gen!A17</f>
        <v>43745</v>
      </c>
      <c r="B12" s="4"/>
      <c r="C12" s="98">
        <f t="shared" si="0"/>
        <v>213071</v>
      </c>
      <c r="D12" s="1">
        <v>213187</v>
      </c>
      <c r="E12" s="59">
        <f t="shared" si="14"/>
        <v>116</v>
      </c>
      <c r="F12" s="98">
        <f t="shared" si="1"/>
        <v>36516</v>
      </c>
      <c r="G12" s="574">
        <v>36529</v>
      </c>
      <c r="H12" s="59">
        <f t="shared" si="15"/>
        <v>13</v>
      </c>
      <c r="I12" s="98">
        <f t="shared" si="2"/>
        <v>7369</v>
      </c>
      <c r="J12" s="1">
        <v>7372</v>
      </c>
      <c r="K12" s="59">
        <f t="shared" si="16"/>
        <v>3</v>
      </c>
      <c r="L12" s="98">
        <f t="shared" si="12"/>
        <v>10295</v>
      </c>
      <c r="M12" s="1">
        <v>10320</v>
      </c>
      <c r="N12" s="29">
        <f t="shared" si="25"/>
        <v>25</v>
      </c>
      <c r="O12" s="98">
        <f t="shared" si="4"/>
        <v>18593</v>
      </c>
      <c r="P12" s="566">
        <v>18606</v>
      </c>
      <c r="Q12" s="59">
        <f t="shared" si="17"/>
        <v>13</v>
      </c>
      <c r="R12" s="344"/>
      <c r="S12" s="338">
        <f t="shared" si="5"/>
        <v>45220</v>
      </c>
      <c r="T12" s="567">
        <v>45250</v>
      </c>
      <c r="U12" s="579">
        <f t="shared" si="13"/>
        <v>30</v>
      </c>
      <c r="V12" s="338">
        <f t="shared" si="6"/>
        <v>62964</v>
      </c>
      <c r="W12" s="567">
        <v>63013</v>
      </c>
      <c r="X12" s="579">
        <f t="shared" si="18"/>
        <v>49</v>
      </c>
      <c r="Y12" s="338">
        <f t="shared" si="7"/>
        <v>72152</v>
      </c>
      <c r="Z12" s="567">
        <v>72208</v>
      </c>
      <c r="AA12" s="579">
        <f t="shared" si="19"/>
        <v>56</v>
      </c>
      <c r="AB12" s="338">
        <f t="shared" si="8"/>
        <v>11359</v>
      </c>
      <c r="AC12" s="339">
        <v>11367</v>
      </c>
      <c r="AD12" s="340">
        <f t="shared" si="20"/>
        <v>8</v>
      </c>
      <c r="AE12" s="338">
        <f t="shared" si="9"/>
        <v>13774</v>
      </c>
      <c r="AF12" s="568">
        <v>13780</v>
      </c>
      <c r="AG12" s="340">
        <f t="shared" si="21"/>
        <v>6</v>
      </c>
      <c r="AH12" s="338">
        <f t="shared" si="10"/>
        <v>22280</v>
      </c>
      <c r="AI12" s="568">
        <v>22299</v>
      </c>
      <c r="AJ12" s="340">
        <f t="shared" si="22"/>
        <v>19</v>
      </c>
      <c r="AK12" s="450">
        <f t="shared" si="11"/>
        <v>15154</v>
      </c>
      <c r="AL12" s="567">
        <v>15154</v>
      </c>
      <c r="AM12" s="579">
        <f t="shared" si="23"/>
        <v>0</v>
      </c>
      <c r="AN12" s="580">
        <f t="shared" si="24"/>
        <v>168</v>
      </c>
    </row>
    <row r="13" spans="1:40" ht="23.1" customHeight="1">
      <c r="A13" s="58">
        <f>[1]Gen!A18</f>
        <v>43746</v>
      </c>
      <c r="B13" s="4"/>
      <c r="C13" s="98">
        <f t="shared" si="0"/>
        <v>213187</v>
      </c>
      <c r="D13" s="1">
        <v>213307</v>
      </c>
      <c r="E13" s="59">
        <f t="shared" si="14"/>
        <v>120</v>
      </c>
      <c r="F13" s="98">
        <f t="shared" si="1"/>
        <v>36529</v>
      </c>
      <c r="G13" s="574">
        <v>36543</v>
      </c>
      <c r="H13" s="59">
        <f t="shared" si="15"/>
        <v>14</v>
      </c>
      <c r="I13" s="98">
        <f t="shared" si="2"/>
        <v>7372</v>
      </c>
      <c r="J13" s="1">
        <v>7374</v>
      </c>
      <c r="K13" s="59">
        <f t="shared" si="16"/>
        <v>2</v>
      </c>
      <c r="L13" s="98">
        <f t="shared" si="12"/>
        <v>10320</v>
      </c>
      <c r="M13" s="1">
        <v>10342</v>
      </c>
      <c r="N13" s="29">
        <f t="shared" si="25"/>
        <v>22</v>
      </c>
      <c r="O13" s="98">
        <f t="shared" si="4"/>
        <v>18606</v>
      </c>
      <c r="P13" s="566">
        <v>18616</v>
      </c>
      <c r="Q13" s="59">
        <f t="shared" si="17"/>
        <v>10</v>
      </c>
      <c r="R13" s="344"/>
      <c r="S13" s="338">
        <f t="shared" si="5"/>
        <v>45250</v>
      </c>
      <c r="T13" s="567">
        <v>45282</v>
      </c>
      <c r="U13" s="579">
        <f t="shared" si="13"/>
        <v>32</v>
      </c>
      <c r="V13" s="338">
        <f t="shared" si="6"/>
        <v>63013</v>
      </c>
      <c r="W13" s="567">
        <v>63063</v>
      </c>
      <c r="X13" s="579">
        <f t="shared" si="18"/>
        <v>50</v>
      </c>
      <c r="Y13" s="338">
        <f t="shared" si="7"/>
        <v>72208</v>
      </c>
      <c r="Z13" s="567">
        <v>72266</v>
      </c>
      <c r="AA13" s="579">
        <f t="shared" si="19"/>
        <v>58</v>
      </c>
      <c r="AB13" s="338">
        <f t="shared" si="8"/>
        <v>11367</v>
      </c>
      <c r="AC13" s="339">
        <v>11375</v>
      </c>
      <c r="AD13" s="340">
        <f t="shared" si="20"/>
        <v>8</v>
      </c>
      <c r="AE13" s="338">
        <f>AF12</f>
        <v>13780</v>
      </c>
      <c r="AF13" s="568">
        <v>13794</v>
      </c>
      <c r="AG13" s="340">
        <f t="shared" si="21"/>
        <v>14</v>
      </c>
      <c r="AH13" s="338">
        <f t="shared" si="10"/>
        <v>22299</v>
      </c>
      <c r="AI13" s="568">
        <v>22319</v>
      </c>
      <c r="AJ13" s="340">
        <f t="shared" si="22"/>
        <v>20</v>
      </c>
      <c r="AK13" s="450">
        <f t="shared" si="11"/>
        <v>15154</v>
      </c>
      <c r="AL13" s="567">
        <v>15154</v>
      </c>
      <c r="AM13" s="579">
        <f t="shared" si="23"/>
        <v>0</v>
      </c>
      <c r="AN13" s="580">
        <f t="shared" si="24"/>
        <v>182</v>
      </c>
    </row>
    <row r="14" spans="1:40" ht="23.1" customHeight="1">
      <c r="A14" s="58">
        <f>[1]Gen!A19</f>
        <v>43747</v>
      </c>
      <c r="B14" s="4"/>
      <c r="C14" s="98">
        <f t="shared" si="0"/>
        <v>213307</v>
      </c>
      <c r="D14" s="1">
        <v>213414</v>
      </c>
      <c r="E14" s="59">
        <f t="shared" si="14"/>
        <v>107</v>
      </c>
      <c r="F14" s="98">
        <f t="shared" si="1"/>
        <v>36543</v>
      </c>
      <c r="G14" s="574">
        <v>36560</v>
      </c>
      <c r="H14" s="59">
        <f t="shared" si="15"/>
        <v>17</v>
      </c>
      <c r="I14" s="98">
        <f t="shared" si="2"/>
        <v>7374</v>
      </c>
      <c r="J14" s="1">
        <v>7377</v>
      </c>
      <c r="K14" s="59">
        <f t="shared" si="16"/>
        <v>3</v>
      </c>
      <c r="L14" s="98">
        <f t="shared" si="12"/>
        <v>10342</v>
      </c>
      <c r="M14" s="1">
        <v>10360</v>
      </c>
      <c r="N14" s="29">
        <f t="shared" si="25"/>
        <v>18</v>
      </c>
      <c r="O14" s="98">
        <f t="shared" si="4"/>
        <v>18616</v>
      </c>
      <c r="P14" s="566">
        <v>18623</v>
      </c>
      <c r="Q14" s="59">
        <f t="shared" si="17"/>
        <v>7</v>
      </c>
      <c r="R14" s="344"/>
      <c r="S14" s="338">
        <f t="shared" si="5"/>
        <v>45282</v>
      </c>
      <c r="T14" s="567">
        <v>45313</v>
      </c>
      <c r="U14" s="579">
        <f t="shared" si="13"/>
        <v>31</v>
      </c>
      <c r="V14" s="338">
        <f t="shared" si="6"/>
        <v>63063</v>
      </c>
      <c r="W14" s="567">
        <v>63112</v>
      </c>
      <c r="X14" s="579">
        <f t="shared" si="18"/>
        <v>49</v>
      </c>
      <c r="Y14" s="338">
        <f t="shared" si="7"/>
        <v>72266</v>
      </c>
      <c r="Z14" s="567">
        <v>72324</v>
      </c>
      <c r="AA14" s="579">
        <f t="shared" si="19"/>
        <v>58</v>
      </c>
      <c r="AB14" s="338">
        <f t="shared" si="8"/>
        <v>11375</v>
      </c>
      <c r="AC14" s="339">
        <v>11383</v>
      </c>
      <c r="AD14" s="340">
        <f t="shared" si="20"/>
        <v>8</v>
      </c>
      <c r="AE14" s="338">
        <f t="shared" si="9"/>
        <v>13794</v>
      </c>
      <c r="AF14" s="568">
        <v>13804</v>
      </c>
      <c r="AG14" s="340">
        <f t="shared" si="21"/>
        <v>10</v>
      </c>
      <c r="AH14" s="338">
        <f t="shared" si="10"/>
        <v>22319</v>
      </c>
      <c r="AI14" s="568">
        <v>22339</v>
      </c>
      <c r="AJ14" s="340">
        <f t="shared" si="22"/>
        <v>20</v>
      </c>
      <c r="AK14" s="450">
        <f t="shared" si="11"/>
        <v>15154</v>
      </c>
      <c r="AL14" s="567">
        <v>15154</v>
      </c>
      <c r="AM14" s="579">
        <f t="shared" si="23"/>
        <v>0</v>
      </c>
      <c r="AN14" s="580">
        <f t="shared" si="24"/>
        <v>176</v>
      </c>
    </row>
    <row r="15" spans="1:40" ht="23.1" customHeight="1">
      <c r="A15" s="58">
        <f>[1]Gen!A20</f>
        <v>43748</v>
      </c>
      <c r="B15" s="4"/>
      <c r="C15" s="98">
        <f t="shared" si="0"/>
        <v>213414</v>
      </c>
      <c r="D15" s="1">
        <v>213537</v>
      </c>
      <c r="E15" s="59">
        <f t="shared" si="14"/>
        <v>123</v>
      </c>
      <c r="F15" s="98">
        <f t="shared" si="1"/>
        <v>36560</v>
      </c>
      <c r="G15" s="574">
        <v>36574</v>
      </c>
      <c r="H15" s="59">
        <f t="shared" si="15"/>
        <v>14</v>
      </c>
      <c r="I15" s="98">
        <f t="shared" si="2"/>
        <v>7377</v>
      </c>
      <c r="J15" s="1">
        <v>7381</v>
      </c>
      <c r="K15" s="59">
        <f t="shared" si="16"/>
        <v>4</v>
      </c>
      <c r="L15" s="98">
        <f t="shared" si="12"/>
        <v>10360</v>
      </c>
      <c r="M15" s="1">
        <v>10380</v>
      </c>
      <c r="N15" s="29">
        <f t="shared" si="25"/>
        <v>20</v>
      </c>
      <c r="O15" s="98">
        <f t="shared" si="4"/>
        <v>18623</v>
      </c>
      <c r="P15" s="566">
        <v>18634</v>
      </c>
      <c r="Q15" s="59">
        <f t="shared" si="17"/>
        <v>11</v>
      </c>
      <c r="R15" s="344"/>
      <c r="S15" s="338">
        <f t="shared" si="5"/>
        <v>45313</v>
      </c>
      <c r="T15" s="567">
        <v>45343</v>
      </c>
      <c r="U15" s="579">
        <f t="shared" si="13"/>
        <v>30</v>
      </c>
      <c r="V15" s="338">
        <f t="shared" si="6"/>
        <v>63112</v>
      </c>
      <c r="W15" s="567">
        <v>63162</v>
      </c>
      <c r="X15" s="579">
        <f t="shared" si="18"/>
        <v>50</v>
      </c>
      <c r="Y15" s="338">
        <f t="shared" si="7"/>
        <v>72324</v>
      </c>
      <c r="Z15" s="567">
        <v>72380</v>
      </c>
      <c r="AA15" s="579">
        <f t="shared" si="19"/>
        <v>56</v>
      </c>
      <c r="AB15" s="338">
        <f t="shared" si="8"/>
        <v>11383</v>
      </c>
      <c r="AC15" s="339">
        <v>11391</v>
      </c>
      <c r="AD15" s="340">
        <f t="shared" si="20"/>
        <v>8</v>
      </c>
      <c r="AE15" s="338">
        <f t="shared" si="9"/>
        <v>13804</v>
      </c>
      <c r="AF15" s="568">
        <v>13804</v>
      </c>
      <c r="AG15" s="340">
        <f t="shared" si="21"/>
        <v>0</v>
      </c>
      <c r="AH15" s="338">
        <f t="shared" si="10"/>
        <v>22339</v>
      </c>
      <c r="AI15" s="568">
        <v>22358</v>
      </c>
      <c r="AJ15" s="340">
        <f t="shared" si="22"/>
        <v>19</v>
      </c>
      <c r="AK15" s="450">
        <f t="shared" si="11"/>
        <v>15154</v>
      </c>
      <c r="AL15" s="567">
        <v>15154</v>
      </c>
      <c r="AM15" s="579">
        <f t="shared" si="23"/>
        <v>0</v>
      </c>
      <c r="AN15" s="580">
        <f t="shared" si="24"/>
        <v>163</v>
      </c>
    </row>
    <row r="16" spans="1:40" ht="23.1" customHeight="1">
      <c r="A16" s="58">
        <f>[1]Gen!A21</f>
        <v>43749</v>
      </c>
      <c r="B16" s="4"/>
      <c r="C16" s="98">
        <f t="shared" si="0"/>
        <v>213537</v>
      </c>
      <c r="D16" s="1">
        <v>213649</v>
      </c>
      <c r="E16" s="59">
        <f t="shared" si="14"/>
        <v>112</v>
      </c>
      <c r="F16" s="98">
        <f t="shared" si="1"/>
        <v>36574</v>
      </c>
      <c r="G16" s="574">
        <v>36591</v>
      </c>
      <c r="H16" s="59">
        <f t="shared" si="15"/>
        <v>17</v>
      </c>
      <c r="I16" s="98">
        <f t="shared" si="2"/>
        <v>7381</v>
      </c>
      <c r="J16" s="1">
        <v>7385</v>
      </c>
      <c r="K16" s="59">
        <f t="shared" si="16"/>
        <v>4</v>
      </c>
      <c r="L16" s="98">
        <f t="shared" si="12"/>
        <v>10380</v>
      </c>
      <c r="M16" s="1">
        <v>10395</v>
      </c>
      <c r="N16" s="29">
        <f t="shared" si="25"/>
        <v>15</v>
      </c>
      <c r="O16" s="98">
        <f t="shared" si="4"/>
        <v>18634</v>
      </c>
      <c r="P16" s="566">
        <v>18643</v>
      </c>
      <c r="Q16" s="59">
        <f t="shared" si="17"/>
        <v>9</v>
      </c>
      <c r="R16" s="344"/>
      <c r="S16" s="338">
        <f t="shared" si="5"/>
        <v>45343</v>
      </c>
      <c r="T16" s="567">
        <v>45372</v>
      </c>
      <c r="U16" s="579">
        <f t="shared" si="13"/>
        <v>29</v>
      </c>
      <c r="V16" s="338">
        <f t="shared" si="6"/>
        <v>63162</v>
      </c>
      <c r="W16" s="567">
        <v>63214</v>
      </c>
      <c r="X16" s="579">
        <f t="shared" si="18"/>
        <v>52</v>
      </c>
      <c r="Y16" s="338">
        <f t="shared" si="7"/>
        <v>72380</v>
      </c>
      <c r="Z16" s="567">
        <v>72443</v>
      </c>
      <c r="AA16" s="579">
        <f t="shared" si="19"/>
        <v>63</v>
      </c>
      <c r="AB16" s="338">
        <f t="shared" si="8"/>
        <v>11391</v>
      </c>
      <c r="AC16" s="339">
        <v>11399</v>
      </c>
      <c r="AD16" s="340">
        <f t="shared" si="20"/>
        <v>8</v>
      </c>
      <c r="AE16" s="338">
        <f t="shared" si="9"/>
        <v>13804</v>
      </c>
      <c r="AF16" s="568">
        <v>13804</v>
      </c>
      <c r="AG16" s="340">
        <f t="shared" si="21"/>
        <v>0</v>
      </c>
      <c r="AH16" s="338">
        <f t="shared" si="10"/>
        <v>22358</v>
      </c>
      <c r="AI16" s="568">
        <v>22381</v>
      </c>
      <c r="AJ16" s="340">
        <f t="shared" si="22"/>
        <v>23</v>
      </c>
      <c r="AK16" s="450">
        <f t="shared" si="11"/>
        <v>15154</v>
      </c>
      <c r="AL16" s="567">
        <v>15154</v>
      </c>
      <c r="AM16" s="579">
        <f t="shared" si="23"/>
        <v>0</v>
      </c>
      <c r="AN16" s="580">
        <f t="shared" si="24"/>
        <v>175</v>
      </c>
    </row>
    <row r="17" spans="1:40" ht="23.1" customHeight="1">
      <c r="A17" s="58">
        <f>[1]Gen!A22</f>
        <v>43750</v>
      </c>
      <c r="B17" s="4"/>
      <c r="C17" s="98">
        <f t="shared" si="0"/>
        <v>213649</v>
      </c>
      <c r="D17" s="1">
        <v>213777</v>
      </c>
      <c r="E17" s="59">
        <f t="shared" si="14"/>
        <v>128</v>
      </c>
      <c r="F17" s="98">
        <f t="shared" si="1"/>
        <v>36591</v>
      </c>
      <c r="G17" s="574">
        <v>36605</v>
      </c>
      <c r="H17" s="59">
        <f t="shared" si="15"/>
        <v>14</v>
      </c>
      <c r="I17" s="98">
        <f t="shared" si="2"/>
        <v>7385</v>
      </c>
      <c r="J17" s="1">
        <v>7388</v>
      </c>
      <c r="K17" s="59">
        <f t="shared" si="16"/>
        <v>3</v>
      </c>
      <c r="L17" s="98">
        <f t="shared" si="12"/>
        <v>10395</v>
      </c>
      <c r="M17" s="1">
        <v>10424</v>
      </c>
      <c r="N17" s="29">
        <f t="shared" si="25"/>
        <v>29</v>
      </c>
      <c r="O17" s="98">
        <f t="shared" si="4"/>
        <v>18643</v>
      </c>
      <c r="P17" s="566">
        <v>18652</v>
      </c>
      <c r="Q17" s="59">
        <f t="shared" si="17"/>
        <v>9</v>
      </c>
      <c r="R17" s="344"/>
      <c r="S17" s="338">
        <f t="shared" si="5"/>
        <v>45372</v>
      </c>
      <c r="T17" s="567">
        <v>45402</v>
      </c>
      <c r="U17" s="579">
        <f t="shared" si="13"/>
        <v>30</v>
      </c>
      <c r="V17" s="338">
        <f t="shared" si="6"/>
        <v>63214</v>
      </c>
      <c r="W17" s="567">
        <v>63265</v>
      </c>
      <c r="X17" s="579">
        <f t="shared" si="18"/>
        <v>51</v>
      </c>
      <c r="Y17" s="338">
        <f t="shared" si="7"/>
        <v>72443</v>
      </c>
      <c r="Z17" s="567">
        <v>72500</v>
      </c>
      <c r="AA17" s="579">
        <f t="shared" si="19"/>
        <v>57</v>
      </c>
      <c r="AB17" s="338">
        <f t="shared" si="8"/>
        <v>11399</v>
      </c>
      <c r="AC17" s="339">
        <v>11407</v>
      </c>
      <c r="AD17" s="340">
        <f t="shared" si="20"/>
        <v>8</v>
      </c>
      <c r="AE17" s="338">
        <f t="shared" si="9"/>
        <v>13804</v>
      </c>
      <c r="AF17" s="568">
        <v>13804</v>
      </c>
      <c r="AG17" s="340">
        <f t="shared" si="21"/>
        <v>0</v>
      </c>
      <c r="AH17" s="338">
        <f t="shared" si="10"/>
        <v>22381</v>
      </c>
      <c r="AI17" s="568">
        <v>22400</v>
      </c>
      <c r="AJ17" s="340">
        <f t="shared" si="22"/>
        <v>19</v>
      </c>
      <c r="AK17" s="450">
        <f t="shared" si="11"/>
        <v>15154</v>
      </c>
      <c r="AL17" s="567">
        <v>15154</v>
      </c>
      <c r="AM17" s="579">
        <f t="shared" si="23"/>
        <v>0</v>
      </c>
      <c r="AN17" s="580">
        <f t="shared" si="24"/>
        <v>165</v>
      </c>
    </row>
    <row r="18" spans="1:40" ht="23.1" customHeight="1">
      <c r="A18" s="58">
        <f>[1]Gen!A23</f>
        <v>43751</v>
      </c>
      <c r="B18" s="4"/>
      <c r="C18" s="98">
        <f t="shared" si="0"/>
        <v>213777</v>
      </c>
      <c r="D18" s="1">
        <v>213891</v>
      </c>
      <c r="E18" s="59">
        <f t="shared" si="14"/>
        <v>114</v>
      </c>
      <c r="F18" s="98">
        <f t="shared" si="1"/>
        <v>36605</v>
      </c>
      <c r="G18" s="574">
        <v>36619</v>
      </c>
      <c r="H18" s="59">
        <f t="shared" si="15"/>
        <v>14</v>
      </c>
      <c r="I18" s="98">
        <f t="shared" si="2"/>
        <v>7388</v>
      </c>
      <c r="J18" s="1">
        <v>7390</v>
      </c>
      <c r="K18" s="59">
        <f t="shared" si="16"/>
        <v>2</v>
      </c>
      <c r="L18" s="98">
        <f t="shared" si="12"/>
        <v>10424</v>
      </c>
      <c r="M18" s="1">
        <v>10447</v>
      </c>
      <c r="N18" s="29">
        <f t="shared" si="25"/>
        <v>23</v>
      </c>
      <c r="O18" s="98">
        <f t="shared" si="4"/>
        <v>18652</v>
      </c>
      <c r="P18" s="566">
        <v>18661</v>
      </c>
      <c r="Q18" s="59">
        <f t="shared" si="17"/>
        <v>9</v>
      </c>
      <c r="R18" s="344"/>
      <c r="S18" s="338">
        <f t="shared" si="5"/>
        <v>45402</v>
      </c>
      <c r="T18" s="567">
        <v>45432</v>
      </c>
      <c r="U18" s="579">
        <f t="shared" si="13"/>
        <v>30</v>
      </c>
      <c r="V18" s="338">
        <f t="shared" si="6"/>
        <v>63265</v>
      </c>
      <c r="W18" s="567">
        <v>63309</v>
      </c>
      <c r="X18" s="579">
        <f t="shared" si="18"/>
        <v>44</v>
      </c>
      <c r="Y18" s="338">
        <f t="shared" si="7"/>
        <v>72500</v>
      </c>
      <c r="Z18" s="567">
        <v>72552</v>
      </c>
      <c r="AA18" s="579">
        <f t="shared" si="19"/>
        <v>52</v>
      </c>
      <c r="AB18" s="338">
        <f t="shared" si="8"/>
        <v>11407</v>
      </c>
      <c r="AC18" s="339">
        <v>11413</v>
      </c>
      <c r="AD18" s="340">
        <f t="shared" si="20"/>
        <v>6</v>
      </c>
      <c r="AE18" s="338">
        <f t="shared" si="9"/>
        <v>13804</v>
      </c>
      <c r="AF18" s="568">
        <v>13816</v>
      </c>
      <c r="AG18" s="340">
        <f t="shared" si="21"/>
        <v>12</v>
      </c>
      <c r="AH18" s="338">
        <f t="shared" si="10"/>
        <v>22400</v>
      </c>
      <c r="AI18" s="568">
        <v>22418</v>
      </c>
      <c r="AJ18" s="340">
        <f t="shared" si="22"/>
        <v>18</v>
      </c>
      <c r="AK18" s="450">
        <f t="shared" si="11"/>
        <v>15154</v>
      </c>
      <c r="AL18" s="567">
        <v>15154</v>
      </c>
      <c r="AM18" s="579">
        <f t="shared" si="23"/>
        <v>0</v>
      </c>
      <c r="AN18" s="580">
        <f t="shared" si="24"/>
        <v>162</v>
      </c>
    </row>
    <row r="19" spans="1:40" ht="23.1" customHeight="1">
      <c r="A19" s="58">
        <f>[1]Gen!A24</f>
        <v>43752</v>
      </c>
      <c r="B19" s="4"/>
      <c r="C19" s="98">
        <f t="shared" si="0"/>
        <v>213891</v>
      </c>
      <c r="D19" s="1">
        <v>214010</v>
      </c>
      <c r="E19" s="59">
        <f t="shared" si="14"/>
        <v>119</v>
      </c>
      <c r="F19" s="98">
        <f t="shared" si="1"/>
        <v>36619</v>
      </c>
      <c r="G19" s="574">
        <v>36632</v>
      </c>
      <c r="H19" s="59">
        <f t="shared" si="15"/>
        <v>13</v>
      </c>
      <c r="I19" s="98">
        <f t="shared" si="2"/>
        <v>7390</v>
      </c>
      <c r="J19" s="1">
        <v>7393</v>
      </c>
      <c r="K19" s="59">
        <f t="shared" si="16"/>
        <v>3</v>
      </c>
      <c r="L19" s="98">
        <f t="shared" si="12"/>
        <v>10447</v>
      </c>
      <c r="M19" s="1">
        <v>10462</v>
      </c>
      <c r="N19" s="29">
        <f t="shared" si="25"/>
        <v>15</v>
      </c>
      <c r="O19" s="98">
        <f t="shared" si="4"/>
        <v>18661</v>
      </c>
      <c r="P19" s="566">
        <v>18672</v>
      </c>
      <c r="Q19" s="59">
        <f t="shared" si="17"/>
        <v>11</v>
      </c>
      <c r="R19" s="344"/>
      <c r="S19" s="338">
        <f t="shared" si="5"/>
        <v>45432</v>
      </c>
      <c r="T19" s="567">
        <v>45464</v>
      </c>
      <c r="U19" s="579">
        <f t="shared" si="13"/>
        <v>32</v>
      </c>
      <c r="V19" s="338">
        <f t="shared" si="6"/>
        <v>63309</v>
      </c>
      <c r="W19" s="567">
        <v>63358</v>
      </c>
      <c r="X19" s="579">
        <f t="shared" si="18"/>
        <v>49</v>
      </c>
      <c r="Y19" s="338">
        <f t="shared" si="7"/>
        <v>72552</v>
      </c>
      <c r="Z19" s="567">
        <v>72607</v>
      </c>
      <c r="AA19" s="579">
        <f t="shared" si="19"/>
        <v>55</v>
      </c>
      <c r="AB19" s="338">
        <f t="shared" si="8"/>
        <v>11413</v>
      </c>
      <c r="AC19" s="339">
        <v>11421</v>
      </c>
      <c r="AD19" s="340">
        <f t="shared" si="20"/>
        <v>8</v>
      </c>
      <c r="AE19" s="338">
        <f t="shared" si="9"/>
        <v>13816</v>
      </c>
      <c r="AF19" s="568">
        <v>13833</v>
      </c>
      <c r="AG19" s="340">
        <f t="shared" si="21"/>
        <v>17</v>
      </c>
      <c r="AH19" s="338">
        <f t="shared" si="10"/>
        <v>22418</v>
      </c>
      <c r="AI19" s="568">
        <v>22438</v>
      </c>
      <c r="AJ19" s="340">
        <f t="shared" si="22"/>
        <v>20</v>
      </c>
      <c r="AK19" s="450">
        <f t="shared" si="11"/>
        <v>15154</v>
      </c>
      <c r="AL19" s="567">
        <v>15154</v>
      </c>
      <c r="AM19" s="579">
        <f t="shared" si="23"/>
        <v>0</v>
      </c>
      <c r="AN19" s="580">
        <f t="shared" si="24"/>
        <v>181</v>
      </c>
    </row>
    <row r="20" spans="1:40" ht="23.1" customHeight="1">
      <c r="A20" s="58">
        <f>[1]Gen!A25</f>
        <v>43753</v>
      </c>
      <c r="B20" s="4"/>
      <c r="C20" s="98">
        <f t="shared" si="0"/>
        <v>214010</v>
      </c>
      <c r="D20" s="1">
        <v>214138</v>
      </c>
      <c r="E20" s="59">
        <f t="shared" si="14"/>
        <v>128</v>
      </c>
      <c r="F20" s="98">
        <f t="shared" si="1"/>
        <v>36632</v>
      </c>
      <c r="G20" s="574">
        <v>36651</v>
      </c>
      <c r="H20" s="59">
        <f t="shared" si="15"/>
        <v>19</v>
      </c>
      <c r="I20" s="98">
        <f t="shared" si="2"/>
        <v>7393</v>
      </c>
      <c r="J20" s="1">
        <v>7396</v>
      </c>
      <c r="K20" s="59">
        <f t="shared" si="16"/>
        <v>3</v>
      </c>
      <c r="L20" s="98">
        <f t="shared" si="12"/>
        <v>10462</v>
      </c>
      <c r="M20" s="1">
        <v>10481</v>
      </c>
      <c r="N20" s="29">
        <f t="shared" si="25"/>
        <v>19</v>
      </c>
      <c r="O20" s="98">
        <f t="shared" si="4"/>
        <v>18672</v>
      </c>
      <c r="P20" s="566">
        <v>18680</v>
      </c>
      <c r="Q20" s="59">
        <f t="shared" si="17"/>
        <v>8</v>
      </c>
      <c r="R20" s="344"/>
      <c r="S20" s="338">
        <f t="shared" si="5"/>
        <v>45464</v>
      </c>
      <c r="T20" s="567">
        <v>45493</v>
      </c>
      <c r="U20" s="579">
        <f t="shared" si="13"/>
        <v>29</v>
      </c>
      <c r="V20" s="338">
        <f t="shared" si="6"/>
        <v>63358</v>
      </c>
      <c r="W20" s="567">
        <v>63407</v>
      </c>
      <c r="X20" s="579">
        <f t="shared" si="18"/>
        <v>49</v>
      </c>
      <c r="Y20" s="338">
        <f t="shared" si="7"/>
        <v>72607</v>
      </c>
      <c r="Z20" s="567">
        <v>72663</v>
      </c>
      <c r="AA20" s="579">
        <f t="shared" si="19"/>
        <v>56</v>
      </c>
      <c r="AB20" s="338">
        <f t="shared" si="8"/>
        <v>11421</v>
      </c>
      <c r="AC20" s="339">
        <v>11428</v>
      </c>
      <c r="AD20" s="340">
        <f t="shared" si="20"/>
        <v>7</v>
      </c>
      <c r="AE20" s="338">
        <f t="shared" si="9"/>
        <v>13833</v>
      </c>
      <c r="AF20" s="568">
        <v>13850</v>
      </c>
      <c r="AG20" s="340">
        <f t="shared" si="21"/>
        <v>17</v>
      </c>
      <c r="AH20" s="338">
        <f t="shared" si="10"/>
        <v>22438</v>
      </c>
      <c r="AI20" s="568">
        <v>22457</v>
      </c>
      <c r="AJ20" s="340">
        <f t="shared" si="22"/>
        <v>19</v>
      </c>
      <c r="AK20" s="450">
        <f t="shared" si="11"/>
        <v>15154</v>
      </c>
      <c r="AL20" s="567">
        <v>15154</v>
      </c>
      <c r="AM20" s="579">
        <f t="shared" si="23"/>
        <v>0</v>
      </c>
      <c r="AN20" s="580">
        <f t="shared" si="24"/>
        <v>177</v>
      </c>
    </row>
    <row r="21" spans="1:40" ht="23.1" customHeight="1">
      <c r="A21" s="58">
        <f>[1]Gen!A26</f>
        <v>43754</v>
      </c>
      <c r="B21" s="4"/>
      <c r="C21" s="98">
        <f t="shared" si="0"/>
        <v>214138</v>
      </c>
      <c r="D21" s="1">
        <v>214265</v>
      </c>
      <c r="E21" s="59">
        <f t="shared" si="14"/>
        <v>127</v>
      </c>
      <c r="F21" s="98">
        <f t="shared" si="1"/>
        <v>36651</v>
      </c>
      <c r="G21" s="574">
        <v>36668</v>
      </c>
      <c r="H21" s="59">
        <f t="shared" si="15"/>
        <v>17</v>
      </c>
      <c r="I21" s="98">
        <f t="shared" si="2"/>
        <v>7396</v>
      </c>
      <c r="J21" s="1">
        <v>7398</v>
      </c>
      <c r="K21" s="59">
        <f t="shared" si="16"/>
        <v>2</v>
      </c>
      <c r="L21" s="98">
        <f t="shared" si="12"/>
        <v>10481</v>
      </c>
      <c r="M21" s="1">
        <v>10493</v>
      </c>
      <c r="N21" s="29">
        <f t="shared" si="25"/>
        <v>12</v>
      </c>
      <c r="O21" s="98">
        <f t="shared" si="4"/>
        <v>18680</v>
      </c>
      <c r="P21" s="566">
        <v>18689</v>
      </c>
      <c r="Q21" s="59">
        <f t="shared" si="17"/>
        <v>9</v>
      </c>
      <c r="R21" s="344"/>
      <c r="S21" s="338">
        <f t="shared" si="5"/>
        <v>45493</v>
      </c>
      <c r="T21" s="567">
        <v>45524</v>
      </c>
      <c r="U21" s="579">
        <f t="shared" si="13"/>
        <v>31</v>
      </c>
      <c r="V21" s="338">
        <f t="shared" ref="V21:V37" si="26">W20</f>
        <v>63407</v>
      </c>
      <c r="W21" s="567">
        <v>63457</v>
      </c>
      <c r="X21" s="579">
        <f t="shared" si="18"/>
        <v>50</v>
      </c>
      <c r="Y21" s="338">
        <f t="shared" si="7"/>
        <v>72663</v>
      </c>
      <c r="Z21" s="567">
        <v>72718</v>
      </c>
      <c r="AA21" s="579">
        <f t="shared" si="19"/>
        <v>55</v>
      </c>
      <c r="AB21" s="338">
        <f t="shared" si="8"/>
        <v>11428</v>
      </c>
      <c r="AC21" s="339">
        <v>11436</v>
      </c>
      <c r="AD21" s="340">
        <f t="shared" si="20"/>
        <v>8</v>
      </c>
      <c r="AE21" s="338">
        <f t="shared" si="9"/>
        <v>13850</v>
      </c>
      <c r="AF21" s="568">
        <v>13865</v>
      </c>
      <c r="AG21" s="340">
        <f t="shared" si="21"/>
        <v>15</v>
      </c>
      <c r="AH21" s="338">
        <f t="shared" si="10"/>
        <v>22457</v>
      </c>
      <c r="AI21" s="568">
        <v>22477</v>
      </c>
      <c r="AJ21" s="340">
        <f t="shared" si="22"/>
        <v>20</v>
      </c>
      <c r="AK21" s="450">
        <f t="shared" si="11"/>
        <v>15154</v>
      </c>
      <c r="AL21" s="567">
        <v>15154</v>
      </c>
      <c r="AM21" s="579">
        <f t="shared" si="23"/>
        <v>0</v>
      </c>
      <c r="AN21" s="580">
        <f t="shared" si="24"/>
        <v>179</v>
      </c>
    </row>
    <row r="22" spans="1:40" ht="23.1" customHeight="1">
      <c r="A22" s="58">
        <f>[1]Gen!A27</f>
        <v>43755</v>
      </c>
      <c r="B22" s="4"/>
      <c r="C22" s="98">
        <f t="shared" si="0"/>
        <v>214265</v>
      </c>
      <c r="D22" s="1">
        <v>214387</v>
      </c>
      <c r="E22" s="59">
        <f t="shared" si="14"/>
        <v>122</v>
      </c>
      <c r="F22" s="98">
        <f t="shared" si="1"/>
        <v>36668</v>
      </c>
      <c r="G22" s="574">
        <v>36681</v>
      </c>
      <c r="H22" s="59">
        <f t="shared" si="15"/>
        <v>13</v>
      </c>
      <c r="I22" s="98">
        <f t="shared" si="2"/>
        <v>7398</v>
      </c>
      <c r="J22" s="1">
        <v>7402</v>
      </c>
      <c r="K22" s="59">
        <f t="shared" si="16"/>
        <v>4</v>
      </c>
      <c r="L22" s="98">
        <f t="shared" si="12"/>
        <v>10493</v>
      </c>
      <c r="M22" s="1">
        <v>10510</v>
      </c>
      <c r="N22" s="29">
        <f t="shared" si="25"/>
        <v>17</v>
      </c>
      <c r="O22" s="98">
        <f t="shared" si="4"/>
        <v>18689</v>
      </c>
      <c r="P22" s="566">
        <v>18701</v>
      </c>
      <c r="Q22" s="59">
        <f t="shared" si="17"/>
        <v>12</v>
      </c>
      <c r="R22" s="344"/>
      <c r="S22" s="338">
        <f t="shared" si="5"/>
        <v>45524</v>
      </c>
      <c r="T22" s="567">
        <v>45553</v>
      </c>
      <c r="U22" s="579">
        <f t="shared" si="13"/>
        <v>29</v>
      </c>
      <c r="V22" s="338">
        <f t="shared" si="26"/>
        <v>63457</v>
      </c>
      <c r="W22" s="567">
        <v>63507</v>
      </c>
      <c r="X22" s="579">
        <f t="shared" si="18"/>
        <v>50</v>
      </c>
      <c r="Y22" s="338">
        <f t="shared" si="7"/>
        <v>72718</v>
      </c>
      <c r="Z22" s="567">
        <v>72773</v>
      </c>
      <c r="AA22" s="579">
        <f t="shared" si="19"/>
        <v>55</v>
      </c>
      <c r="AB22" s="338">
        <f t="shared" si="8"/>
        <v>11436</v>
      </c>
      <c r="AC22" s="339">
        <v>11441</v>
      </c>
      <c r="AD22" s="340">
        <f t="shared" si="20"/>
        <v>5</v>
      </c>
      <c r="AE22" s="338">
        <f t="shared" si="9"/>
        <v>13865</v>
      </c>
      <c r="AF22" s="568">
        <v>13882</v>
      </c>
      <c r="AG22" s="340">
        <f t="shared" si="21"/>
        <v>17</v>
      </c>
      <c r="AH22" s="338">
        <f t="shared" si="10"/>
        <v>22477</v>
      </c>
      <c r="AI22" s="568">
        <v>22496</v>
      </c>
      <c r="AJ22" s="340">
        <f t="shared" si="22"/>
        <v>19</v>
      </c>
      <c r="AK22" s="450">
        <f t="shared" si="11"/>
        <v>15154</v>
      </c>
      <c r="AL22" s="567">
        <v>15154</v>
      </c>
      <c r="AM22" s="579">
        <f t="shared" si="23"/>
        <v>0</v>
      </c>
      <c r="AN22" s="580">
        <f t="shared" si="24"/>
        <v>175</v>
      </c>
    </row>
    <row r="23" spans="1:40" ht="23.1" customHeight="1">
      <c r="A23" s="58">
        <f>[1]Gen!A28</f>
        <v>43756</v>
      </c>
      <c r="B23" s="4"/>
      <c r="C23" s="98">
        <f t="shared" si="0"/>
        <v>214387</v>
      </c>
      <c r="D23" s="1">
        <v>214492</v>
      </c>
      <c r="E23" s="59">
        <f t="shared" si="14"/>
        <v>105</v>
      </c>
      <c r="F23" s="98">
        <f t="shared" si="1"/>
        <v>36681</v>
      </c>
      <c r="G23" s="574">
        <v>36696</v>
      </c>
      <c r="H23" s="59">
        <f t="shared" si="15"/>
        <v>15</v>
      </c>
      <c r="I23" s="98">
        <f t="shared" si="2"/>
        <v>7402</v>
      </c>
      <c r="J23" s="1">
        <v>7404</v>
      </c>
      <c r="K23" s="59">
        <f t="shared" si="16"/>
        <v>2</v>
      </c>
      <c r="L23" s="98">
        <f t="shared" si="12"/>
        <v>10510</v>
      </c>
      <c r="M23" s="1">
        <v>10520</v>
      </c>
      <c r="N23" s="29">
        <f t="shared" si="25"/>
        <v>10</v>
      </c>
      <c r="O23" s="98">
        <f t="shared" si="4"/>
        <v>18701</v>
      </c>
      <c r="P23" s="566">
        <v>18712</v>
      </c>
      <c r="Q23" s="59">
        <f t="shared" si="17"/>
        <v>11</v>
      </c>
      <c r="R23" s="344"/>
      <c r="S23" s="338">
        <f t="shared" si="5"/>
        <v>45553</v>
      </c>
      <c r="T23" s="567">
        <v>45583</v>
      </c>
      <c r="U23" s="579">
        <f t="shared" si="13"/>
        <v>30</v>
      </c>
      <c r="V23" s="338">
        <f t="shared" si="26"/>
        <v>63507</v>
      </c>
      <c r="W23" s="567">
        <v>63559</v>
      </c>
      <c r="X23" s="579">
        <f t="shared" si="18"/>
        <v>52</v>
      </c>
      <c r="Y23" s="338">
        <f t="shared" si="7"/>
        <v>72773</v>
      </c>
      <c r="Z23" s="567">
        <v>72829</v>
      </c>
      <c r="AA23" s="579">
        <f t="shared" si="19"/>
        <v>56</v>
      </c>
      <c r="AB23" s="338">
        <f t="shared" si="8"/>
        <v>11441</v>
      </c>
      <c r="AC23" s="339">
        <v>11449</v>
      </c>
      <c r="AD23" s="340">
        <f t="shared" si="20"/>
        <v>8</v>
      </c>
      <c r="AE23" s="338">
        <f t="shared" si="9"/>
        <v>13882</v>
      </c>
      <c r="AF23" s="568">
        <v>13897</v>
      </c>
      <c r="AG23" s="340">
        <f t="shared" si="21"/>
        <v>15</v>
      </c>
      <c r="AH23" s="338">
        <f t="shared" si="10"/>
        <v>22496</v>
      </c>
      <c r="AI23" s="568">
        <v>22516</v>
      </c>
      <c r="AJ23" s="340">
        <f t="shared" si="22"/>
        <v>20</v>
      </c>
      <c r="AK23" s="450">
        <f t="shared" si="11"/>
        <v>15154</v>
      </c>
      <c r="AL23" s="567">
        <v>15154</v>
      </c>
      <c r="AM23" s="579">
        <f t="shared" si="23"/>
        <v>0</v>
      </c>
      <c r="AN23" s="580">
        <f t="shared" si="24"/>
        <v>181</v>
      </c>
    </row>
    <row r="24" spans="1:40" ht="23.1" customHeight="1">
      <c r="A24" s="58">
        <f>[1]Gen!A29</f>
        <v>43757</v>
      </c>
      <c r="B24" s="4"/>
      <c r="C24" s="98">
        <f t="shared" si="0"/>
        <v>214492</v>
      </c>
      <c r="D24" s="1">
        <v>214596</v>
      </c>
      <c r="E24" s="59">
        <f t="shared" si="14"/>
        <v>104</v>
      </c>
      <c r="F24" s="98">
        <f t="shared" si="1"/>
        <v>36696</v>
      </c>
      <c r="G24" s="574">
        <v>36708</v>
      </c>
      <c r="H24" s="59">
        <f t="shared" si="15"/>
        <v>12</v>
      </c>
      <c r="I24" s="98">
        <f t="shared" si="2"/>
        <v>7404</v>
      </c>
      <c r="J24" s="1">
        <v>7408</v>
      </c>
      <c r="K24" s="59">
        <f t="shared" si="16"/>
        <v>4</v>
      </c>
      <c r="L24" s="98">
        <f t="shared" si="12"/>
        <v>10520</v>
      </c>
      <c r="M24" s="1">
        <v>10532</v>
      </c>
      <c r="N24" s="29">
        <f t="shared" si="25"/>
        <v>12</v>
      </c>
      <c r="O24" s="98">
        <f t="shared" si="4"/>
        <v>18712</v>
      </c>
      <c r="P24" s="566">
        <v>18719</v>
      </c>
      <c r="Q24" s="59">
        <f t="shared" si="17"/>
        <v>7</v>
      </c>
      <c r="R24" s="344"/>
      <c r="S24" s="338">
        <f t="shared" si="5"/>
        <v>45583</v>
      </c>
      <c r="T24" s="567">
        <v>45614</v>
      </c>
      <c r="U24" s="579">
        <f t="shared" si="13"/>
        <v>31</v>
      </c>
      <c r="V24" s="338">
        <f t="shared" si="26"/>
        <v>63559</v>
      </c>
      <c r="W24" s="567">
        <v>63610</v>
      </c>
      <c r="X24" s="579">
        <f t="shared" si="18"/>
        <v>51</v>
      </c>
      <c r="Y24" s="338">
        <f t="shared" si="7"/>
        <v>72829</v>
      </c>
      <c r="Z24" s="567">
        <v>72883</v>
      </c>
      <c r="AA24" s="579">
        <f t="shared" si="19"/>
        <v>54</v>
      </c>
      <c r="AB24" s="338">
        <f t="shared" si="8"/>
        <v>11449</v>
      </c>
      <c r="AC24" s="339">
        <v>11456</v>
      </c>
      <c r="AD24" s="340">
        <f t="shared" si="20"/>
        <v>7</v>
      </c>
      <c r="AE24" s="338">
        <f t="shared" si="9"/>
        <v>13897</v>
      </c>
      <c r="AF24" s="568">
        <v>13912</v>
      </c>
      <c r="AG24" s="340">
        <f t="shared" si="21"/>
        <v>15</v>
      </c>
      <c r="AH24" s="338">
        <f t="shared" si="10"/>
        <v>22516</v>
      </c>
      <c r="AI24" s="568">
        <v>22535</v>
      </c>
      <c r="AJ24" s="340">
        <f t="shared" si="22"/>
        <v>19</v>
      </c>
      <c r="AK24" s="450">
        <f t="shared" si="11"/>
        <v>15154</v>
      </c>
      <c r="AL24" s="567">
        <v>15154</v>
      </c>
      <c r="AM24" s="579">
        <f t="shared" si="23"/>
        <v>0</v>
      </c>
      <c r="AN24" s="580">
        <f t="shared" si="24"/>
        <v>177</v>
      </c>
    </row>
    <row r="25" spans="1:40" ht="23.1" customHeight="1">
      <c r="A25" s="58">
        <f>[1]Gen!A30</f>
        <v>43758</v>
      </c>
      <c r="B25" s="4"/>
      <c r="C25" s="98">
        <f>D24</f>
        <v>214596</v>
      </c>
      <c r="D25" s="1">
        <v>214696</v>
      </c>
      <c r="E25" s="59">
        <f t="shared" si="14"/>
        <v>100</v>
      </c>
      <c r="F25" s="98">
        <f t="shared" si="1"/>
        <v>36708</v>
      </c>
      <c r="G25" s="574">
        <v>36724</v>
      </c>
      <c r="H25" s="59">
        <f t="shared" si="15"/>
        <v>16</v>
      </c>
      <c r="I25" s="98">
        <f t="shared" si="2"/>
        <v>7408</v>
      </c>
      <c r="J25" s="1">
        <v>7412</v>
      </c>
      <c r="K25" s="59">
        <f t="shared" si="16"/>
        <v>4</v>
      </c>
      <c r="L25" s="98">
        <f t="shared" si="12"/>
        <v>10532</v>
      </c>
      <c r="M25" s="1">
        <v>10542</v>
      </c>
      <c r="N25" s="29">
        <f t="shared" si="25"/>
        <v>10</v>
      </c>
      <c r="O25" s="98">
        <f t="shared" si="4"/>
        <v>18719</v>
      </c>
      <c r="P25" s="566">
        <v>18728</v>
      </c>
      <c r="Q25" s="59">
        <f t="shared" si="17"/>
        <v>9</v>
      </c>
      <c r="R25" s="344"/>
      <c r="S25" s="338">
        <f t="shared" si="5"/>
        <v>45614</v>
      </c>
      <c r="T25" s="567">
        <v>45644</v>
      </c>
      <c r="U25" s="579">
        <f t="shared" si="13"/>
        <v>30</v>
      </c>
      <c r="V25" s="338">
        <f t="shared" si="26"/>
        <v>63610</v>
      </c>
      <c r="W25" s="567">
        <v>63660</v>
      </c>
      <c r="X25" s="579">
        <f t="shared" si="18"/>
        <v>50</v>
      </c>
      <c r="Y25" s="338">
        <f t="shared" si="7"/>
        <v>72883</v>
      </c>
      <c r="Z25" s="567">
        <v>72938</v>
      </c>
      <c r="AA25" s="579">
        <f t="shared" si="19"/>
        <v>55</v>
      </c>
      <c r="AB25" s="338">
        <f t="shared" si="8"/>
        <v>11456</v>
      </c>
      <c r="AC25" s="339">
        <v>11462</v>
      </c>
      <c r="AD25" s="340">
        <f t="shared" si="20"/>
        <v>6</v>
      </c>
      <c r="AE25" s="338">
        <f t="shared" si="9"/>
        <v>13912</v>
      </c>
      <c r="AF25" s="568">
        <v>13927</v>
      </c>
      <c r="AG25" s="340">
        <f t="shared" si="21"/>
        <v>15</v>
      </c>
      <c r="AH25" s="338">
        <f t="shared" si="10"/>
        <v>22535</v>
      </c>
      <c r="AI25" s="568">
        <v>22554</v>
      </c>
      <c r="AJ25" s="340">
        <f t="shared" si="22"/>
        <v>19</v>
      </c>
      <c r="AK25" s="450">
        <f t="shared" si="11"/>
        <v>15154</v>
      </c>
      <c r="AL25" s="567">
        <v>15154</v>
      </c>
      <c r="AM25" s="579">
        <f t="shared" si="23"/>
        <v>0</v>
      </c>
      <c r="AN25" s="580">
        <f t="shared" si="24"/>
        <v>175</v>
      </c>
    </row>
    <row r="26" spans="1:40" ht="23.1" customHeight="1">
      <c r="A26" s="58">
        <f>[1]Gen!A31</f>
        <v>43759</v>
      </c>
      <c r="B26" s="4"/>
      <c r="C26" s="98">
        <f>D25</f>
        <v>214696</v>
      </c>
      <c r="D26" s="1">
        <v>214812</v>
      </c>
      <c r="E26" s="59">
        <f t="shared" si="14"/>
        <v>116</v>
      </c>
      <c r="F26" s="98">
        <f t="shared" si="1"/>
        <v>36724</v>
      </c>
      <c r="G26" s="574">
        <v>36740</v>
      </c>
      <c r="H26" s="59">
        <f t="shared" si="15"/>
        <v>16</v>
      </c>
      <c r="I26" s="98">
        <f t="shared" si="2"/>
        <v>7412</v>
      </c>
      <c r="J26" s="1">
        <v>7415</v>
      </c>
      <c r="K26" s="59">
        <f t="shared" si="16"/>
        <v>3</v>
      </c>
      <c r="L26" s="98">
        <f t="shared" si="12"/>
        <v>10542</v>
      </c>
      <c r="M26" s="1">
        <v>10565</v>
      </c>
      <c r="N26" s="29">
        <f t="shared" si="25"/>
        <v>23</v>
      </c>
      <c r="O26" s="98">
        <f t="shared" si="4"/>
        <v>18728</v>
      </c>
      <c r="P26" s="566">
        <v>18737</v>
      </c>
      <c r="Q26" s="59">
        <f t="shared" si="17"/>
        <v>9</v>
      </c>
      <c r="R26" s="344"/>
      <c r="S26" s="338">
        <f t="shared" si="5"/>
        <v>45644</v>
      </c>
      <c r="T26" s="567">
        <v>45674</v>
      </c>
      <c r="U26" s="579">
        <f t="shared" si="13"/>
        <v>30</v>
      </c>
      <c r="V26" s="338">
        <f t="shared" si="26"/>
        <v>63660</v>
      </c>
      <c r="W26" s="567">
        <v>63711</v>
      </c>
      <c r="X26" s="579">
        <f t="shared" si="18"/>
        <v>51</v>
      </c>
      <c r="Y26" s="338">
        <f t="shared" si="7"/>
        <v>72938</v>
      </c>
      <c r="Z26" s="567">
        <v>72993</v>
      </c>
      <c r="AA26" s="579">
        <f t="shared" si="19"/>
        <v>55</v>
      </c>
      <c r="AB26" s="338">
        <f t="shared" si="8"/>
        <v>11462</v>
      </c>
      <c r="AC26" s="339">
        <v>11469</v>
      </c>
      <c r="AD26" s="340">
        <f t="shared" si="20"/>
        <v>7</v>
      </c>
      <c r="AE26" s="338">
        <f t="shared" si="9"/>
        <v>13927</v>
      </c>
      <c r="AF26" s="568">
        <v>13942</v>
      </c>
      <c r="AG26" s="340">
        <f t="shared" si="21"/>
        <v>15</v>
      </c>
      <c r="AH26" s="338">
        <f t="shared" si="10"/>
        <v>22554</v>
      </c>
      <c r="AI26" s="568">
        <v>22573</v>
      </c>
      <c r="AJ26" s="340">
        <f t="shared" si="22"/>
        <v>19</v>
      </c>
      <c r="AK26" s="450">
        <f t="shared" si="11"/>
        <v>15154</v>
      </c>
      <c r="AL26" s="567">
        <v>15154</v>
      </c>
      <c r="AM26" s="579">
        <f t="shared" si="23"/>
        <v>0</v>
      </c>
      <c r="AN26" s="580">
        <f t="shared" si="24"/>
        <v>177</v>
      </c>
    </row>
    <row r="27" spans="1:40" ht="23.1" customHeight="1">
      <c r="A27" s="58">
        <f>[1]Gen!A32</f>
        <v>43760</v>
      </c>
      <c r="B27" s="4"/>
      <c r="C27" s="98">
        <f>D26</f>
        <v>214812</v>
      </c>
      <c r="D27" s="1">
        <v>214926</v>
      </c>
      <c r="E27" s="59">
        <f t="shared" si="14"/>
        <v>114</v>
      </c>
      <c r="F27" s="98">
        <f t="shared" si="1"/>
        <v>36740</v>
      </c>
      <c r="G27" s="574">
        <v>36754</v>
      </c>
      <c r="H27" s="59">
        <f t="shared" si="15"/>
        <v>14</v>
      </c>
      <c r="I27" s="98">
        <f t="shared" si="2"/>
        <v>7415</v>
      </c>
      <c r="J27" s="1">
        <v>7418</v>
      </c>
      <c r="K27" s="59">
        <f t="shared" si="16"/>
        <v>3</v>
      </c>
      <c r="L27" s="98">
        <f t="shared" si="12"/>
        <v>10565</v>
      </c>
      <c r="M27" s="1">
        <v>10612</v>
      </c>
      <c r="N27" s="29">
        <f t="shared" si="25"/>
        <v>47</v>
      </c>
      <c r="O27" s="98">
        <f t="shared" si="4"/>
        <v>18737</v>
      </c>
      <c r="P27" s="566">
        <v>18746</v>
      </c>
      <c r="Q27" s="59">
        <f t="shared" si="17"/>
        <v>9</v>
      </c>
      <c r="R27" s="344"/>
      <c r="S27" s="338">
        <f t="shared" si="5"/>
        <v>45674</v>
      </c>
      <c r="T27" s="567">
        <v>45703</v>
      </c>
      <c r="U27" s="579">
        <f t="shared" si="13"/>
        <v>29</v>
      </c>
      <c r="V27" s="338">
        <f t="shared" si="26"/>
        <v>63711</v>
      </c>
      <c r="W27" s="567">
        <v>63762</v>
      </c>
      <c r="X27" s="579">
        <f t="shared" si="18"/>
        <v>51</v>
      </c>
      <c r="Y27" s="338">
        <f t="shared" si="7"/>
        <v>72993</v>
      </c>
      <c r="Z27" s="567">
        <v>73048</v>
      </c>
      <c r="AA27" s="579">
        <f t="shared" si="19"/>
        <v>55</v>
      </c>
      <c r="AB27" s="338">
        <f t="shared" si="8"/>
        <v>11469</v>
      </c>
      <c r="AC27" s="339">
        <v>11476</v>
      </c>
      <c r="AD27" s="340">
        <f t="shared" si="20"/>
        <v>7</v>
      </c>
      <c r="AE27" s="338">
        <f t="shared" si="9"/>
        <v>13942</v>
      </c>
      <c r="AF27" s="568">
        <v>13957</v>
      </c>
      <c r="AG27" s="340">
        <f t="shared" si="21"/>
        <v>15</v>
      </c>
      <c r="AH27" s="338">
        <f t="shared" si="10"/>
        <v>22573</v>
      </c>
      <c r="AI27" s="568">
        <v>22592</v>
      </c>
      <c r="AJ27" s="340">
        <f t="shared" si="22"/>
        <v>19</v>
      </c>
      <c r="AK27" s="450">
        <f t="shared" si="11"/>
        <v>15154</v>
      </c>
      <c r="AL27" s="567">
        <v>15154</v>
      </c>
      <c r="AM27" s="579">
        <f t="shared" si="23"/>
        <v>0</v>
      </c>
      <c r="AN27" s="580">
        <f t="shared" si="24"/>
        <v>176</v>
      </c>
    </row>
    <row r="28" spans="1:40" ht="23.1" customHeight="1">
      <c r="A28" s="58">
        <f>[1]Gen!A33</f>
        <v>43761</v>
      </c>
      <c r="B28" s="4"/>
      <c r="C28" s="98">
        <f t="shared" ref="C28:C37" si="27">D27</f>
        <v>214926</v>
      </c>
      <c r="D28" s="1">
        <v>215039</v>
      </c>
      <c r="E28" s="59">
        <f t="shared" si="14"/>
        <v>113</v>
      </c>
      <c r="F28" s="98">
        <f t="shared" si="1"/>
        <v>36754</v>
      </c>
      <c r="G28" s="574">
        <v>36767</v>
      </c>
      <c r="H28" s="59">
        <f t="shared" si="15"/>
        <v>13</v>
      </c>
      <c r="I28" s="98">
        <f t="shared" si="2"/>
        <v>7418</v>
      </c>
      <c r="J28" s="1">
        <v>7421</v>
      </c>
      <c r="K28" s="59">
        <f t="shared" si="16"/>
        <v>3</v>
      </c>
      <c r="L28" s="98">
        <f t="shared" si="12"/>
        <v>10612</v>
      </c>
      <c r="M28" s="1">
        <v>10612</v>
      </c>
      <c r="N28" s="29">
        <f t="shared" si="25"/>
        <v>0</v>
      </c>
      <c r="O28" s="98">
        <f t="shared" si="4"/>
        <v>18746</v>
      </c>
      <c r="P28" s="566">
        <v>18754</v>
      </c>
      <c r="Q28" s="59">
        <f t="shared" si="17"/>
        <v>8</v>
      </c>
      <c r="R28" s="344"/>
      <c r="S28" s="338">
        <f t="shared" si="5"/>
        <v>45703</v>
      </c>
      <c r="T28" s="567">
        <v>45733</v>
      </c>
      <c r="U28" s="579">
        <f t="shared" si="13"/>
        <v>30</v>
      </c>
      <c r="V28" s="338">
        <f t="shared" si="26"/>
        <v>63762</v>
      </c>
      <c r="W28" s="567">
        <v>63813</v>
      </c>
      <c r="X28" s="579">
        <f t="shared" si="18"/>
        <v>51</v>
      </c>
      <c r="Y28" s="338">
        <f t="shared" si="7"/>
        <v>73048</v>
      </c>
      <c r="Z28" s="567">
        <v>73105</v>
      </c>
      <c r="AA28" s="579">
        <f t="shared" si="19"/>
        <v>57</v>
      </c>
      <c r="AB28" s="338">
        <f t="shared" si="8"/>
        <v>11476</v>
      </c>
      <c r="AC28" s="339">
        <v>11483</v>
      </c>
      <c r="AD28" s="340">
        <f t="shared" si="20"/>
        <v>7</v>
      </c>
      <c r="AE28" s="338">
        <f t="shared" si="9"/>
        <v>13957</v>
      </c>
      <c r="AF28" s="568">
        <v>13971</v>
      </c>
      <c r="AG28" s="340">
        <f t="shared" si="21"/>
        <v>14</v>
      </c>
      <c r="AH28" s="338">
        <f t="shared" si="10"/>
        <v>22592</v>
      </c>
      <c r="AI28" s="568">
        <v>22613</v>
      </c>
      <c r="AJ28" s="340">
        <f t="shared" si="22"/>
        <v>21</v>
      </c>
      <c r="AK28" s="450">
        <f t="shared" si="11"/>
        <v>15154</v>
      </c>
      <c r="AL28" s="567">
        <v>15154</v>
      </c>
      <c r="AM28" s="579">
        <f t="shared" si="23"/>
        <v>0</v>
      </c>
      <c r="AN28" s="580">
        <f t="shared" si="24"/>
        <v>180</v>
      </c>
    </row>
    <row r="29" spans="1:40" ht="23.1" customHeight="1">
      <c r="A29" s="58">
        <f>[1]Gen!A34</f>
        <v>43762</v>
      </c>
      <c r="B29" s="4"/>
      <c r="C29" s="98">
        <f t="shared" si="27"/>
        <v>215039</v>
      </c>
      <c r="D29" s="1">
        <v>215138</v>
      </c>
      <c r="E29" s="59">
        <f t="shared" si="14"/>
        <v>99</v>
      </c>
      <c r="F29" s="98">
        <f t="shared" si="1"/>
        <v>36767</v>
      </c>
      <c r="G29" s="574">
        <v>36779</v>
      </c>
      <c r="H29" s="59">
        <f t="shared" si="15"/>
        <v>12</v>
      </c>
      <c r="I29" s="98">
        <f t="shared" si="2"/>
        <v>7421</v>
      </c>
      <c r="J29" s="1">
        <v>7423</v>
      </c>
      <c r="K29" s="59">
        <f t="shared" si="16"/>
        <v>2</v>
      </c>
      <c r="L29" s="98">
        <f t="shared" si="12"/>
        <v>10612</v>
      </c>
      <c r="M29" s="1">
        <v>10616</v>
      </c>
      <c r="N29" s="29">
        <f t="shared" si="25"/>
        <v>4</v>
      </c>
      <c r="O29" s="98">
        <f t="shared" si="4"/>
        <v>18754</v>
      </c>
      <c r="P29" s="566">
        <v>18763</v>
      </c>
      <c r="Q29" s="59">
        <f t="shared" si="17"/>
        <v>9</v>
      </c>
      <c r="R29" s="344"/>
      <c r="S29" s="338">
        <f t="shared" si="5"/>
        <v>45733</v>
      </c>
      <c r="T29" s="567">
        <v>45762</v>
      </c>
      <c r="U29" s="579">
        <f t="shared" si="13"/>
        <v>29</v>
      </c>
      <c r="V29" s="338">
        <f t="shared" si="26"/>
        <v>63813</v>
      </c>
      <c r="W29" s="567">
        <v>63863</v>
      </c>
      <c r="X29" s="579">
        <f t="shared" si="18"/>
        <v>50</v>
      </c>
      <c r="Y29" s="338">
        <f t="shared" si="7"/>
        <v>73105</v>
      </c>
      <c r="Z29" s="567">
        <v>73161</v>
      </c>
      <c r="AA29" s="579">
        <f t="shared" si="19"/>
        <v>56</v>
      </c>
      <c r="AB29" s="338">
        <f t="shared" si="8"/>
        <v>11483</v>
      </c>
      <c r="AC29" s="339">
        <v>11490</v>
      </c>
      <c r="AD29" s="340">
        <f t="shared" si="20"/>
        <v>7</v>
      </c>
      <c r="AE29" s="338">
        <f t="shared" si="9"/>
        <v>13971</v>
      </c>
      <c r="AF29" s="568">
        <v>13986</v>
      </c>
      <c r="AG29" s="340">
        <f t="shared" si="21"/>
        <v>15</v>
      </c>
      <c r="AH29" s="338">
        <f t="shared" si="10"/>
        <v>22613</v>
      </c>
      <c r="AI29" s="568">
        <v>22632</v>
      </c>
      <c r="AJ29" s="340">
        <f t="shared" si="22"/>
        <v>19</v>
      </c>
      <c r="AK29" s="450">
        <f t="shared" si="11"/>
        <v>15154</v>
      </c>
      <c r="AL29" s="567">
        <v>15154</v>
      </c>
      <c r="AM29" s="579">
        <f t="shared" si="23"/>
        <v>0</v>
      </c>
      <c r="AN29" s="580">
        <f t="shared" si="24"/>
        <v>176</v>
      </c>
    </row>
    <row r="30" spans="1:40" ht="23.1" customHeight="1">
      <c r="A30" s="58">
        <f>[1]Gen!A35</f>
        <v>43763</v>
      </c>
      <c r="B30" s="4"/>
      <c r="C30" s="98">
        <f t="shared" si="27"/>
        <v>215138</v>
      </c>
      <c r="D30" s="1">
        <v>215249</v>
      </c>
      <c r="E30" s="59">
        <f t="shared" si="14"/>
        <v>111</v>
      </c>
      <c r="F30" s="98">
        <f t="shared" si="1"/>
        <v>36779</v>
      </c>
      <c r="G30" s="574">
        <v>36792</v>
      </c>
      <c r="H30" s="59">
        <f t="shared" si="15"/>
        <v>13</v>
      </c>
      <c r="I30" s="98">
        <f t="shared" si="2"/>
        <v>7423</v>
      </c>
      <c r="J30" s="1">
        <v>7426</v>
      </c>
      <c r="K30" s="59">
        <f t="shared" si="16"/>
        <v>3</v>
      </c>
      <c r="L30" s="98">
        <f t="shared" si="12"/>
        <v>10616</v>
      </c>
      <c r="M30" s="1">
        <v>10640</v>
      </c>
      <c r="N30" s="29">
        <f t="shared" si="25"/>
        <v>24</v>
      </c>
      <c r="O30" s="98">
        <f t="shared" si="4"/>
        <v>18763</v>
      </c>
      <c r="P30" s="566">
        <v>18773</v>
      </c>
      <c r="Q30" s="59">
        <f t="shared" si="17"/>
        <v>10</v>
      </c>
      <c r="R30" s="344"/>
      <c r="S30" s="338">
        <f t="shared" si="5"/>
        <v>45762</v>
      </c>
      <c r="T30" s="567">
        <v>45792</v>
      </c>
      <c r="U30" s="579">
        <f t="shared" si="13"/>
        <v>30</v>
      </c>
      <c r="V30" s="338">
        <f t="shared" si="26"/>
        <v>63863</v>
      </c>
      <c r="W30" s="567">
        <v>63914</v>
      </c>
      <c r="X30" s="579">
        <f t="shared" si="18"/>
        <v>51</v>
      </c>
      <c r="Y30" s="338">
        <f t="shared" si="7"/>
        <v>73161</v>
      </c>
      <c r="Z30" s="567">
        <v>73214</v>
      </c>
      <c r="AA30" s="579">
        <f t="shared" si="19"/>
        <v>53</v>
      </c>
      <c r="AB30" s="338">
        <f t="shared" si="8"/>
        <v>11490</v>
      </c>
      <c r="AC30" s="339">
        <v>11496</v>
      </c>
      <c r="AD30" s="340">
        <f t="shared" si="20"/>
        <v>6</v>
      </c>
      <c r="AE30" s="338">
        <f t="shared" si="9"/>
        <v>13986</v>
      </c>
      <c r="AF30" s="568">
        <v>14000</v>
      </c>
      <c r="AG30" s="340">
        <f t="shared" si="21"/>
        <v>14</v>
      </c>
      <c r="AH30" s="338">
        <f t="shared" si="10"/>
        <v>22632</v>
      </c>
      <c r="AI30" s="568">
        <v>22652</v>
      </c>
      <c r="AJ30" s="340">
        <f t="shared" si="22"/>
        <v>20</v>
      </c>
      <c r="AK30" s="450">
        <f t="shared" si="11"/>
        <v>15154</v>
      </c>
      <c r="AL30" s="567">
        <v>15154</v>
      </c>
      <c r="AM30" s="579">
        <f t="shared" si="23"/>
        <v>0</v>
      </c>
      <c r="AN30" s="580">
        <f t="shared" si="24"/>
        <v>174</v>
      </c>
    </row>
    <row r="31" spans="1:40" ht="23.1" customHeight="1">
      <c r="A31" s="58">
        <f>[1]Gen!A36</f>
        <v>43764</v>
      </c>
      <c r="B31" s="4"/>
      <c r="C31" s="98">
        <f t="shared" si="27"/>
        <v>215249</v>
      </c>
      <c r="D31" s="1">
        <v>215379</v>
      </c>
      <c r="E31" s="59">
        <f t="shared" si="14"/>
        <v>130</v>
      </c>
      <c r="F31" s="98">
        <f t="shared" si="1"/>
        <v>36792</v>
      </c>
      <c r="G31" s="574">
        <v>36809</v>
      </c>
      <c r="H31" s="59">
        <f t="shared" si="15"/>
        <v>17</v>
      </c>
      <c r="I31" s="98">
        <f t="shared" si="2"/>
        <v>7426</v>
      </c>
      <c r="J31" s="1">
        <v>7428</v>
      </c>
      <c r="K31" s="59">
        <f t="shared" si="16"/>
        <v>2</v>
      </c>
      <c r="L31" s="98">
        <f t="shared" si="12"/>
        <v>10640</v>
      </c>
      <c r="M31" s="1">
        <v>10646</v>
      </c>
      <c r="N31" s="29">
        <f t="shared" si="25"/>
        <v>6</v>
      </c>
      <c r="O31" s="98">
        <f t="shared" si="4"/>
        <v>18773</v>
      </c>
      <c r="P31" s="566">
        <v>18782</v>
      </c>
      <c r="Q31" s="59">
        <f t="shared" si="17"/>
        <v>9</v>
      </c>
      <c r="R31" s="344"/>
      <c r="S31" s="338">
        <f t="shared" si="5"/>
        <v>45792</v>
      </c>
      <c r="T31" s="567">
        <v>45822</v>
      </c>
      <c r="U31" s="579">
        <f t="shared" si="13"/>
        <v>30</v>
      </c>
      <c r="V31" s="338">
        <f t="shared" si="26"/>
        <v>63914</v>
      </c>
      <c r="W31" s="567">
        <v>63965</v>
      </c>
      <c r="X31" s="579">
        <f t="shared" si="18"/>
        <v>51</v>
      </c>
      <c r="Y31" s="338">
        <f t="shared" si="7"/>
        <v>73214</v>
      </c>
      <c r="Z31" s="567">
        <v>73269</v>
      </c>
      <c r="AA31" s="579">
        <f t="shared" si="19"/>
        <v>55</v>
      </c>
      <c r="AB31" s="338">
        <f t="shared" si="8"/>
        <v>11496</v>
      </c>
      <c r="AC31" s="339">
        <v>11503</v>
      </c>
      <c r="AD31" s="340">
        <f t="shared" si="20"/>
        <v>7</v>
      </c>
      <c r="AE31" s="338">
        <f t="shared" si="9"/>
        <v>14000</v>
      </c>
      <c r="AF31" s="568">
        <v>14015</v>
      </c>
      <c r="AG31" s="340">
        <f t="shared" si="21"/>
        <v>15</v>
      </c>
      <c r="AH31" s="338">
        <f t="shared" si="10"/>
        <v>22652</v>
      </c>
      <c r="AI31" s="568">
        <v>22671</v>
      </c>
      <c r="AJ31" s="340">
        <f t="shared" si="22"/>
        <v>19</v>
      </c>
      <c r="AK31" s="450">
        <f t="shared" si="11"/>
        <v>15154</v>
      </c>
      <c r="AL31" s="567">
        <v>15154</v>
      </c>
      <c r="AM31" s="579">
        <f t="shared" si="23"/>
        <v>0</v>
      </c>
      <c r="AN31" s="580">
        <f t="shared" si="24"/>
        <v>177</v>
      </c>
    </row>
    <row r="32" spans="1:40" ht="23.1" customHeight="1">
      <c r="A32" s="58">
        <f>[1]Gen!A37</f>
        <v>43765</v>
      </c>
      <c r="B32" s="4" t="s">
        <v>27</v>
      </c>
      <c r="C32" s="98">
        <f t="shared" si="27"/>
        <v>215379</v>
      </c>
      <c r="D32" s="1">
        <v>215493</v>
      </c>
      <c r="E32" s="59">
        <f t="shared" si="14"/>
        <v>114</v>
      </c>
      <c r="F32" s="98">
        <f t="shared" si="1"/>
        <v>36809</v>
      </c>
      <c r="G32" s="574">
        <v>36825</v>
      </c>
      <c r="H32" s="59">
        <f t="shared" si="15"/>
        <v>16</v>
      </c>
      <c r="I32" s="98">
        <f t="shared" si="2"/>
        <v>7428</v>
      </c>
      <c r="J32" s="1">
        <v>7432</v>
      </c>
      <c r="K32" s="59">
        <f t="shared" si="16"/>
        <v>4</v>
      </c>
      <c r="L32" s="98">
        <f t="shared" si="12"/>
        <v>10646</v>
      </c>
      <c r="M32" s="1">
        <v>10675</v>
      </c>
      <c r="N32" s="29">
        <f t="shared" si="25"/>
        <v>29</v>
      </c>
      <c r="O32" s="98">
        <f t="shared" si="4"/>
        <v>18782</v>
      </c>
      <c r="P32" s="566">
        <v>18790</v>
      </c>
      <c r="Q32" s="59">
        <f t="shared" si="17"/>
        <v>8</v>
      </c>
      <c r="R32" s="344"/>
      <c r="S32" s="338">
        <f t="shared" si="5"/>
        <v>45822</v>
      </c>
      <c r="T32" s="567">
        <v>45851</v>
      </c>
      <c r="U32" s="579">
        <f t="shared" si="13"/>
        <v>29</v>
      </c>
      <c r="V32" s="338">
        <f t="shared" si="26"/>
        <v>63965</v>
      </c>
      <c r="W32" s="567">
        <v>64015</v>
      </c>
      <c r="X32" s="579">
        <f t="shared" si="18"/>
        <v>50</v>
      </c>
      <c r="Y32" s="338">
        <f t="shared" si="7"/>
        <v>73269</v>
      </c>
      <c r="Z32" s="567">
        <v>73324</v>
      </c>
      <c r="AA32" s="579">
        <f t="shared" si="19"/>
        <v>55</v>
      </c>
      <c r="AB32" s="338">
        <f t="shared" si="8"/>
        <v>11503</v>
      </c>
      <c r="AC32" s="339">
        <v>11509</v>
      </c>
      <c r="AD32" s="340">
        <f t="shared" si="20"/>
        <v>6</v>
      </c>
      <c r="AE32" s="338">
        <f t="shared" si="9"/>
        <v>14015</v>
      </c>
      <c r="AF32" s="568">
        <v>14029</v>
      </c>
      <c r="AG32" s="340">
        <f t="shared" si="21"/>
        <v>14</v>
      </c>
      <c r="AH32" s="338">
        <f t="shared" si="10"/>
        <v>22671</v>
      </c>
      <c r="AI32" s="568">
        <v>22690</v>
      </c>
      <c r="AJ32" s="340">
        <f t="shared" si="22"/>
        <v>19</v>
      </c>
      <c r="AK32" s="450">
        <f t="shared" si="11"/>
        <v>15154</v>
      </c>
      <c r="AL32" s="567">
        <v>15154</v>
      </c>
      <c r="AM32" s="579">
        <f t="shared" si="23"/>
        <v>0</v>
      </c>
      <c r="AN32" s="580">
        <f t="shared" si="24"/>
        <v>173</v>
      </c>
    </row>
    <row r="33" spans="1:41" ht="23.1" customHeight="1">
      <c r="A33" s="58">
        <f>[1]Gen!A38</f>
        <v>43766</v>
      </c>
      <c r="B33" s="4"/>
      <c r="C33" s="98">
        <f t="shared" si="27"/>
        <v>215493</v>
      </c>
      <c r="D33" s="1">
        <v>215604</v>
      </c>
      <c r="E33" s="59">
        <f t="shared" si="14"/>
        <v>111</v>
      </c>
      <c r="F33" s="98">
        <f t="shared" si="1"/>
        <v>36825</v>
      </c>
      <c r="G33" s="574">
        <v>36838</v>
      </c>
      <c r="H33" s="59">
        <f t="shared" si="15"/>
        <v>13</v>
      </c>
      <c r="I33" s="98">
        <f t="shared" si="2"/>
        <v>7432</v>
      </c>
      <c r="J33" s="1">
        <v>7435</v>
      </c>
      <c r="K33" s="59">
        <f t="shared" si="16"/>
        <v>3</v>
      </c>
      <c r="L33" s="98">
        <f t="shared" si="12"/>
        <v>10675</v>
      </c>
      <c r="M33" s="1">
        <v>10688</v>
      </c>
      <c r="N33" s="29">
        <f t="shared" si="25"/>
        <v>13</v>
      </c>
      <c r="O33" s="98">
        <f t="shared" si="4"/>
        <v>18790</v>
      </c>
      <c r="P33" s="566">
        <v>18800</v>
      </c>
      <c r="Q33" s="59">
        <f t="shared" si="17"/>
        <v>10</v>
      </c>
      <c r="R33" s="344"/>
      <c r="S33" s="338">
        <f t="shared" si="5"/>
        <v>45851</v>
      </c>
      <c r="T33" s="567">
        <v>45882</v>
      </c>
      <c r="U33" s="579">
        <f t="shared" si="13"/>
        <v>31</v>
      </c>
      <c r="V33" s="338">
        <f t="shared" si="26"/>
        <v>64015</v>
      </c>
      <c r="W33" s="567">
        <v>64065</v>
      </c>
      <c r="X33" s="579">
        <f t="shared" si="18"/>
        <v>50</v>
      </c>
      <c r="Y33" s="338">
        <f t="shared" si="7"/>
        <v>73324</v>
      </c>
      <c r="Z33" s="567">
        <v>73379</v>
      </c>
      <c r="AA33" s="579">
        <f t="shared" si="19"/>
        <v>55</v>
      </c>
      <c r="AB33" s="338">
        <f t="shared" si="8"/>
        <v>11509</v>
      </c>
      <c r="AC33" s="339">
        <v>11515</v>
      </c>
      <c r="AD33" s="340">
        <f t="shared" si="20"/>
        <v>6</v>
      </c>
      <c r="AE33" s="338">
        <f t="shared" si="9"/>
        <v>14029</v>
      </c>
      <c r="AF33" s="568">
        <v>14043</v>
      </c>
      <c r="AG33" s="340">
        <f t="shared" si="21"/>
        <v>14</v>
      </c>
      <c r="AH33" s="338">
        <f t="shared" si="10"/>
        <v>22690</v>
      </c>
      <c r="AI33" s="568">
        <v>22709</v>
      </c>
      <c r="AJ33" s="340">
        <f t="shared" si="22"/>
        <v>19</v>
      </c>
      <c r="AK33" s="450">
        <f t="shared" si="11"/>
        <v>15154</v>
      </c>
      <c r="AL33" s="567">
        <v>15154</v>
      </c>
      <c r="AM33" s="579">
        <f t="shared" si="23"/>
        <v>0</v>
      </c>
      <c r="AN33" s="580">
        <f t="shared" si="24"/>
        <v>175</v>
      </c>
    </row>
    <row r="34" spans="1:41" ht="23.1" customHeight="1">
      <c r="A34" s="58">
        <f>[1]Gen!A39</f>
        <v>43767</v>
      </c>
      <c r="B34" s="174"/>
      <c r="C34" s="98">
        <f t="shared" si="27"/>
        <v>215604</v>
      </c>
      <c r="D34" s="1">
        <v>215704</v>
      </c>
      <c r="E34" s="59">
        <f t="shared" si="14"/>
        <v>100</v>
      </c>
      <c r="F34" s="98">
        <f t="shared" si="1"/>
        <v>36838</v>
      </c>
      <c r="G34" s="574">
        <v>36853</v>
      </c>
      <c r="H34" s="59">
        <f t="shared" si="15"/>
        <v>15</v>
      </c>
      <c r="I34" s="98">
        <f t="shared" si="2"/>
        <v>7435</v>
      </c>
      <c r="J34" s="1">
        <v>7438</v>
      </c>
      <c r="K34" s="59">
        <f t="shared" si="16"/>
        <v>3</v>
      </c>
      <c r="L34" s="98">
        <f t="shared" si="12"/>
        <v>10688</v>
      </c>
      <c r="M34" s="1">
        <v>10688</v>
      </c>
      <c r="N34" s="29">
        <f t="shared" si="25"/>
        <v>0</v>
      </c>
      <c r="O34" s="98">
        <f t="shared" si="4"/>
        <v>18800</v>
      </c>
      <c r="P34" s="566">
        <v>18811</v>
      </c>
      <c r="Q34" s="59">
        <f t="shared" si="17"/>
        <v>11</v>
      </c>
      <c r="R34" s="344"/>
      <c r="S34" s="338">
        <f t="shared" si="5"/>
        <v>45882</v>
      </c>
      <c r="T34" s="567">
        <v>45911</v>
      </c>
      <c r="U34" s="579">
        <f t="shared" si="13"/>
        <v>29</v>
      </c>
      <c r="V34" s="338">
        <f t="shared" si="26"/>
        <v>64065</v>
      </c>
      <c r="W34" s="567">
        <v>64117</v>
      </c>
      <c r="X34" s="579">
        <f t="shared" si="18"/>
        <v>52</v>
      </c>
      <c r="Y34" s="338">
        <f t="shared" si="7"/>
        <v>73379</v>
      </c>
      <c r="Z34" s="567">
        <v>73435</v>
      </c>
      <c r="AA34" s="579">
        <f t="shared" si="19"/>
        <v>56</v>
      </c>
      <c r="AB34" s="338">
        <f t="shared" si="8"/>
        <v>11515</v>
      </c>
      <c r="AC34" s="339">
        <v>11523</v>
      </c>
      <c r="AD34" s="340">
        <f t="shared" si="20"/>
        <v>8</v>
      </c>
      <c r="AE34" s="338">
        <f t="shared" si="9"/>
        <v>14043</v>
      </c>
      <c r="AF34" s="568">
        <v>14057</v>
      </c>
      <c r="AG34" s="340">
        <f t="shared" si="21"/>
        <v>14</v>
      </c>
      <c r="AH34" s="338">
        <f t="shared" si="10"/>
        <v>22709</v>
      </c>
      <c r="AI34" s="568">
        <v>22729</v>
      </c>
      <c r="AJ34" s="340">
        <f t="shared" si="22"/>
        <v>20</v>
      </c>
      <c r="AK34" s="450">
        <f t="shared" si="11"/>
        <v>15154</v>
      </c>
      <c r="AL34" s="567">
        <v>15154</v>
      </c>
      <c r="AM34" s="579">
        <f t="shared" si="23"/>
        <v>0</v>
      </c>
      <c r="AN34" s="580">
        <f t="shared" si="24"/>
        <v>179</v>
      </c>
    </row>
    <row r="35" spans="1:41" ht="23.1" customHeight="1">
      <c r="A35" s="58">
        <f>[1]Gen!A40</f>
        <v>43768</v>
      </c>
      <c r="B35" s="174"/>
      <c r="C35" s="98">
        <f t="shared" si="27"/>
        <v>215704</v>
      </c>
      <c r="D35" s="1">
        <v>215803</v>
      </c>
      <c r="E35" s="59">
        <f t="shared" si="14"/>
        <v>99</v>
      </c>
      <c r="F35" s="98">
        <f t="shared" si="1"/>
        <v>36853</v>
      </c>
      <c r="G35" s="574">
        <v>36869</v>
      </c>
      <c r="H35" s="59">
        <f t="shared" si="15"/>
        <v>16</v>
      </c>
      <c r="I35" s="98">
        <f t="shared" si="2"/>
        <v>7438</v>
      </c>
      <c r="J35" s="1">
        <v>7441</v>
      </c>
      <c r="K35" s="59">
        <f t="shared" si="16"/>
        <v>3</v>
      </c>
      <c r="L35" s="98">
        <f t="shared" si="12"/>
        <v>10688</v>
      </c>
      <c r="M35" s="1">
        <v>10688</v>
      </c>
      <c r="N35" s="29">
        <f t="shared" si="25"/>
        <v>0</v>
      </c>
      <c r="O35" s="98">
        <f t="shared" si="4"/>
        <v>18811</v>
      </c>
      <c r="P35" s="566">
        <v>18819</v>
      </c>
      <c r="Q35" s="59">
        <f t="shared" si="17"/>
        <v>8</v>
      </c>
      <c r="R35" s="344"/>
      <c r="S35" s="338">
        <f t="shared" si="5"/>
        <v>45911</v>
      </c>
      <c r="T35" s="567">
        <v>45940</v>
      </c>
      <c r="U35" s="579">
        <f t="shared" si="13"/>
        <v>29</v>
      </c>
      <c r="V35" s="338">
        <f t="shared" si="26"/>
        <v>64117</v>
      </c>
      <c r="W35" s="567">
        <v>64168</v>
      </c>
      <c r="X35" s="579">
        <f t="shared" si="18"/>
        <v>51</v>
      </c>
      <c r="Y35" s="338">
        <f t="shared" si="7"/>
        <v>73435</v>
      </c>
      <c r="Z35" s="567">
        <v>73491</v>
      </c>
      <c r="AA35" s="579">
        <f t="shared" si="19"/>
        <v>56</v>
      </c>
      <c r="AB35" s="338">
        <f t="shared" si="8"/>
        <v>11523</v>
      </c>
      <c r="AC35" s="339">
        <v>11531</v>
      </c>
      <c r="AD35" s="340">
        <f t="shared" si="20"/>
        <v>8</v>
      </c>
      <c r="AE35" s="338">
        <f t="shared" si="9"/>
        <v>14057</v>
      </c>
      <c r="AF35" s="568">
        <v>14071</v>
      </c>
      <c r="AG35" s="340">
        <f t="shared" si="21"/>
        <v>14</v>
      </c>
      <c r="AH35" s="338">
        <f t="shared" si="10"/>
        <v>22729</v>
      </c>
      <c r="AI35" s="568">
        <v>22748</v>
      </c>
      <c r="AJ35" s="340">
        <f t="shared" si="22"/>
        <v>19</v>
      </c>
      <c r="AK35" s="450">
        <f t="shared" si="11"/>
        <v>15154</v>
      </c>
      <c r="AL35" s="567">
        <v>15154</v>
      </c>
      <c r="AM35" s="579">
        <f t="shared" si="23"/>
        <v>0</v>
      </c>
      <c r="AN35" s="580">
        <f t="shared" si="24"/>
        <v>177</v>
      </c>
    </row>
    <row r="36" spans="1:41" ht="23.1" customHeight="1">
      <c r="A36" s="58">
        <f>[1]Gen!A41</f>
        <v>43769</v>
      </c>
      <c r="B36" s="175"/>
      <c r="C36" s="98">
        <f t="shared" si="27"/>
        <v>215803</v>
      </c>
      <c r="D36" s="1">
        <v>215914</v>
      </c>
      <c r="E36" s="59">
        <f t="shared" si="14"/>
        <v>111</v>
      </c>
      <c r="F36" s="98">
        <f t="shared" si="1"/>
        <v>36869</v>
      </c>
      <c r="G36" s="574">
        <v>36884</v>
      </c>
      <c r="H36" s="59">
        <f t="shared" si="15"/>
        <v>15</v>
      </c>
      <c r="I36" s="98">
        <f t="shared" si="2"/>
        <v>7441</v>
      </c>
      <c r="J36" s="1">
        <v>7444</v>
      </c>
      <c r="K36" s="59">
        <f t="shared" si="16"/>
        <v>3</v>
      </c>
      <c r="L36" s="98">
        <f t="shared" si="12"/>
        <v>10688</v>
      </c>
      <c r="M36" s="1">
        <v>10700</v>
      </c>
      <c r="N36" s="29">
        <f t="shared" si="25"/>
        <v>12</v>
      </c>
      <c r="O36" s="98">
        <f t="shared" si="4"/>
        <v>18819</v>
      </c>
      <c r="P36" s="566">
        <v>18829</v>
      </c>
      <c r="Q36" s="59">
        <f t="shared" si="17"/>
        <v>10</v>
      </c>
      <c r="R36" s="344"/>
      <c r="S36" s="338">
        <f t="shared" si="5"/>
        <v>45940</v>
      </c>
      <c r="T36" s="567">
        <v>45970</v>
      </c>
      <c r="U36" s="579">
        <f t="shared" si="13"/>
        <v>30</v>
      </c>
      <c r="V36" s="338">
        <f t="shared" si="26"/>
        <v>64168</v>
      </c>
      <c r="W36" s="567">
        <v>64218</v>
      </c>
      <c r="X36" s="579">
        <f t="shared" si="18"/>
        <v>50</v>
      </c>
      <c r="Y36" s="338">
        <f t="shared" si="7"/>
        <v>73491</v>
      </c>
      <c r="Z36" s="567">
        <v>73536</v>
      </c>
      <c r="AA36" s="579">
        <f t="shared" si="19"/>
        <v>45</v>
      </c>
      <c r="AB36" s="338">
        <f t="shared" si="8"/>
        <v>11531</v>
      </c>
      <c r="AC36" s="339">
        <v>11537</v>
      </c>
      <c r="AD36" s="340">
        <f t="shared" si="20"/>
        <v>6</v>
      </c>
      <c r="AE36" s="338">
        <f t="shared" si="9"/>
        <v>14071</v>
      </c>
      <c r="AF36" s="568">
        <v>14086</v>
      </c>
      <c r="AG36" s="340">
        <f t="shared" si="21"/>
        <v>15</v>
      </c>
      <c r="AH36" s="338">
        <f t="shared" si="10"/>
        <v>22748</v>
      </c>
      <c r="AI36" s="568">
        <v>22768</v>
      </c>
      <c r="AJ36" s="340">
        <f t="shared" si="22"/>
        <v>20</v>
      </c>
      <c r="AK36" s="450">
        <f t="shared" si="11"/>
        <v>15154</v>
      </c>
      <c r="AL36" s="567">
        <v>15154</v>
      </c>
      <c r="AM36" s="579">
        <f t="shared" si="23"/>
        <v>0</v>
      </c>
      <c r="AN36" s="580">
        <f t="shared" si="24"/>
        <v>166</v>
      </c>
    </row>
    <row r="37" spans="1:41" ht="24" customHeight="1">
      <c r="A37" s="58"/>
      <c r="B37" s="3"/>
      <c r="C37" s="98">
        <f t="shared" si="27"/>
        <v>215914</v>
      </c>
      <c r="D37" s="1"/>
      <c r="E37" s="59">
        <f t="shared" si="14"/>
        <v>-215914</v>
      </c>
      <c r="F37" s="98">
        <f t="shared" si="1"/>
        <v>36884</v>
      </c>
      <c r="G37" s="574"/>
      <c r="H37" s="59">
        <f t="shared" si="15"/>
        <v>-36884</v>
      </c>
      <c r="I37" s="98">
        <f t="shared" si="2"/>
        <v>7444</v>
      </c>
      <c r="J37" s="1"/>
      <c r="K37" s="59">
        <f t="shared" si="16"/>
        <v>-7444</v>
      </c>
      <c r="L37" s="98">
        <f t="shared" si="12"/>
        <v>10700</v>
      </c>
      <c r="M37" s="1"/>
      <c r="N37" s="29">
        <f t="shared" si="25"/>
        <v>-10700</v>
      </c>
      <c r="O37" s="98">
        <f t="shared" si="4"/>
        <v>18829</v>
      </c>
      <c r="P37" s="566"/>
      <c r="Q37" s="59">
        <f t="shared" si="17"/>
        <v>-18829</v>
      </c>
      <c r="R37" s="344"/>
      <c r="S37" s="338">
        <f t="shared" si="5"/>
        <v>45970</v>
      </c>
      <c r="T37" s="567"/>
      <c r="U37" s="579">
        <f t="shared" si="13"/>
        <v>-45970</v>
      </c>
      <c r="V37" s="338">
        <f t="shared" si="26"/>
        <v>64218</v>
      </c>
      <c r="W37" s="567"/>
      <c r="X37" s="340"/>
      <c r="Y37" s="338">
        <f t="shared" si="7"/>
        <v>73536</v>
      </c>
      <c r="Z37" s="567"/>
      <c r="AA37" s="579">
        <f t="shared" si="19"/>
        <v>-73536</v>
      </c>
      <c r="AB37" s="338">
        <f t="shared" si="8"/>
        <v>11537</v>
      </c>
      <c r="AC37" s="339"/>
      <c r="AD37" s="340">
        <f>AC37-AC36</f>
        <v>-11537</v>
      </c>
      <c r="AE37" s="338">
        <f t="shared" si="9"/>
        <v>14086</v>
      </c>
      <c r="AF37" s="568"/>
      <c r="AG37" s="340">
        <f t="shared" si="21"/>
        <v>-14086</v>
      </c>
      <c r="AH37" s="338">
        <f t="shared" si="10"/>
        <v>22768</v>
      </c>
      <c r="AI37" s="568"/>
      <c r="AJ37" s="340">
        <f t="shared" si="22"/>
        <v>-22768</v>
      </c>
      <c r="AK37" s="450">
        <f t="shared" si="11"/>
        <v>15154</v>
      </c>
      <c r="AL37" s="567"/>
      <c r="AM37" s="579">
        <f t="shared" si="23"/>
        <v>-15154</v>
      </c>
      <c r="AN37" s="580">
        <f t="shared" si="24"/>
        <v>-183051</v>
      </c>
    </row>
    <row r="38" spans="1:41" ht="17.25">
      <c r="A38" s="58"/>
      <c r="B38" s="22"/>
      <c r="C38" s="816" t="s">
        <v>6</v>
      </c>
      <c r="D38" s="816"/>
      <c r="E38" s="23">
        <f>SUM(E6:E36)</f>
        <v>3581</v>
      </c>
      <c r="F38" s="24" t="s">
        <v>21</v>
      </c>
      <c r="G38" s="25"/>
      <c r="H38" s="26">
        <f>SUM(H6:H37)</f>
        <v>-36423</v>
      </c>
      <c r="I38" s="27"/>
      <c r="J38" s="24"/>
      <c r="K38" s="28">
        <f>SUM(K6:K37)</f>
        <v>-7351</v>
      </c>
      <c r="L38" s="173"/>
      <c r="M38" s="173"/>
      <c r="N38" s="29">
        <f t="shared" si="25"/>
        <v>0</v>
      </c>
      <c r="O38" s="27"/>
      <c r="P38" s="341"/>
      <c r="Q38" s="342">
        <f t="shared" ref="Q38" si="28">P38-O38</f>
        <v>0</v>
      </c>
      <c r="R38" s="343">
        <f>E38</f>
        <v>3581</v>
      </c>
      <c r="S38" s="341"/>
      <c r="T38" s="341"/>
      <c r="U38" s="351">
        <f>SUM(U6:U37)</f>
        <v>-45036</v>
      </c>
      <c r="V38" s="341"/>
      <c r="W38" s="341"/>
      <c r="X38" s="341"/>
      <c r="Y38" s="341"/>
      <c r="Z38" s="341"/>
      <c r="AA38" s="341"/>
      <c r="AB38" s="341"/>
      <c r="AC38" s="341"/>
      <c r="AD38" s="341"/>
      <c r="AE38" s="341"/>
      <c r="AF38" s="341"/>
      <c r="AG38" s="341"/>
      <c r="AH38" s="341"/>
      <c r="AI38" s="341"/>
      <c r="AJ38" s="341"/>
      <c r="AK38" s="341"/>
      <c r="AL38" s="341"/>
      <c r="AM38" s="341"/>
      <c r="AN38" s="347">
        <f t="shared" ref="AN38" si="29">U38+X38+AA38+AD38+AG38+AJ38+AM38</f>
        <v>-45036</v>
      </c>
    </row>
    <row r="40" spans="1:41">
      <c r="R40" s="20"/>
      <c r="AF40" t="s">
        <v>260</v>
      </c>
    </row>
    <row r="41" spans="1:41" ht="13.5" thickBot="1">
      <c r="R41" s="20"/>
    </row>
    <row r="42" spans="1:41" ht="18.75" thickBot="1">
      <c r="A42" s="842"/>
      <c r="B42" s="386"/>
      <c r="C42" s="839" t="s">
        <v>227</v>
      </c>
      <c r="D42" s="840"/>
      <c r="E42" s="840"/>
      <c r="F42" s="840"/>
      <c r="G42" s="840"/>
      <c r="H42" s="840"/>
      <c r="I42" s="840"/>
      <c r="J42" s="840"/>
      <c r="K42" s="841"/>
      <c r="R42" s="20"/>
      <c r="T42" s="684"/>
      <c r="U42" s="684"/>
      <c r="V42" s="684"/>
      <c r="W42" s="684"/>
      <c r="X42" s="684"/>
      <c r="Y42" s="684"/>
      <c r="Z42" s="684"/>
      <c r="AA42" s="684"/>
      <c r="AB42" s="684"/>
      <c r="AC42" s="684"/>
      <c r="AD42" s="684"/>
      <c r="AE42" s="684"/>
      <c r="AF42" s="684"/>
      <c r="AG42" s="684"/>
      <c r="AH42" s="684"/>
      <c r="AI42" s="684"/>
      <c r="AJ42" s="684"/>
      <c r="AK42" s="684"/>
      <c r="AL42" s="684"/>
      <c r="AM42" s="684"/>
      <c r="AN42" s="684"/>
      <c r="AO42" s="684"/>
    </row>
    <row r="43" spans="1:41" ht="24.75" customHeight="1">
      <c r="A43" s="843"/>
      <c r="B43" s="20"/>
      <c r="C43" s="845" t="s">
        <v>221</v>
      </c>
      <c r="D43" s="846"/>
      <c r="E43" s="847" t="s">
        <v>242</v>
      </c>
      <c r="F43" s="848"/>
      <c r="G43" s="849" t="s">
        <v>222</v>
      </c>
      <c r="H43" s="850"/>
      <c r="I43" s="849" t="s">
        <v>243</v>
      </c>
      <c r="J43" s="850"/>
      <c r="K43" s="837" t="s">
        <v>228</v>
      </c>
      <c r="R43" s="20"/>
      <c r="T43" s="684"/>
      <c r="U43" s="684"/>
      <c r="V43" s="684"/>
      <c r="W43" s="684"/>
      <c r="X43" s="684"/>
      <c r="Y43" s="684"/>
      <c r="Z43" s="684"/>
      <c r="AA43" s="684"/>
      <c r="AB43" s="684"/>
      <c r="AC43" s="684"/>
      <c r="AD43" s="684"/>
      <c r="AE43" s="684"/>
      <c r="AF43" s="684"/>
      <c r="AG43" s="684"/>
      <c r="AH43" s="684"/>
      <c r="AI43" s="684"/>
      <c r="AJ43" s="684"/>
      <c r="AK43" s="684"/>
      <c r="AL43" s="684"/>
      <c r="AM43" s="684"/>
      <c r="AN43" s="684"/>
      <c r="AO43" s="684"/>
    </row>
    <row r="44" spans="1:41" ht="21" customHeight="1" thickBot="1">
      <c r="A44" s="843"/>
      <c r="B44" s="20"/>
      <c r="C44" s="851" t="s">
        <v>223</v>
      </c>
      <c r="D44" s="852"/>
      <c r="E44" s="851" t="s">
        <v>224</v>
      </c>
      <c r="F44" s="852"/>
      <c r="G44" s="851" t="s">
        <v>225</v>
      </c>
      <c r="H44" s="852"/>
      <c r="I44" s="851" t="s">
        <v>226</v>
      </c>
      <c r="J44" s="852"/>
      <c r="K44" s="838"/>
      <c r="R44" s="20"/>
      <c r="T44" s="684"/>
      <c r="U44" s="684"/>
      <c r="V44" s="684"/>
      <c r="W44" s="684"/>
      <c r="X44" s="684"/>
      <c r="Y44" s="684"/>
      <c r="Z44" s="684"/>
      <c r="AA44" s="684"/>
      <c r="AB44" s="684"/>
      <c r="AC44" s="684"/>
      <c r="AD44" s="684"/>
      <c r="AE44" s="684"/>
      <c r="AF44" s="684"/>
      <c r="AG44" s="684"/>
      <c r="AH44" s="684"/>
      <c r="AI44" s="684"/>
      <c r="AJ44" s="684"/>
      <c r="AK44" s="684"/>
      <c r="AL44" s="684"/>
      <c r="AM44" s="684"/>
      <c r="AN44" s="684"/>
      <c r="AO44" s="684"/>
    </row>
    <row r="45" spans="1:41" ht="21" customHeight="1" thickBot="1">
      <c r="A45" s="844"/>
      <c r="B45" s="20"/>
      <c r="C45" s="460" t="s">
        <v>230</v>
      </c>
      <c r="D45" s="461" t="s">
        <v>229</v>
      </c>
      <c r="E45" s="462" t="s">
        <v>230</v>
      </c>
      <c r="F45" s="463" t="s">
        <v>229</v>
      </c>
      <c r="G45" s="462"/>
      <c r="H45" s="463" t="s">
        <v>229</v>
      </c>
      <c r="I45" s="462" t="s">
        <v>230</v>
      </c>
      <c r="J45" s="463" t="s">
        <v>229</v>
      </c>
      <c r="K45" s="464" t="s">
        <v>229</v>
      </c>
      <c r="R45" s="20"/>
      <c r="T45" s="684"/>
      <c r="U45" s="684"/>
      <c r="V45" s="684"/>
      <c r="W45" s="684"/>
      <c r="X45" s="684"/>
      <c r="Y45" s="684"/>
      <c r="Z45" s="684"/>
      <c r="AA45" s="684"/>
      <c r="AB45" s="684"/>
      <c r="AC45" s="684"/>
      <c r="AD45" s="684"/>
      <c r="AE45" s="684"/>
      <c r="AF45" s="684"/>
      <c r="AG45" s="684"/>
      <c r="AH45" s="684"/>
      <c r="AI45" s="684"/>
      <c r="AJ45" s="684"/>
      <c r="AK45" s="684"/>
      <c r="AL45" s="684"/>
      <c r="AM45" s="684"/>
      <c r="AN45" s="684"/>
      <c r="AO45" s="684"/>
    </row>
    <row r="46" spans="1:41" ht="21" customHeight="1" thickBot="1">
      <c r="A46" s="405">
        <f>[1]Gen!A11</f>
        <v>43739</v>
      </c>
      <c r="B46" s="20"/>
      <c r="C46" s="63">
        <v>275</v>
      </c>
      <c r="D46" s="459">
        <f t="shared" ref="D46:D77" si="30">C46*217/300</f>
        <v>198.91666666666666</v>
      </c>
      <c r="E46" s="6">
        <v>230</v>
      </c>
      <c r="F46" s="459">
        <f t="shared" ref="F46:F77" si="31">E46*92/305</f>
        <v>69.377049180327873</v>
      </c>
      <c r="G46" s="462">
        <v>200</v>
      </c>
      <c r="H46" s="459">
        <f>G46*146/383</f>
        <v>76.240208877284601</v>
      </c>
      <c r="I46" s="6">
        <v>270</v>
      </c>
      <c r="J46" s="459">
        <f>I46*213/308</f>
        <v>186.72077922077921</v>
      </c>
      <c r="K46" s="465">
        <f>D46+F46+H46+J46</f>
        <v>531.25470394505828</v>
      </c>
      <c r="T46" s="684"/>
      <c r="U46" s="684"/>
      <c r="V46" s="684"/>
      <c r="W46" s="684"/>
      <c r="X46" s="684"/>
      <c r="Y46" s="684"/>
      <c r="Z46" s="684"/>
      <c r="AA46" s="684"/>
      <c r="AB46" s="684"/>
      <c r="AC46" s="684"/>
      <c r="AD46" s="684"/>
      <c r="AE46" s="684"/>
      <c r="AF46" s="684"/>
      <c r="AG46" s="684"/>
      <c r="AH46" s="684"/>
      <c r="AI46" s="684"/>
      <c r="AJ46" s="684"/>
      <c r="AK46" s="684"/>
      <c r="AL46" s="684"/>
      <c r="AM46" s="684"/>
      <c r="AN46" s="684"/>
      <c r="AO46" s="684"/>
    </row>
    <row r="47" spans="1:41" ht="14.25" thickBot="1">
      <c r="A47" s="405">
        <f>[1]Gen!A12</f>
        <v>43740</v>
      </c>
      <c r="B47" s="20"/>
      <c r="C47" s="63">
        <v>240</v>
      </c>
      <c r="D47" s="459">
        <f t="shared" si="30"/>
        <v>173.6</v>
      </c>
      <c r="E47" s="6">
        <v>205</v>
      </c>
      <c r="F47" s="459">
        <f t="shared" si="31"/>
        <v>61.83606557377049</v>
      </c>
      <c r="G47" s="462">
        <v>270</v>
      </c>
      <c r="H47" s="459">
        <f t="shared" ref="H47:H77" si="32">G47*146/383</f>
        <v>102.9242819843342</v>
      </c>
      <c r="I47" s="6">
        <v>285</v>
      </c>
      <c r="J47" s="459">
        <f t="shared" ref="J47:J77" si="33">I47*213/308</f>
        <v>197.09415584415584</v>
      </c>
      <c r="K47" s="465">
        <f t="shared" ref="K47:K77" si="34">D47+F47+H47+J47</f>
        <v>535.45450340226057</v>
      </c>
      <c r="T47" s="684"/>
      <c r="U47" s="684"/>
      <c r="V47" s="684"/>
      <c r="W47" s="684"/>
      <c r="X47" s="684"/>
      <c r="Y47" s="684"/>
      <c r="Z47" s="684"/>
      <c r="AA47" s="684"/>
      <c r="AB47" s="684"/>
      <c r="AC47" s="684"/>
      <c r="AD47" s="684"/>
      <c r="AE47" s="684"/>
      <c r="AF47" s="684"/>
      <c r="AG47" s="684"/>
      <c r="AH47" s="684"/>
      <c r="AI47" s="684"/>
      <c r="AJ47" s="684"/>
      <c r="AK47" s="684"/>
      <c r="AL47" s="684"/>
      <c r="AM47" s="684"/>
      <c r="AN47" s="684"/>
      <c r="AO47" s="684"/>
    </row>
    <row r="48" spans="1:41" ht="14.25" thickBot="1">
      <c r="A48" s="405">
        <f>[1]Gen!A13</f>
        <v>43741</v>
      </c>
      <c r="B48" s="20"/>
      <c r="C48" s="63">
        <v>200</v>
      </c>
      <c r="D48" s="459">
        <f t="shared" si="30"/>
        <v>144.66666666666666</v>
      </c>
      <c r="E48" s="6">
        <v>160</v>
      </c>
      <c r="F48" s="459">
        <f t="shared" si="31"/>
        <v>48.26229508196721</v>
      </c>
      <c r="G48" s="462">
        <v>250</v>
      </c>
      <c r="H48" s="459">
        <f t="shared" si="32"/>
        <v>95.300261096605738</v>
      </c>
      <c r="I48" s="6">
        <v>280</v>
      </c>
      <c r="J48" s="459">
        <f t="shared" si="33"/>
        <v>193.63636363636363</v>
      </c>
      <c r="K48" s="465">
        <f t="shared" si="34"/>
        <v>481.86558648160326</v>
      </c>
      <c r="T48" s="684"/>
      <c r="U48" s="684"/>
      <c r="V48" s="684"/>
      <c r="W48" s="684"/>
      <c r="X48" s="684"/>
      <c r="Y48" s="684"/>
      <c r="Z48" s="684"/>
      <c r="AA48" s="684"/>
      <c r="AB48" s="684"/>
      <c r="AC48" s="684"/>
      <c r="AD48" s="684"/>
      <c r="AE48" s="684"/>
      <c r="AF48" s="684"/>
      <c r="AG48" s="684"/>
      <c r="AH48" s="684"/>
      <c r="AI48" s="684"/>
      <c r="AJ48" s="684"/>
      <c r="AK48" s="684"/>
      <c r="AL48" s="684"/>
      <c r="AM48" s="684"/>
      <c r="AN48" s="684"/>
      <c r="AO48" s="684"/>
    </row>
    <row r="49" spans="1:41" ht="14.25" thickBot="1">
      <c r="A49" s="405">
        <f>[1]Gen!A14</f>
        <v>43742</v>
      </c>
      <c r="B49" s="20"/>
      <c r="C49" s="63">
        <v>150</v>
      </c>
      <c r="D49" s="459">
        <f t="shared" si="30"/>
        <v>108.5</v>
      </c>
      <c r="E49" s="6">
        <v>120</v>
      </c>
      <c r="F49" s="459">
        <f t="shared" si="31"/>
        <v>36.196721311475407</v>
      </c>
      <c r="G49" s="462">
        <v>250</v>
      </c>
      <c r="H49" s="459">
        <f t="shared" si="32"/>
        <v>95.300261096605738</v>
      </c>
      <c r="I49" s="6">
        <v>285</v>
      </c>
      <c r="J49" s="459">
        <f t="shared" si="33"/>
        <v>197.09415584415584</v>
      </c>
      <c r="K49" s="465">
        <f t="shared" si="34"/>
        <v>437.09113825223699</v>
      </c>
      <c r="T49" s="684"/>
      <c r="U49" s="684"/>
      <c r="V49" s="684"/>
      <c r="W49" s="684"/>
      <c r="X49" s="684"/>
      <c r="Y49" s="684"/>
      <c r="Z49" s="684"/>
      <c r="AA49" s="684"/>
      <c r="AB49" s="684"/>
      <c r="AC49" s="684"/>
      <c r="AD49" s="684"/>
      <c r="AE49" s="684"/>
      <c r="AF49" s="684"/>
      <c r="AG49" s="684"/>
      <c r="AH49" s="684"/>
      <c r="AI49" s="684"/>
      <c r="AJ49" s="684"/>
      <c r="AK49" s="684"/>
      <c r="AL49" s="684"/>
      <c r="AM49" s="684"/>
      <c r="AN49" s="684"/>
      <c r="AO49" s="684"/>
    </row>
    <row r="50" spans="1:41" ht="14.25" thickBot="1">
      <c r="A50" s="405">
        <f>[1]Gen!A15</f>
        <v>43743</v>
      </c>
      <c r="B50" s="20"/>
      <c r="C50" s="63">
        <v>175</v>
      </c>
      <c r="D50" s="459">
        <f t="shared" si="30"/>
        <v>126.58333333333333</v>
      </c>
      <c r="E50" s="6">
        <v>135</v>
      </c>
      <c r="F50" s="459">
        <f t="shared" si="31"/>
        <v>40.721311475409834</v>
      </c>
      <c r="G50" s="462">
        <v>235</v>
      </c>
      <c r="H50" s="459">
        <f t="shared" si="32"/>
        <v>89.582245430809394</v>
      </c>
      <c r="I50" s="6">
        <v>290</v>
      </c>
      <c r="J50" s="459">
        <f t="shared" si="33"/>
        <v>200.55194805194805</v>
      </c>
      <c r="K50" s="465">
        <f t="shared" si="34"/>
        <v>457.43883829150059</v>
      </c>
    </row>
    <row r="51" spans="1:41" ht="14.25" thickBot="1">
      <c r="A51" s="405">
        <f>[1]Gen!A16</f>
        <v>43744</v>
      </c>
      <c r="B51" s="20"/>
      <c r="C51" s="63">
        <v>160</v>
      </c>
      <c r="D51" s="459">
        <f t="shared" si="30"/>
        <v>115.73333333333333</v>
      </c>
      <c r="E51" s="6">
        <v>125</v>
      </c>
      <c r="F51" s="459">
        <f t="shared" si="31"/>
        <v>37.704918032786885</v>
      </c>
      <c r="G51" s="462">
        <v>235</v>
      </c>
      <c r="H51" s="459">
        <f t="shared" si="32"/>
        <v>89.582245430809394</v>
      </c>
      <c r="I51" s="6">
        <v>285</v>
      </c>
      <c r="J51" s="459">
        <f t="shared" si="33"/>
        <v>197.09415584415584</v>
      </c>
      <c r="K51" s="465">
        <f t="shared" si="34"/>
        <v>440.11465264108546</v>
      </c>
    </row>
    <row r="52" spans="1:41" ht="14.25" thickBot="1">
      <c r="A52" s="405">
        <f>[1]Gen!A17</f>
        <v>43745</v>
      </c>
      <c r="B52" s="20"/>
      <c r="C52" s="63">
        <v>150</v>
      </c>
      <c r="D52" s="459">
        <f t="shared" si="30"/>
        <v>108.5</v>
      </c>
      <c r="E52" s="6">
        <v>115</v>
      </c>
      <c r="F52" s="459">
        <f t="shared" si="31"/>
        <v>34.688524590163937</v>
      </c>
      <c r="G52" s="462">
        <v>235</v>
      </c>
      <c r="H52" s="459">
        <f t="shared" si="32"/>
        <v>89.582245430809394</v>
      </c>
      <c r="I52" s="6">
        <v>280</v>
      </c>
      <c r="J52" s="459">
        <f t="shared" si="33"/>
        <v>193.63636363636363</v>
      </c>
      <c r="K52" s="465">
        <f t="shared" si="34"/>
        <v>426.40713365733694</v>
      </c>
    </row>
    <row r="53" spans="1:41" ht="14.25" thickBot="1">
      <c r="A53" s="405">
        <f>[1]Gen!A18</f>
        <v>43746</v>
      </c>
      <c r="B53" s="20"/>
      <c r="C53" s="63">
        <v>200</v>
      </c>
      <c r="D53" s="459">
        <f t="shared" si="30"/>
        <v>144.66666666666666</v>
      </c>
      <c r="E53" s="6">
        <v>160</v>
      </c>
      <c r="F53" s="459">
        <f t="shared" si="31"/>
        <v>48.26229508196721</v>
      </c>
      <c r="G53" s="462">
        <v>50</v>
      </c>
      <c r="H53" s="459">
        <f t="shared" si="32"/>
        <v>19.06005221932115</v>
      </c>
      <c r="I53" s="6">
        <v>280</v>
      </c>
      <c r="J53" s="459">
        <f t="shared" si="33"/>
        <v>193.63636363636363</v>
      </c>
      <c r="K53" s="465">
        <f t="shared" si="34"/>
        <v>405.62537760431866</v>
      </c>
    </row>
    <row r="54" spans="1:41" ht="14.25" thickBot="1">
      <c r="A54" s="405">
        <f>[1]Gen!A19</f>
        <v>43747</v>
      </c>
      <c r="B54" s="20"/>
      <c r="C54" s="63">
        <v>210</v>
      </c>
      <c r="D54" s="459">
        <f t="shared" si="30"/>
        <v>151.9</v>
      </c>
      <c r="E54" s="6">
        <v>170</v>
      </c>
      <c r="F54" s="459">
        <f t="shared" si="31"/>
        <v>51.278688524590166</v>
      </c>
      <c r="G54" s="462">
        <v>140</v>
      </c>
      <c r="H54" s="459">
        <f t="shared" si="32"/>
        <v>53.36814621409922</v>
      </c>
      <c r="I54" s="6">
        <v>275</v>
      </c>
      <c r="J54" s="459">
        <f t="shared" si="33"/>
        <v>190.17857142857142</v>
      </c>
      <c r="K54" s="465">
        <f t="shared" si="34"/>
        <v>446.72540616726076</v>
      </c>
    </row>
    <row r="55" spans="1:41" ht="14.25" thickBot="1">
      <c r="A55" s="405">
        <f>[1]Gen!A20</f>
        <v>43748</v>
      </c>
      <c r="B55" s="20"/>
      <c r="C55" s="63">
        <v>170</v>
      </c>
      <c r="D55" s="459">
        <f t="shared" si="30"/>
        <v>122.96666666666667</v>
      </c>
      <c r="E55" s="6">
        <v>120</v>
      </c>
      <c r="F55" s="459">
        <f t="shared" si="31"/>
        <v>36.196721311475407</v>
      </c>
      <c r="G55" s="462">
        <v>250</v>
      </c>
      <c r="H55" s="459">
        <f t="shared" si="32"/>
        <v>95.300261096605738</v>
      </c>
      <c r="I55" s="6">
        <v>285</v>
      </c>
      <c r="J55" s="459">
        <f t="shared" si="33"/>
        <v>197.09415584415584</v>
      </c>
      <c r="K55" s="465">
        <f t="shared" si="34"/>
        <v>451.55780491890368</v>
      </c>
    </row>
    <row r="56" spans="1:41" ht="14.25" thickBot="1">
      <c r="A56" s="405">
        <f>[1]Gen!A21</f>
        <v>43749</v>
      </c>
      <c r="B56" s="20"/>
      <c r="C56" s="63">
        <v>135</v>
      </c>
      <c r="D56" s="459">
        <f t="shared" si="30"/>
        <v>97.65</v>
      </c>
      <c r="E56" s="6">
        <v>100</v>
      </c>
      <c r="F56" s="459">
        <f t="shared" si="31"/>
        <v>30.16393442622951</v>
      </c>
      <c r="G56" s="462">
        <v>260</v>
      </c>
      <c r="H56" s="459">
        <f t="shared" si="32"/>
        <v>99.112271540469976</v>
      </c>
      <c r="I56" s="6">
        <v>290</v>
      </c>
      <c r="J56" s="459">
        <f t="shared" si="33"/>
        <v>200.55194805194805</v>
      </c>
      <c r="K56" s="465">
        <f t="shared" si="34"/>
        <v>427.4781540186475</v>
      </c>
    </row>
    <row r="57" spans="1:41" ht="14.25" thickBot="1">
      <c r="A57" s="405">
        <f>[1]Gen!A22</f>
        <v>43750</v>
      </c>
      <c r="B57" s="20"/>
      <c r="C57" s="63">
        <v>250</v>
      </c>
      <c r="D57" s="459">
        <f t="shared" si="30"/>
        <v>180.83333333333334</v>
      </c>
      <c r="E57" s="6">
        <v>225</v>
      </c>
      <c r="F57" s="459">
        <f t="shared" si="31"/>
        <v>67.868852459016395</v>
      </c>
      <c r="G57" s="462">
        <v>5</v>
      </c>
      <c r="H57" s="459">
        <f t="shared" si="32"/>
        <v>1.9060052219321149</v>
      </c>
      <c r="I57" s="6">
        <v>210</v>
      </c>
      <c r="J57" s="459">
        <f t="shared" si="33"/>
        <v>145.22727272727272</v>
      </c>
      <c r="K57" s="465">
        <f t="shared" si="34"/>
        <v>395.83546374155458</v>
      </c>
    </row>
    <row r="58" spans="1:41" ht="14.25" thickBot="1">
      <c r="A58" s="405">
        <f>[1]Gen!A23</f>
        <v>43751</v>
      </c>
      <c r="B58" s="20"/>
      <c r="C58" s="63">
        <v>141</v>
      </c>
      <c r="D58" s="459">
        <f t="shared" si="30"/>
        <v>101.99</v>
      </c>
      <c r="E58" s="6">
        <v>105</v>
      </c>
      <c r="F58" s="459">
        <f t="shared" si="31"/>
        <v>31.672131147540984</v>
      </c>
      <c r="G58" s="462">
        <v>280</v>
      </c>
      <c r="H58" s="459">
        <f t="shared" si="32"/>
        <v>106.73629242819844</v>
      </c>
      <c r="I58" s="6">
        <v>280</v>
      </c>
      <c r="J58" s="459">
        <f t="shared" si="33"/>
        <v>193.63636363636363</v>
      </c>
      <c r="K58" s="465">
        <f t="shared" si="34"/>
        <v>434.03478721210303</v>
      </c>
    </row>
    <row r="59" spans="1:41" ht="14.25" thickBot="1">
      <c r="A59" s="405">
        <f>[1]Gen!A24</f>
        <v>43752</v>
      </c>
      <c r="B59" s="20"/>
      <c r="C59" s="63">
        <v>187</v>
      </c>
      <c r="D59" s="459">
        <f t="shared" si="30"/>
        <v>135.26333333333332</v>
      </c>
      <c r="E59" s="6">
        <v>152</v>
      </c>
      <c r="F59" s="459">
        <f t="shared" si="31"/>
        <v>45.849180327868851</v>
      </c>
      <c r="G59" s="462">
        <v>300</v>
      </c>
      <c r="H59" s="459">
        <f t="shared" si="32"/>
        <v>114.36031331592689</v>
      </c>
      <c r="I59" s="6">
        <v>283</v>
      </c>
      <c r="J59" s="459">
        <f t="shared" si="33"/>
        <v>195.71103896103895</v>
      </c>
      <c r="K59" s="465">
        <f t="shared" si="34"/>
        <v>491.18386593816797</v>
      </c>
    </row>
    <row r="60" spans="1:41" ht="14.25" thickBot="1">
      <c r="A60" s="405">
        <f>[1]Gen!A25</f>
        <v>43753</v>
      </c>
      <c r="B60" s="20"/>
      <c r="C60" s="63">
        <v>200</v>
      </c>
      <c r="D60" s="459">
        <f t="shared" si="30"/>
        <v>144.66666666666666</v>
      </c>
      <c r="E60" s="6">
        <v>165</v>
      </c>
      <c r="F60" s="459">
        <f t="shared" si="31"/>
        <v>49.770491803278688</v>
      </c>
      <c r="G60" s="462">
        <v>300</v>
      </c>
      <c r="H60" s="459">
        <f t="shared" si="32"/>
        <v>114.36031331592689</v>
      </c>
      <c r="I60" s="6">
        <v>280</v>
      </c>
      <c r="J60" s="459">
        <v>197</v>
      </c>
      <c r="K60" s="465">
        <f t="shared" si="34"/>
        <v>505.79747178587223</v>
      </c>
      <c r="L60" t="s">
        <v>256</v>
      </c>
      <c r="O60" t="s">
        <v>257</v>
      </c>
    </row>
    <row r="61" spans="1:41" ht="14.25" thickBot="1">
      <c r="A61" s="405">
        <f>[1]Gen!A26</f>
        <v>43754</v>
      </c>
      <c r="B61" s="20"/>
      <c r="C61" s="63">
        <v>170</v>
      </c>
      <c r="D61" s="459">
        <f t="shared" si="30"/>
        <v>122.96666666666667</v>
      </c>
      <c r="E61" s="6">
        <v>130</v>
      </c>
      <c r="F61" s="459">
        <f t="shared" si="31"/>
        <v>39.213114754098363</v>
      </c>
      <c r="G61" s="462">
        <v>300</v>
      </c>
      <c r="H61" s="459">
        <f t="shared" si="32"/>
        <v>114.36031331592689</v>
      </c>
      <c r="I61" s="6">
        <v>275</v>
      </c>
      <c r="J61" s="459">
        <f t="shared" si="33"/>
        <v>190.17857142857142</v>
      </c>
      <c r="K61" s="465">
        <f t="shared" si="34"/>
        <v>466.71866616526336</v>
      </c>
      <c r="L61" t="s">
        <v>259</v>
      </c>
      <c r="N61" t="s">
        <v>258</v>
      </c>
    </row>
    <row r="62" spans="1:41" ht="14.25" thickBot="1">
      <c r="A62" s="405">
        <f>[1]Gen!A27</f>
        <v>43755</v>
      </c>
      <c r="B62" s="20"/>
      <c r="C62" s="63">
        <v>225</v>
      </c>
      <c r="D62" s="459">
        <f t="shared" si="30"/>
        <v>162.75</v>
      </c>
      <c r="E62" s="6">
        <v>190</v>
      </c>
      <c r="F62" s="459">
        <f t="shared" si="31"/>
        <v>57.311475409836063</v>
      </c>
      <c r="G62" s="462">
        <v>190</v>
      </c>
      <c r="H62" s="459">
        <f t="shared" si="32"/>
        <v>72.428198433420363</v>
      </c>
      <c r="I62" s="6">
        <v>285</v>
      </c>
      <c r="J62" s="459">
        <f t="shared" si="33"/>
        <v>197.09415584415584</v>
      </c>
      <c r="K62" s="465">
        <f t="shared" si="34"/>
        <v>489.58382968741228</v>
      </c>
    </row>
    <row r="63" spans="1:41" ht="14.25" thickBot="1">
      <c r="A63" s="405">
        <f>[1]Gen!A28</f>
        <v>43756</v>
      </c>
      <c r="B63" s="20"/>
      <c r="C63" s="63">
        <v>228</v>
      </c>
      <c r="D63" s="459">
        <f t="shared" si="30"/>
        <v>164.92</v>
      </c>
      <c r="E63" s="6">
        <v>193</v>
      </c>
      <c r="F63" s="459">
        <f t="shared" si="31"/>
        <v>58.216393442622952</v>
      </c>
      <c r="G63" s="462">
        <v>240</v>
      </c>
      <c r="H63" s="459">
        <f t="shared" si="32"/>
        <v>91.488250652741513</v>
      </c>
      <c r="I63" s="6">
        <v>285</v>
      </c>
      <c r="J63" s="459">
        <f t="shared" si="33"/>
        <v>197.09415584415584</v>
      </c>
      <c r="K63" s="465">
        <f t="shared" si="34"/>
        <v>511.7187999395203</v>
      </c>
    </row>
    <row r="64" spans="1:41" ht="14.25" thickBot="1">
      <c r="A64" s="405">
        <f>[1]Gen!A29</f>
        <v>43757</v>
      </c>
      <c r="B64" s="20"/>
      <c r="C64" s="63">
        <v>227</v>
      </c>
      <c r="D64" s="459">
        <f t="shared" si="30"/>
        <v>164.19666666666666</v>
      </c>
      <c r="E64" s="6">
        <v>192</v>
      </c>
      <c r="F64" s="459">
        <f t="shared" si="31"/>
        <v>57.914754098360653</v>
      </c>
      <c r="G64" s="462">
        <v>242</v>
      </c>
      <c r="H64" s="459">
        <f t="shared" si="32"/>
        <v>92.250652741514358</v>
      </c>
      <c r="I64" s="6">
        <v>290</v>
      </c>
      <c r="J64" s="459">
        <f t="shared" si="33"/>
        <v>200.55194805194805</v>
      </c>
      <c r="K64" s="465">
        <f t="shared" si="34"/>
        <v>514.91402155848971</v>
      </c>
    </row>
    <row r="65" spans="1:11" ht="14.25" thickBot="1">
      <c r="A65" s="405">
        <f>[1]Gen!A30</f>
        <v>43758</v>
      </c>
      <c r="B65" s="20"/>
      <c r="C65" s="63">
        <v>225</v>
      </c>
      <c r="D65" s="459">
        <f t="shared" si="30"/>
        <v>162.75</v>
      </c>
      <c r="E65" s="6">
        <v>190</v>
      </c>
      <c r="F65" s="459">
        <f t="shared" si="31"/>
        <v>57.311475409836063</v>
      </c>
      <c r="G65" s="462">
        <v>300</v>
      </c>
      <c r="H65" s="459">
        <f t="shared" si="32"/>
        <v>114.36031331592689</v>
      </c>
      <c r="I65" s="6">
        <v>290</v>
      </c>
      <c r="J65" s="459">
        <f t="shared" si="33"/>
        <v>200.55194805194805</v>
      </c>
      <c r="K65" s="465">
        <f t="shared" si="34"/>
        <v>534.973736777711</v>
      </c>
    </row>
    <row r="66" spans="1:11" ht="14.25" thickBot="1">
      <c r="A66" s="405">
        <f>[1]Gen!A31</f>
        <v>43759</v>
      </c>
      <c r="B66" s="20"/>
      <c r="C66" s="63">
        <v>196</v>
      </c>
      <c r="D66" s="459">
        <f t="shared" si="30"/>
        <v>141.77333333333334</v>
      </c>
      <c r="E66" s="6">
        <v>160</v>
      </c>
      <c r="F66" s="459">
        <f t="shared" si="31"/>
        <v>48.26229508196721</v>
      </c>
      <c r="G66" s="462">
        <v>300</v>
      </c>
      <c r="H66" s="459">
        <f t="shared" si="32"/>
        <v>114.36031331592689</v>
      </c>
      <c r="I66" s="6">
        <v>285</v>
      </c>
      <c r="J66" s="459">
        <f t="shared" si="33"/>
        <v>197.09415584415584</v>
      </c>
      <c r="K66" s="465">
        <f t="shared" si="34"/>
        <v>501.49009757538329</v>
      </c>
    </row>
    <row r="67" spans="1:11" ht="14.25" thickBot="1">
      <c r="A67" s="405">
        <f>[1]Gen!A32</f>
        <v>43760</v>
      </c>
      <c r="B67" s="20"/>
      <c r="C67" s="63">
        <v>290</v>
      </c>
      <c r="D67" s="459">
        <f t="shared" si="30"/>
        <v>209.76666666666668</v>
      </c>
      <c r="E67" s="6">
        <v>265</v>
      </c>
      <c r="F67" s="459">
        <f t="shared" si="31"/>
        <v>79.93442622950819</v>
      </c>
      <c r="G67" s="462">
        <v>280</v>
      </c>
      <c r="H67" s="459">
        <f t="shared" si="32"/>
        <v>106.73629242819844</v>
      </c>
      <c r="I67" s="6">
        <v>290</v>
      </c>
      <c r="J67" s="459">
        <f t="shared" si="33"/>
        <v>200.55194805194805</v>
      </c>
      <c r="K67" s="465">
        <f t="shared" si="34"/>
        <v>596.98933337632138</v>
      </c>
    </row>
    <row r="68" spans="1:11" ht="14.25" thickBot="1">
      <c r="A68" s="405">
        <f>[1]Gen!A33</f>
        <v>43761</v>
      </c>
      <c r="B68" s="20"/>
      <c r="C68" s="63">
        <v>205</v>
      </c>
      <c r="D68" s="459">
        <f t="shared" si="30"/>
        <v>148.28333333333333</v>
      </c>
      <c r="E68" s="6">
        <v>180</v>
      </c>
      <c r="F68" s="459">
        <f t="shared" si="31"/>
        <v>54.295081967213115</v>
      </c>
      <c r="G68" s="462">
        <v>295</v>
      </c>
      <c r="H68" s="459">
        <f t="shared" si="32"/>
        <v>112.45430809399478</v>
      </c>
      <c r="I68" s="6">
        <v>285</v>
      </c>
      <c r="J68" s="459">
        <f t="shared" si="33"/>
        <v>197.09415584415584</v>
      </c>
      <c r="K68" s="465">
        <f t="shared" si="34"/>
        <v>512.12687923869703</v>
      </c>
    </row>
    <row r="69" spans="1:11" ht="14.25" thickBot="1">
      <c r="A69" s="405">
        <f>[1]Gen!A34</f>
        <v>43762</v>
      </c>
      <c r="B69" s="20"/>
      <c r="C69" s="63">
        <v>195</v>
      </c>
      <c r="D69" s="459">
        <f t="shared" si="30"/>
        <v>141.05000000000001</v>
      </c>
      <c r="E69" s="6">
        <v>160</v>
      </c>
      <c r="F69" s="459">
        <f t="shared" si="31"/>
        <v>48.26229508196721</v>
      </c>
      <c r="G69" s="462">
        <v>300</v>
      </c>
      <c r="H69" s="459">
        <f t="shared" si="32"/>
        <v>114.36031331592689</v>
      </c>
      <c r="I69" s="6">
        <v>288</v>
      </c>
      <c r="J69" s="459">
        <f t="shared" si="33"/>
        <v>199.16883116883116</v>
      </c>
      <c r="K69" s="465">
        <f t="shared" si="34"/>
        <v>502.84143956672528</v>
      </c>
    </row>
    <row r="70" spans="1:11" ht="14.25" thickBot="1">
      <c r="A70" s="405">
        <f>[1]Gen!A35</f>
        <v>43763</v>
      </c>
      <c r="B70" s="20"/>
      <c r="C70" s="63">
        <v>225</v>
      </c>
      <c r="D70" s="459">
        <f t="shared" si="30"/>
        <v>162.75</v>
      </c>
      <c r="E70" s="6">
        <v>190</v>
      </c>
      <c r="F70" s="459">
        <f t="shared" si="31"/>
        <v>57.311475409836063</v>
      </c>
      <c r="G70" s="462">
        <v>265</v>
      </c>
      <c r="H70" s="459">
        <f t="shared" si="32"/>
        <v>101.0182767624021</v>
      </c>
      <c r="I70" s="6">
        <v>290</v>
      </c>
      <c r="J70" s="459">
        <f t="shared" si="33"/>
        <v>200.55194805194805</v>
      </c>
      <c r="K70" s="465">
        <f t="shared" si="34"/>
        <v>521.63170022418626</v>
      </c>
    </row>
    <row r="71" spans="1:11" ht="14.25" thickBot="1">
      <c r="A71" s="405">
        <f>[1]Gen!A36</f>
        <v>43764</v>
      </c>
      <c r="B71" s="20"/>
      <c r="C71" s="63">
        <v>200</v>
      </c>
      <c r="D71" s="459">
        <f t="shared" si="30"/>
        <v>144.66666666666666</v>
      </c>
      <c r="E71" s="6">
        <v>165</v>
      </c>
      <c r="F71" s="459">
        <f t="shared" si="31"/>
        <v>49.770491803278688</v>
      </c>
      <c r="G71" s="462">
        <v>238</v>
      </c>
      <c r="H71" s="459">
        <f t="shared" si="32"/>
        <v>90.725848563968668</v>
      </c>
      <c r="I71" s="6">
        <v>285</v>
      </c>
      <c r="J71" s="459">
        <f t="shared" si="33"/>
        <v>197.09415584415584</v>
      </c>
      <c r="K71" s="465">
        <f t="shared" si="34"/>
        <v>482.25716287806983</v>
      </c>
    </row>
    <row r="72" spans="1:11" ht="14.25" thickBot="1">
      <c r="A72" s="405">
        <f>[1]Gen!A37</f>
        <v>43765</v>
      </c>
      <c r="B72" s="20"/>
      <c r="C72" s="63">
        <v>172</v>
      </c>
      <c r="D72" s="459">
        <f t="shared" si="30"/>
        <v>124.41333333333333</v>
      </c>
      <c r="E72" s="6">
        <v>137</v>
      </c>
      <c r="F72" s="459">
        <f t="shared" si="31"/>
        <v>41.324590163934424</v>
      </c>
      <c r="G72" s="462">
        <v>240</v>
      </c>
      <c r="H72" s="459">
        <f t="shared" si="32"/>
        <v>91.488250652741513</v>
      </c>
      <c r="I72" s="6">
        <v>290</v>
      </c>
      <c r="J72" s="459">
        <f t="shared" si="33"/>
        <v>200.55194805194805</v>
      </c>
      <c r="K72" s="465">
        <f t="shared" si="34"/>
        <v>457.77812220195733</v>
      </c>
    </row>
    <row r="73" spans="1:11" ht="14.25" thickBot="1">
      <c r="A73" s="405">
        <f>[1]Gen!A38</f>
        <v>43766</v>
      </c>
      <c r="B73" s="20"/>
      <c r="C73" s="63">
        <v>185</v>
      </c>
      <c r="D73" s="459">
        <f t="shared" si="30"/>
        <v>133.81666666666666</v>
      </c>
      <c r="E73" s="6">
        <v>150</v>
      </c>
      <c r="F73" s="459">
        <f t="shared" si="31"/>
        <v>45.245901639344261</v>
      </c>
      <c r="G73" s="462">
        <v>260</v>
      </c>
      <c r="H73" s="459">
        <f t="shared" si="32"/>
        <v>99.112271540469976</v>
      </c>
      <c r="I73" s="6">
        <v>290</v>
      </c>
      <c r="J73" s="459">
        <f t="shared" si="33"/>
        <v>200.55194805194805</v>
      </c>
      <c r="K73" s="465">
        <f t="shared" si="34"/>
        <v>478.72678789842894</v>
      </c>
    </row>
    <row r="74" spans="1:11" ht="14.25" thickBot="1">
      <c r="A74" s="405">
        <f>[1]Gen!A39</f>
        <v>43767</v>
      </c>
      <c r="B74" s="20"/>
      <c r="C74" s="63">
        <v>170</v>
      </c>
      <c r="D74" s="459">
        <f t="shared" si="30"/>
        <v>122.96666666666667</v>
      </c>
      <c r="E74" s="6">
        <v>135</v>
      </c>
      <c r="F74" s="459">
        <f t="shared" si="31"/>
        <v>40.721311475409834</v>
      </c>
      <c r="G74" s="462">
        <v>295</v>
      </c>
      <c r="H74" s="459">
        <f t="shared" si="32"/>
        <v>112.45430809399478</v>
      </c>
      <c r="I74" s="6">
        <v>280</v>
      </c>
      <c r="J74" s="459">
        <f t="shared" si="33"/>
        <v>193.63636363636363</v>
      </c>
      <c r="K74" s="465">
        <f t="shared" si="34"/>
        <v>469.77864987243493</v>
      </c>
    </row>
    <row r="75" spans="1:11" ht="14.25" thickBot="1">
      <c r="A75" s="405">
        <f>[1]Gen!A40</f>
        <v>43768</v>
      </c>
      <c r="B75" s="345"/>
      <c r="C75" s="63">
        <v>135</v>
      </c>
      <c r="D75" s="459">
        <f t="shared" si="30"/>
        <v>97.65</v>
      </c>
      <c r="E75" s="6">
        <v>105</v>
      </c>
      <c r="F75" s="459">
        <f t="shared" si="31"/>
        <v>31.672131147540984</v>
      </c>
      <c r="G75" s="462">
        <v>300</v>
      </c>
      <c r="H75" s="459">
        <f t="shared" si="32"/>
        <v>114.36031331592689</v>
      </c>
      <c r="I75" s="6">
        <v>286</v>
      </c>
      <c r="J75" s="459">
        <f t="shared" si="33"/>
        <v>197.78571428571428</v>
      </c>
      <c r="K75" s="465">
        <f t="shared" si="34"/>
        <v>441.46815874918218</v>
      </c>
    </row>
    <row r="76" spans="1:11" ht="14.25" thickBot="1">
      <c r="A76" s="405">
        <f>[1]Gen!A41</f>
        <v>43769</v>
      </c>
      <c r="C76" s="63">
        <v>110</v>
      </c>
      <c r="D76" s="459">
        <f t="shared" si="30"/>
        <v>79.566666666666663</v>
      </c>
      <c r="E76" s="6">
        <v>75</v>
      </c>
      <c r="F76" s="459">
        <f t="shared" si="31"/>
        <v>22.622950819672131</v>
      </c>
      <c r="G76" s="462">
        <v>300</v>
      </c>
      <c r="H76" s="459">
        <f t="shared" si="32"/>
        <v>114.36031331592689</v>
      </c>
      <c r="I76" s="6">
        <v>290</v>
      </c>
      <c r="J76" s="459">
        <f t="shared" si="33"/>
        <v>200.55194805194805</v>
      </c>
      <c r="K76" s="465">
        <f t="shared" si="34"/>
        <v>417.10187885421374</v>
      </c>
    </row>
    <row r="77" spans="1:11" ht="14.25" thickBot="1">
      <c r="A77" s="405" t="e">
        <f>[1]Gen!A42</f>
        <v>#REF!</v>
      </c>
      <c r="C77" s="63"/>
      <c r="D77" s="466">
        <f t="shared" si="30"/>
        <v>0</v>
      </c>
      <c r="E77" s="6"/>
      <c r="F77" s="466">
        <f t="shared" si="31"/>
        <v>0</v>
      </c>
      <c r="G77" s="462"/>
      <c r="H77" s="466">
        <f t="shared" si="32"/>
        <v>0</v>
      </c>
      <c r="I77" s="6"/>
      <c r="J77" s="459">
        <f t="shared" si="33"/>
        <v>0</v>
      </c>
      <c r="K77" s="467">
        <f t="shared" si="34"/>
        <v>0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0" t="s">
        <v>185</v>
      </c>
      <c r="B2" s="620"/>
      <c r="C2" s="662"/>
      <c r="D2" s="662"/>
      <c r="E2" s="66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663" t="s">
        <v>70</v>
      </c>
      <c r="S2" s="663" t="s">
        <v>71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50</v>
      </c>
      <c r="N3" s="123"/>
      <c r="O3" s="123"/>
      <c r="P3" s="123" t="s">
        <v>45</v>
      </c>
      <c r="Q3" s="124" t="s">
        <v>57</v>
      </c>
      <c r="R3" s="124"/>
      <c r="S3" s="124"/>
      <c r="T3" s="664"/>
      <c r="U3" s="665"/>
      <c r="V3" s="68" t="s">
        <v>58</v>
      </c>
      <c r="W3" s="123" t="s">
        <v>80</v>
      </c>
      <c r="AA3" s="155" t="s">
        <v>81</v>
      </c>
    </row>
    <row r="4" spans="1:27" s="51" customFormat="1" ht="50.25" customHeight="1">
      <c r="A4" s="64" t="s">
        <v>0</v>
      </c>
      <c r="B4" s="82" t="s">
        <v>68</v>
      </c>
      <c r="C4" s="53" t="s">
        <v>52</v>
      </c>
      <c r="D4" s="53" t="s">
        <v>66</v>
      </c>
      <c r="E4" s="53" t="s">
        <v>67</v>
      </c>
      <c r="F4" s="74" t="s">
        <v>43</v>
      </c>
      <c r="G4" s="53" t="s">
        <v>46</v>
      </c>
      <c r="H4" s="53" t="s">
        <v>47</v>
      </c>
      <c r="I4" s="53" t="s">
        <v>48</v>
      </c>
      <c r="J4" s="53" t="s">
        <v>49</v>
      </c>
      <c r="K4" s="74" t="s">
        <v>53</v>
      </c>
      <c r="L4" s="74" t="s">
        <v>78</v>
      </c>
      <c r="M4" s="53">
        <v>3</v>
      </c>
      <c r="N4" s="53">
        <v>2</v>
      </c>
      <c r="O4" s="53">
        <v>1</v>
      </c>
      <c r="P4" s="57"/>
      <c r="Q4" s="60" t="s">
        <v>55</v>
      </c>
      <c r="R4" s="60" t="s">
        <v>65</v>
      </c>
      <c r="S4" s="60" t="s">
        <v>64</v>
      </c>
      <c r="T4" s="60" t="s">
        <v>20</v>
      </c>
      <c r="U4" s="65" t="s">
        <v>56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661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666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667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661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666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667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661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666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667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661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666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667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661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666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667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661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666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667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661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666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667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661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666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667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661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666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667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661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666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667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661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666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667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661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666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667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661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666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667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661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666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667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661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666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667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661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666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667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661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666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667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661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666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667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661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666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667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661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666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667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661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666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667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661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666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667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661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666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667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661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666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667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661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666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667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661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666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667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661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666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667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661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666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667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661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666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667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661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666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667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661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666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667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79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K96"/>
  <sheetViews>
    <sheetView topLeftCell="A55" workbookViewId="0">
      <selection activeCell="Q85" sqref="Q8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53" t="s">
        <v>184</v>
      </c>
      <c r="B1" s="854"/>
      <c r="C1" s="854"/>
      <c r="D1" s="854"/>
      <c r="E1" s="854"/>
      <c r="F1" s="854"/>
      <c r="G1" s="855"/>
    </row>
    <row r="2" spans="1:7" ht="13.5" thickBot="1">
      <c r="A2" s="418"/>
      <c r="B2" s="856" t="s">
        <v>179</v>
      </c>
      <c r="C2" s="857"/>
      <c r="D2" s="858"/>
      <c r="E2" s="856" t="s">
        <v>180</v>
      </c>
      <c r="F2" s="857"/>
      <c r="G2" s="858"/>
    </row>
    <row r="3" spans="1:7" ht="40.5" customHeight="1" thickBot="1">
      <c r="A3" s="689" t="s">
        <v>7</v>
      </c>
      <c r="B3" s="690" t="s">
        <v>181</v>
      </c>
      <c r="C3" s="690" t="s">
        <v>182</v>
      </c>
      <c r="D3" s="690" t="s">
        <v>183</v>
      </c>
      <c r="E3" s="690" t="s">
        <v>181</v>
      </c>
      <c r="F3" s="690" t="s">
        <v>182</v>
      </c>
      <c r="G3" s="691" t="s">
        <v>183</v>
      </c>
    </row>
    <row r="4" spans="1:7">
      <c r="A4" s="692">
        <v>42095</v>
      </c>
      <c r="B4" s="693">
        <v>0</v>
      </c>
      <c r="C4" s="485">
        <v>193</v>
      </c>
      <c r="D4" s="694">
        <f>C4-B4</f>
        <v>193</v>
      </c>
      <c r="E4" s="695">
        <v>0</v>
      </c>
      <c r="F4" s="696">
        <v>0</v>
      </c>
      <c r="G4" s="486">
        <f>F4-E4</f>
        <v>0</v>
      </c>
    </row>
    <row r="5" spans="1:7" ht="12" customHeight="1">
      <c r="A5" s="420">
        <v>42125</v>
      </c>
      <c r="B5" s="454">
        <f>C4</f>
        <v>193</v>
      </c>
      <c r="C5" s="335">
        <v>1158</v>
      </c>
      <c r="D5" s="455">
        <f t="shared" ref="D5:D61" si="0">C5-B5</f>
        <v>965</v>
      </c>
      <c r="E5" s="456">
        <v>145572</v>
      </c>
      <c r="F5" s="419">
        <v>145572</v>
      </c>
      <c r="G5" s="363">
        <f t="shared" ref="G5:G61" si="1">F5-E5</f>
        <v>0</v>
      </c>
    </row>
    <row r="6" spans="1:7">
      <c r="A6" s="420">
        <v>42156</v>
      </c>
      <c r="B6" s="454">
        <f t="shared" ref="B6:B61" si="2">C5</f>
        <v>1158</v>
      </c>
      <c r="C6" s="335">
        <v>2084</v>
      </c>
      <c r="D6" s="455">
        <f t="shared" si="0"/>
        <v>926</v>
      </c>
      <c r="E6" s="456">
        <f>F5</f>
        <v>145572</v>
      </c>
      <c r="F6" s="419">
        <v>147984</v>
      </c>
      <c r="G6" s="363">
        <f t="shared" si="1"/>
        <v>2412</v>
      </c>
    </row>
    <row r="7" spans="1:7">
      <c r="A7" s="420">
        <v>42186</v>
      </c>
      <c r="B7" s="454">
        <f t="shared" si="2"/>
        <v>2084</v>
      </c>
      <c r="C7" s="335">
        <v>3073</v>
      </c>
      <c r="D7" s="455">
        <f t="shared" si="0"/>
        <v>989</v>
      </c>
      <c r="E7" s="456">
        <f>F6</f>
        <v>147984</v>
      </c>
      <c r="F7" s="376">
        <v>150507</v>
      </c>
      <c r="G7" s="363">
        <f t="shared" si="1"/>
        <v>2523</v>
      </c>
    </row>
    <row r="8" spans="1:7">
      <c r="A8" s="420">
        <v>42217</v>
      </c>
      <c r="B8" s="454">
        <f t="shared" si="2"/>
        <v>3073</v>
      </c>
      <c r="C8" s="335">
        <v>4063</v>
      </c>
      <c r="D8" s="455">
        <f t="shared" si="0"/>
        <v>990</v>
      </c>
      <c r="E8" s="456">
        <f t="shared" ref="E8:E61" si="3">F7</f>
        <v>150507</v>
      </c>
      <c r="F8" s="376">
        <v>152986</v>
      </c>
      <c r="G8" s="363">
        <f t="shared" si="1"/>
        <v>2479</v>
      </c>
    </row>
    <row r="9" spans="1:7">
      <c r="A9" s="420">
        <v>42248</v>
      </c>
      <c r="B9" s="454">
        <f t="shared" si="2"/>
        <v>4063</v>
      </c>
      <c r="C9" s="335">
        <v>5058</v>
      </c>
      <c r="D9" s="455">
        <f t="shared" si="0"/>
        <v>995</v>
      </c>
      <c r="E9" s="456">
        <f t="shared" si="3"/>
        <v>152986</v>
      </c>
      <c r="F9" s="376">
        <v>155468</v>
      </c>
      <c r="G9" s="363">
        <f t="shared" si="1"/>
        <v>2482</v>
      </c>
    </row>
    <row r="10" spans="1:7">
      <c r="A10" s="420">
        <v>42278</v>
      </c>
      <c r="B10" s="454">
        <f t="shared" si="2"/>
        <v>5058</v>
      </c>
      <c r="C10" s="335">
        <v>6049</v>
      </c>
      <c r="D10" s="455">
        <f t="shared" si="0"/>
        <v>991</v>
      </c>
      <c r="E10" s="456">
        <f t="shared" si="3"/>
        <v>155468</v>
      </c>
      <c r="F10" s="376">
        <v>157962</v>
      </c>
      <c r="G10" s="363">
        <f t="shared" si="1"/>
        <v>2494</v>
      </c>
    </row>
    <row r="11" spans="1:7">
      <c r="A11" s="420">
        <v>42309</v>
      </c>
      <c r="B11" s="454">
        <f t="shared" si="2"/>
        <v>6049</v>
      </c>
      <c r="C11" s="335">
        <v>7028</v>
      </c>
      <c r="D11" s="455">
        <f t="shared" si="0"/>
        <v>979</v>
      </c>
      <c r="E11" s="456">
        <f t="shared" si="3"/>
        <v>157962</v>
      </c>
      <c r="F11" s="376">
        <v>160323</v>
      </c>
      <c r="G11" s="363">
        <f t="shared" si="1"/>
        <v>2361</v>
      </c>
    </row>
    <row r="12" spans="1:7">
      <c r="A12" s="420">
        <v>42339</v>
      </c>
      <c r="B12" s="454">
        <f t="shared" si="2"/>
        <v>7028</v>
      </c>
      <c r="C12" s="335">
        <v>7985</v>
      </c>
      <c r="D12" s="455">
        <f t="shared" si="0"/>
        <v>957</v>
      </c>
      <c r="E12" s="456">
        <f t="shared" si="3"/>
        <v>160323</v>
      </c>
      <c r="F12" s="376">
        <v>162813</v>
      </c>
      <c r="G12" s="363">
        <f t="shared" si="1"/>
        <v>2490</v>
      </c>
    </row>
    <row r="13" spans="1:7">
      <c r="A13" s="420">
        <v>42370</v>
      </c>
      <c r="B13" s="454">
        <f t="shared" si="2"/>
        <v>7985</v>
      </c>
      <c r="C13" s="335">
        <v>8952</v>
      </c>
      <c r="D13" s="455">
        <f t="shared" si="0"/>
        <v>967</v>
      </c>
      <c r="E13" s="456">
        <f t="shared" si="3"/>
        <v>162813</v>
      </c>
      <c r="F13" s="376">
        <v>165317</v>
      </c>
      <c r="G13" s="363">
        <f t="shared" si="1"/>
        <v>2504</v>
      </c>
    </row>
    <row r="14" spans="1:7">
      <c r="A14" s="420">
        <v>42401</v>
      </c>
      <c r="B14" s="454">
        <f t="shared" si="2"/>
        <v>8952</v>
      </c>
      <c r="C14" s="335">
        <v>9898</v>
      </c>
      <c r="D14" s="455">
        <f t="shared" si="0"/>
        <v>946</v>
      </c>
      <c r="E14" s="456">
        <f t="shared" si="3"/>
        <v>165317</v>
      </c>
      <c r="F14" s="376">
        <v>167679</v>
      </c>
      <c r="G14" s="363">
        <f t="shared" si="1"/>
        <v>2362</v>
      </c>
    </row>
    <row r="15" spans="1:7">
      <c r="A15" s="420">
        <v>42430</v>
      </c>
      <c r="B15" s="454">
        <f t="shared" si="2"/>
        <v>9898</v>
      </c>
      <c r="C15" s="335">
        <v>10637</v>
      </c>
      <c r="D15" s="455">
        <f t="shared" si="0"/>
        <v>739</v>
      </c>
      <c r="E15" s="456">
        <f t="shared" si="3"/>
        <v>167679</v>
      </c>
      <c r="F15" s="376">
        <v>170134</v>
      </c>
      <c r="G15" s="363">
        <f t="shared" si="1"/>
        <v>2455</v>
      </c>
    </row>
    <row r="16" spans="1:7">
      <c r="A16" s="420">
        <v>42461</v>
      </c>
      <c r="B16" s="454">
        <f t="shared" si="2"/>
        <v>10637</v>
      </c>
      <c r="C16" s="335">
        <v>11352</v>
      </c>
      <c r="D16" s="455">
        <f t="shared" si="0"/>
        <v>715</v>
      </c>
      <c r="E16" s="456">
        <f t="shared" si="3"/>
        <v>170134</v>
      </c>
      <c r="F16" s="376">
        <v>172562</v>
      </c>
      <c r="G16" s="363">
        <f t="shared" si="1"/>
        <v>2428</v>
      </c>
    </row>
    <row r="17" spans="1:7">
      <c r="A17" s="420">
        <v>42491</v>
      </c>
      <c r="B17" s="454">
        <f t="shared" si="2"/>
        <v>11352</v>
      </c>
      <c r="C17" s="335">
        <v>12426</v>
      </c>
      <c r="D17" s="455">
        <f t="shared" si="0"/>
        <v>1074</v>
      </c>
      <c r="E17" s="456">
        <f t="shared" si="3"/>
        <v>172562</v>
      </c>
      <c r="F17" s="376">
        <v>175041</v>
      </c>
      <c r="G17" s="363">
        <f t="shared" si="1"/>
        <v>2479</v>
      </c>
    </row>
    <row r="18" spans="1:7">
      <c r="A18" s="420">
        <v>42522</v>
      </c>
      <c r="B18" s="454">
        <f t="shared" si="2"/>
        <v>12426</v>
      </c>
      <c r="C18" s="335">
        <v>14111</v>
      </c>
      <c r="D18" s="455">
        <f t="shared" si="0"/>
        <v>1685</v>
      </c>
      <c r="E18" s="456">
        <f t="shared" si="3"/>
        <v>175041</v>
      </c>
      <c r="F18" s="376">
        <v>177300</v>
      </c>
      <c r="G18" s="363">
        <f t="shared" si="1"/>
        <v>2259</v>
      </c>
    </row>
    <row r="19" spans="1:7">
      <c r="A19" s="420">
        <v>42552</v>
      </c>
      <c r="B19" s="454">
        <f t="shared" si="2"/>
        <v>14111</v>
      </c>
      <c r="C19" s="335">
        <v>15790</v>
      </c>
      <c r="D19" s="455">
        <f t="shared" si="0"/>
        <v>1679</v>
      </c>
      <c r="E19" s="456">
        <f t="shared" si="3"/>
        <v>177300</v>
      </c>
      <c r="F19" s="376">
        <v>179548</v>
      </c>
      <c r="G19" s="363">
        <f t="shared" si="1"/>
        <v>2248</v>
      </c>
    </row>
    <row r="20" spans="1:7">
      <c r="A20" s="420">
        <v>42583</v>
      </c>
      <c r="B20" s="454">
        <f t="shared" si="2"/>
        <v>15790</v>
      </c>
      <c r="C20" s="335">
        <v>17450</v>
      </c>
      <c r="D20" s="455">
        <f t="shared" si="0"/>
        <v>1660</v>
      </c>
      <c r="E20" s="456">
        <f t="shared" si="3"/>
        <v>179548</v>
      </c>
      <c r="F20" s="376">
        <v>181842</v>
      </c>
      <c r="G20" s="363">
        <f t="shared" si="1"/>
        <v>2294</v>
      </c>
    </row>
    <row r="21" spans="1:7">
      <c r="A21" s="420">
        <v>42614</v>
      </c>
      <c r="B21" s="454">
        <f t="shared" si="2"/>
        <v>17450</v>
      </c>
      <c r="C21" s="335">
        <v>19133</v>
      </c>
      <c r="D21" s="455">
        <f t="shared" si="0"/>
        <v>1683</v>
      </c>
      <c r="E21" s="456">
        <f t="shared" si="3"/>
        <v>181842</v>
      </c>
      <c r="F21" s="376">
        <v>184095</v>
      </c>
      <c r="G21" s="363">
        <f t="shared" si="1"/>
        <v>2253</v>
      </c>
    </row>
    <row r="22" spans="1:7">
      <c r="A22" s="420">
        <v>42644</v>
      </c>
      <c r="B22" s="454">
        <f t="shared" si="2"/>
        <v>19133</v>
      </c>
      <c r="C22" s="335">
        <v>20804</v>
      </c>
      <c r="D22" s="455">
        <f t="shared" si="0"/>
        <v>1671</v>
      </c>
      <c r="E22" s="456">
        <f t="shared" si="3"/>
        <v>184095</v>
      </c>
      <c r="F22" s="376">
        <v>186344</v>
      </c>
      <c r="G22" s="363">
        <f t="shared" si="1"/>
        <v>2249</v>
      </c>
    </row>
    <row r="23" spans="1:7">
      <c r="A23" s="420">
        <v>42675</v>
      </c>
      <c r="B23" s="454">
        <f t="shared" si="2"/>
        <v>20804</v>
      </c>
      <c r="C23" s="335">
        <v>22489</v>
      </c>
      <c r="D23" s="455">
        <f t="shared" si="0"/>
        <v>1685</v>
      </c>
      <c r="E23" s="456">
        <f t="shared" si="3"/>
        <v>186344</v>
      </c>
      <c r="F23" s="376">
        <v>188595</v>
      </c>
      <c r="G23" s="363">
        <f t="shared" si="1"/>
        <v>2251</v>
      </c>
    </row>
    <row r="24" spans="1:7">
      <c r="A24" s="420">
        <v>42705</v>
      </c>
      <c r="B24" s="454">
        <f t="shared" si="2"/>
        <v>22489</v>
      </c>
      <c r="C24" s="335">
        <v>24085</v>
      </c>
      <c r="D24" s="455">
        <f t="shared" si="0"/>
        <v>1596</v>
      </c>
      <c r="E24" s="456">
        <f t="shared" si="3"/>
        <v>188595</v>
      </c>
      <c r="F24" s="376">
        <v>190896</v>
      </c>
      <c r="G24" s="363">
        <f t="shared" si="1"/>
        <v>2301</v>
      </c>
    </row>
    <row r="25" spans="1:7">
      <c r="A25" s="420">
        <v>42736</v>
      </c>
      <c r="B25" s="454">
        <f t="shared" si="2"/>
        <v>24085</v>
      </c>
      <c r="C25" s="335">
        <v>25775</v>
      </c>
      <c r="D25" s="455">
        <f t="shared" si="0"/>
        <v>1690</v>
      </c>
      <c r="E25" s="456">
        <f t="shared" si="3"/>
        <v>190896</v>
      </c>
      <c r="F25" s="376">
        <v>193152</v>
      </c>
      <c r="G25" s="363">
        <f t="shared" si="1"/>
        <v>2256</v>
      </c>
    </row>
    <row r="26" spans="1:7">
      <c r="A26" s="420">
        <v>42767</v>
      </c>
      <c r="B26" s="454">
        <f t="shared" si="2"/>
        <v>25775</v>
      </c>
      <c r="C26" s="335">
        <v>27592</v>
      </c>
      <c r="D26" s="455">
        <f t="shared" si="0"/>
        <v>1817</v>
      </c>
      <c r="E26" s="456">
        <f t="shared" si="3"/>
        <v>193152</v>
      </c>
      <c r="F26" s="376">
        <v>195378</v>
      </c>
      <c r="G26" s="363">
        <f t="shared" si="1"/>
        <v>2226</v>
      </c>
    </row>
    <row r="27" spans="1:7">
      <c r="A27" s="420">
        <v>42795</v>
      </c>
      <c r="B27" s="454">
        <f t="shared" si="2"/>
        <v>27592</v>
      </c>
      <c r="C27" s="376">
        <v>29398</v>
      </c>
      <c r="D27" s="455">
        <f t="shared" si="0"/>
        <v>1806</v>
      </c>
      <c r="E27" s="456">
        <f t="shared" si="3"/>
        <v>195378</v>
      </c>
      <c r="F27" s="376">
        <v>197503</v>
      </c>
      <c r="G27" s="363">
        <f t="shared" si="1"/>
        <v>2125</v>
      </c>
    </row>
    <row r="28" spans="1:7">
      <c r="A28" s="420">
        <v>42826</v>
      </c>
      <c r="B28" s="454">
        <f t="shared" si="2"/>
        <v>29398</v>
      </c>
      <c r="C28" s="335">
        <v>31148</v>
      </c>
      <c r="D28" s="455">
        <f t="shared" si="0"/>
        <v>1750</v>
      </c>
      <c r="E28" s="456">
        <f t="shared" si="3"/>
        <v>197503</v>
      </c>
      <c r="F28" s="376">
        <v>199571</v>
      </c>
      <c r="G28" s="363">
        <f t="shared" si="1"/>
        <v>2068</v>
      </c>
    </row>
    <row r="29" spans="1:7">
      <c r="A29" s="420">
        <v>42856</v>
      </c>
      <c r="B29" s="454">
        <f t="shared" si="2"/>
        <v>31148</v>
      </c>
      <c r="C29" s="335">
        <v>32896</v>
      </c>
      <c r="D29" s="455">
        <f t="shared" si="0"/>
        <v>1748</v>
      </c>
      <c r="E29" s="456">
        <f t="shared" si="3"/>
        <v>199571</v>
      </c>
      <c r="F29" s="376">
        <v>201766</v>
      </c>
      <c r="G29" s="363">
        <f t="shared" si="1"/>
        <v>2195</v>
      </c>
    </row>
    <row r="30" spans="1:7">
      <c r="A30" s="420">
        <v>42887</v>
      </c>
      <c r="B30" s="454">
        <f t="shared" si="2"/>
        <v>32896</v>
      </c>
      <c r="C30" s="335">
        <v>34620</v>
      </c>
      <c r="D30" s="455">
        <f t="shared" si="0"/>
        <v>1724</v>
      </c>
      <c r="E30" s="456">
        <f t="shared" si="3"/>
        <v>201766</v>
      </c>
      <c r="F30" s="376">
        <v>203951</v>
      </c>
      <c r="G30" s="363">
        <f t="shared" si="1"/>
        <v>2185</v>
      </c>
    </row>
    <row r="31" spans="1:7">
      <c r="A31" s="420">
        <v>42917</v>
      </c>
      <c r="B31" s="454">
        <f t="shared" si="2"/>
        <v>34620</v>
      </c>
      <c r="C31" s="335">
        <v>36384</v>
      </c>
      <c r="D31" s="455">
        <f t="shared" si="0"/>
        <v>1764</v>
      </c>
      <c r="E31" s="456">
        <f t="shared" si="3"/>
        <v>203951</v>
      </c>
      <c r="F31" s="376">
        <v>206045</v>
      </c>
      <c r="G31" s="363">
        <f t="shared" si="1"/>
        <v>2094</v>
      </c>
    </row>
    <row r="32" spans="1:7">
      <c r="A32" s="420">
        <v>42948</v>
      </c>
      <c r="B32" s="454">
        <f t="shared" si="2"/>
        <v>36384</v>
      </c>
      <c r="C32" s="335">
        <v>38320</v>
      </c>
      <c r="D32" s="455">
        <f t="shared" si="0"/>
        <v>1936</v>
      </c>
      <c r="E32" s="456">
        <f t="shared" si="3"/>
        <v>206045</v>
      </c>
      <c r="F32" s="376">
        <v>208289</v>
      </c>
      <c r="G32" s="363">
        <f t="shared" si="1"/>
        <v>2244</v>
      </c>
    </row>
    <row r="33" spans="1:7">
      <c r="A33" s="420">
        <v>42979</v>
      </c>
      <c r="B33" s="454">
        <f t="shared" si="2"/>
        <v>38320</v>
      </c>
      <c r="C33" s="335">
        <v>40226</v>
      </c>
      <c r="D33" s="455">
        <f t="shared" si="0"/>
        <v>1906</v>
      </c>
      <c r="E33" s="456">
        <f t="shared" si="3"/>
        <v>208289</v>
      </c>
      <c r="F33" s="376">
        <v>210468</v>
      </c>
      <c r="G33" s="363">
        <f t="shared" si="1"/>
        <v>2179</v>
      </c>
    </row>
    <row r="34" spans="1:7">
      <c r="A34" s="420">
        <v>43009</v>
      </c>
      <c r="B34" s="454">
        <f t="shared" si="2"/>
        <v>40226</v>
      </c>
      <c r="C34" s="335">
        <v>41900</v>
      </c>
      <c r="D34" s="455">
        <f t="shared" si="0"/>
        <v>1674</v>
      </c>
      <c r="E34" s="456">
        <f t="shared" si="3"/>
        <v>210468</v>
      </c>
      <c r="F34" s="376">
        <v>212474</v>
      </c>
      <c r="G34" s="363">
        <f t="shared" si="1"/>
        <v>2006</v>
      </c>
    </row>
    <row r="35" spans="1:7">
      <c r="A35" s="420">
        <v>43040</v>
      </c>
      <c r="B35" s="454">
        <f t="shared" si="2"/>
        <v>41900</v>
      </c>
      <c r="C35" s="335">
        <v>43712</v>
      </c>
      <c r="D35" s="455">
        <f t="shared" si="0"/>
        <v>1812</v>
      </c>
      <c r="E35" s="456">
        <f t="shared" si="3"/>
        <v>212474</v>
      </c>
      <c r="F35" s="376">
        <v>214566</v>
      </c>
      <c r="G35" s="363">
        <f t="shared" si="1"/>
        <v>2092</v>
      </c>
    </row>
    <row r="36" spans="1:7">
      <c r="A36" s="420">
        <v>43070</v>
      </c>
      <c r="B36" s="454">
        <f t="shared" si="2"/>
        <v>43712</v>
      </c>
      <c r="C36" s="335">
        <v>46071</v>
      </c>
      <c r="D36" s="455">
        <f t="shared" si="0"/>
        <v>2359</v>
      </c>
      <c r="E36" s="456">
        <f t="shared" si="3"/>
        <v>214566</v>
      </c>
      <c r="F36" s="376">
        <v>216654</v>
      </c>
      <c r="G36" s="363">
        <f t="shared" si="1"/>
        <v>2088</v>
      </c>
    </row>
    <row r="37" spans="1:7">
      <c r="A37" s="420">
        <v>43101</v>
      </c>
      <c r="B37" s="454">
        <f t="shared" si="2"/>
        <v>46071</v>
      </c>
      <c r="C37" s="335">
        <v>48188</v>
      </c>
      <c r="D37" s="455">
        <f t="shared" si="0"/>
        <v>2117</v>
      </c>
      <c r="E37" s="456">
        <f t="shared" si="3"/>
        <v>216654</v>
      </c>
      <c r="F37" s="376">
        <v>218779</v>
      </c>
      <c r="G37" s="363">
        <f t="shared" si="1"/>
        <v>2125</v>
      </c>
    </row>
    <row r="38" spans="1:7">
      <c r="A38" s="420">
        <v>43132</v>
      </c>
      <c r="B38" s="454">
        <f t="shared" si="2"/>
        <v>48188</v>
      </c>
      <c r="C38" s="335">
        <v>50066</v>
      </c>
      <c r="D38" s="455">
        <f t="shared" si="0"/>
        <v>1878</v>
      </c>
      <c r="E38" s="456">
        <f t="shared" si="3"/>
        <v>218779</v>
      </c>
      <c r="F38" s="376">
        <v>220744</v>
      </c>
      <c r="G38" s="363">
        <f t="shared" si="1"/>
        <v>1965</v>
      </c>
    </row>
    <row r="39" spans="1:7">
      <c r="A39" s="420">
        <v>43160</v>
      </c>
      <c r="B39" s="454">
        <f t="shared" si="2"/>
        <v>50066</v>
      </c>
      <c r="C39" s="335">
        <v>51916</v>
      </c>
      <c r="D39" s="455">
        <f t="shared" si="0"/>
        <v>1850</v>
      </c>
      <c r="E39" s="456">
        <f t="shared" si="3"/>
        <v>220744</v>
      </c>
      <c r="F39" s="376">
        <v>222873</v>
      </c>
      <c r="G39" s="363">
        <f t="shared" si="1"/>
        <v>2129</v>
      </c>
    </row>
    <row r="40" spans="1:7">
      <c r="A40" s="420">
        <v>43191</v>
      </c>
      <c r="B40" s="454">
        <f t="shared" si="2"/>
        <v>51916</v>
      </c>
      <c r="C40" s="335">
        <v>53641</v>
      </c>
      <c r="D40" s="455">
        <f t="shared" si="0"/>
        <v>1725</v>
      </c>
      <c r="E40" s="456">
        <f t="shared" si="3"/>
        <v>222873</v>
      </c>
      <c r="F40" s="376">
        <v>224922</v>
      </c>
      <c r="G40" s="363">
        <f t="shared" si="1"/>
        <v>2049</v>
      </c>
    </row>
    <row r="41" spans="1:7">
      <c r="A41" s="420">
        <v>43221</v>
      </c>
      <c r="B41" s="454">
        <f t="shared" si="2"/>
        <v>53641</v>
      </c>
      <c r="C41" s="335">
        <v>55409</v>
      </c>
      <c r="D41" s="455">
        <f t="shared" si="0"/>
        <v>1768</v>
      </c>
      <c r="E41" s="456">
        <f t="shared" si="3"/>
        <v>224922</v>
      </c>
      <c r="F41" s="376">
        <v>227063</v>
      </c>
      <c r="G41" s="363">
        <f t="shared" si="1"/>
        <v>2141</v>
      </c>
    </row>
    <row r="42" spans="1:7">
      <c r="A42" s="420">
        <v>43252</v>
      </c>
      <c r="B42" s="454">
        <f t="shared" si="2"/>
        <v>55409</v>
      </c>
      <c r="C42" s="335">
        <v>57396</v>
      </c>
      <c r="D42" s="455">
        <f t="shared" si="0"/>
        <v>1987</v>
      </c>
      <c r="E42" s="456">
        <f t="shared" si="3"/>
        <v>227063</v>
      </c>
      <c r="F42" s="376">
        <v>229163</v>
      </c>
      <c r="G42" s="363">
        <f t="shared" si="1"/>
        <v>2100</v>
      </c>
    </row>
    <row r="43" spans="1:7">
      <c r="A43" s="420">
        <v>43282</v>
      </c>
      <c r="B43" s="454">
        <f t="shared" si="2"/>
        <v>57396</v>
      </c>
      <c r="C43" s="335">
        <v>59391</v>
      </c>
      <c r="D43" s="455">
        <f t="shared" si="0"/>
        <v>1995</v>
      </c>
      <c r="E43" s="456">
        <f t="shared" si="3"/>
        <v>229163</v>
      </c>
      <c r="F43" s="376">
        <v>231359</v>
      </c>
      <c r="G43" s="363">
        <f t="shared" si="1"/>
        <v>2196</v>
      </c>
    </row>
    <row r="44" spans="1:7">
      <c r="A44" s="420">
        <v>43313</v>
      </c>
      <c r="B44" s="454">
        <f t="shared" si="2"/>
        <v>59391</v>
      </c>
      <c r="C44" s="335">
        <v>61427</v>
      </c>
      <c r="D44" s="455">
        <f t="shared" si="0"/>
        <v>2036</v>
      </c>
      <c r="E44" s="456">
        <f t="shared" si="3"/>
        <v>231359</v>
      </c>
      <c r="F44" s="376">
        <v>233548</v>
      </c>
      <c r="G44" s="363">
        <f t="shared" si="1"/>
        <v>2189</v>
      </c>
    </row>
    <row r="45" spans="1:7">
      <c r="A45" s="420">
        <v>43344</v>
      </c>
      <c r="B45" s="454">
        <f t="shared" si="2"/>
        <v>61427</v>
      </c>
      <c r="C45" s="335">
        <v>63464</v>
      </c>
      <c r="D45" s="455">
        <f t="shared" si="0"/>
        <v>2037</v>
      </c>
      <c r="E45" s="456">
        <f t="shared" si="3"/>
        <v>233548</v>
      </c>
      <c r="F45" s="376">
        <v>235653</v>
      </c>
      <c r="G45" s="363">
        <f t="shared" si="1"/>
        <v>2105</v>
      </c>
    </row>
    <row r="46" spans="1:7">
      <c r="A46" s="420">
        <v>43374</v>
      </c>
      <c r="B46" s="454">
        <f t="shared" si="2"/>
        <v>63464</v>
      </c>
      <c r="C46" s="335">
        <v>65577</v>
      </c>
      <c r="D46" s="455">
        <f t="shared" si="0"/>
        <v>2113</v>
      </c>
      <c r="E46" s="456">
        <f t="shared" si="3"/>
        <v>235653</v>
      </c>
      <c r="F46" s="376">
        <v>237802</v>
      </c>
      <c r="G46" s="363">
        <f t="shared" si="1"/>
        <v>2149</v>
      </c>
    </row>
    <row r="47" spans="1:7">
      <c r="A47" s="420">
        <v>43405</v>
      </c>
      <c r="B47" s="454">
        <f t="shared" si="2"/>
        <v>65577</v>
      </c>
      <c r="C47" s="335">
        <v>67714</v>
      </c>
      <c r="D47" s="455">
        <f t="shared" si="0"/>
        <v>2137</v>
      </c>
      <c r="E47" s="456">
        <f t="shared" si="3"/>
        <v>237802</v>
      </c>
      <c r="F47" s="376">
        <v>239883</v>
      </c>
      <c r="G47" s="363">
        <f t="shared" si="1"/>
        <v>2081</v>
      </c>
    </row>
    <row r="48" spans="1:7">
      <c r="A48" s="420">
        <v>43435</v>
      </c>
      <c r="B48" s="454">
        <f t="shared" si="2"/>
        <v>67714</v>
      </c>
      <c r="C48" s="335">
        <v>69886</v>
      </c>
      <c r="D48" s="455">
        <f t="shared" si="0"/>
        <v>2172</v>
      </c>
      <c r="E48" s="456">
        <f t="shared" si="3"/>
        <v>239883</v>
      </c>
      <c r="F48" s="376">
        <v>242023</v>
      </c>
      <c r="G48" s="363">
        <f t="shared" si="1"/>
        <v>2140</v>
      </c>
    </row>
    <row r="49" spans="1:7">
      <c r="A49" s="420">
        <v>43466</v>
      </c>
      <c r="B49" s="454">
        <f t="shared" si="2"/>
        <v>69886</v>
      </c>
      <c r="C49" s="335">
        <v>72120</v>
      </c>
      <c r="D49" s="455">
        <f t="shared" si="0"/>
        <v>2234</v>
      </c>
      <c r="E49" s="456">
        <f t="shared" si="3"/>
        <v>242023</v>
      </c>
      <c r="F49" s="376">
        <v>244252</v>
      </c>
      <c r="G49" s="363">
        <f t="shared" si="1"/>
        <v>2229</v>
      </c>
    </row>
    <row r="50" spans="1:7">
      <c r="A50" s="420">
        <v>43497</v>
      </c>
      <c r="B50" s="454">
        <f t="shared" si="2"/>
        <v>72120</v>
      </c>
      <c r="C50" s="335">
        <v>74132</v>
      </c>
      <c r="D50" s="455">
        <f t="shared" si="0"/>
        <v>2012</v>
      </c>
      <c r="E50" s="456">
        <f t="shared" si="3"/>
        <v>244252</v>
      </c>
      <c r="F50" s="376">
        <v>246272</v>
      </c>
      <c r="G50" s="363">
        <f t="shared" si="1"/>
        <v>2020</v>
      </c>
    </row>
    <row r="51" spans="1:7">
      <c r="A51" s="420">
        <v>43525</v>
      </c>
      <c r="B51" s="454">
        <f t="shared" si="2"/>
        <v>74132</v>
      </c>
      <c r="C51" s="335">
        <v>76130</v>
      </c>
      <c r="D51" s="455">
        <f t="shared" si="0"/>
        <v>1998</v>
      </c>
      <c r="E51" s="456">
        <f t="shared" si="3"/>
        <v>246272</v>
      </c>
      <c r="F51" s="376">
        <v>248562</v>
      </c>
      <c r="G51" s="363">
        <f t="shared" si="1"/>
        <v>2290</v>
      </c>
    </row>
    <row r="52" spans="1:7">
      <c r="A52" s="420">
        <v>43556</v>
      </c>
      <c r="B52" s="454">
        <f t="shared" si="2"/>
        <v>76130</v>
      </c>
      <c r="C52" s="335">
        <v>77859</v>
      </c>
      <c r="D52" s="455">
        <f t="shared" si="0"/>
        <v>1729</v>
      </c>
      <c r="E52" s="456">
        <f t="shared" si="3"/>
        <v>248562</v>
      </c>
      <c r="F52" s="376">
        <v>250789</v>
      </c>
      <c r="G52" s="363">
        <f t="shared" si="1"/>
        <v>2227</v>
      </c>
    </row>
    <row r="53" spans="1:7">
      <c r="A53" s="420">
        <v>43586</v>
      </c>
      <c r="B53" s="454">
        <f t="shared" si="2"/>
        <v>77859</v>
      </c>
      <c r="C53" s="335">
        <v>79636</v>
      </c>
      <c r="D53" s="455">
        <f t="shared" si="0"/>
        <v>1777</v>
      </c>
      <c r="E53" s="456">
        <f t="shared" si="3"/>
        <v>250789</v>
      </c>
      <c r="F53" s="376">
        <v>252878</v>
      </c>
      <c r="G53" s="363">
        <f t="shared" si="1"/>
        <v>2089</v>
      </c>
    </row>
    <row r="54" spans="1:7">
      <c r="A54" s="420">
        <v>43617</v>
      </c>
      <c r="B54" s="454">
        <f t="shared" si="2"/>
        <v>79636</v>
      </c>
      <c r="C54" s="335">
        <v>81603</v>
      </c>
      <c r="D54" s="455">
        <f t="shared" si="0"/>
        <v>1967</v>
      </c>
      <c r="E54" s="456">
        <f t="shared" si="3"/>
        <v>252878</v>
      </c>
      <c r="F54" s="376">
        <v>254783</v>
      </c>
      <c r="G54" s="363">
        <f t="shared" si="1"/>
        <v>1905</v>
      </c>
    </row>
    <row r="55" spans="1:7">
      <c r="A55" s="420">
        <v>43647</v>
      </c>
      <c r="B55" s="454">
        <f t="shared" si="2"/>
        <v>81603</v>
      </c>
      <c r="C55" s="335">
        <v>83511</v>
      </c>
      <c r="D55" s="455">
        <f t="shared" si="0"/>
        <v>1908</v>
      </c>
      <c r="E55" s="456">
        <f t="shared" si="3"/>
        <v>254783</v>
      </c>
      <c r="F55" s="335">
        <v>257138</v>
      </c>
      <c r="G55" s="363">
        <f t="shared" si="1"/>
        <v>2355</v>
      </c>
    </row>
    <row r="56" spans="1:7">
      <c r="A56" s="420">
        <v>43678</v>
      </c>
      <c r="B56" s="454">
        <f t="shared" si="2"/>
        <v>83511</v>
      </c>
      <c r="C56" s="335">
        <v>85418</v>
      </c>
      <c r="D56" s="455">
        <f t="shared" si="0"/>
        <v>1907</v>
      </c>
      <c r="E56" s="456">
        <f t="shared" si="3"/>
        <v>257138</v>
      </c>
      <c r="F56" s="335">
        <v>259453</v>
      </c>
      <c r="G56" s="363">
        <f t="shared" si="1"/>
        <v>2315</v>
      </c>
    </row>
    <row r="57" spans="1:7">
      <c r="A57" s="420">
        <v>43709</v>
      </c>
      <c r="B57" s="454">
        <f t="shared" si="2"/>
        <v>85418</v>
      </c>
      <c r="C57" s="335">
        <v>87262</v>
      </c>
      <c r="D57" s="455">
        <f t="shared" si="0"/>
        <v>1844</v>
      </c>
      <c r="E57" s="456">
        <f t="shared" si="3"/>
        <v>259453</v>
      </c>
      <c r="F57" s="335">
        <v>261652</v>
      </c>
      <c r="G57" s="363">
        <f t="shared" si="1"/>
        <v>2199</v>
      </c>
    </row>
    <row r="58" spans="1:7">
      <c r="A58" s="420">
        <v>43739</v>
      </c>
      <c r="B58" s="454">
        <f t="shared" si="2"/>
        <v>87262</v>
      </c>
      <c r="C58" s="335">
        <v>89489</v>
      </c>
      <c r="D58" s="455">
        <f t="shared" si="0"/>
        <v>2227</v>
      </c>
      <c r="E58" s="456">
        <f t="shared" si="3"/>
        <v>261652</v>
      </c>
      <c r="F58" s="335">
        <v>263905</v>
      </c>
      <c r="G58" s="363">
        <f t="shared" si="1"/>
        <v>2253</v>
      </c>
    </row>
    <row r="59" spans="1:7">
      <c r="A59" s="420">
        <v>43770</v>
      </c>
      <c r="B59" s="454">
        <f t="shared" si="2"/>
        <v>89489</v>
      </c>
      <c r="C59" s="335"/>
      <c r="D59" s="455">
        <f t="shared" si="0"/>
        <v>-89489</v>
      </c>
      <c r="E59" s="456">
        <f t="shared" si="3"/>
        <v>263905</v>
      </c>
      <c r="F59" s="335"/>
      <c r="G59" s="363">
        <f t="shared" si="1"/>
        <v>-263905</v>
      </c>
    </row>
    <row r="60" spans="1:7">
      <c r="A60" s="420">
        <v>43800</v>
      </c>
      <c r="B60" s="454">
        <f t="shared" si="2"/>
        <v>0</v>
      </c>
      <c r="C60" s="335"/>
      <c r="D60" s="455">
        <f t="shared" si="0"/>
        <v>0</v>
      </c>
      <c r="E60" s="456">
        <f t="shared" si="3"/>
        <v>0</v>
      </c>
      <c r="F60" s="335"/>
      <c r="G60" s="363">
        <f t="shared" si="1"/>
        <v>0</v>
      </c>
    </row>
    <row r="61" spans="1:7">
      <c r="A61" s="420">
        <v>43831</v>
      </c>
      <c r="B61" s="454">
        <f t="shared" si="2"/>
        <v>0</v>
      </c>
      <c r="C61" s="335"/>
      <c r="D61" s="455">
        <f t="shared" si="0"/>
        <v>0</v>
      </c>
      <c r="E61" s="456">
        <f t="shared" si="3"/>
        <v>0</v>
      </c>
      <c r="F61" s="335"/>
      <c r="G61" s="363">
        <f t="shared" si="1"/>
        <v>0</v>
      </c>
    </row>
    <row r="62" spans="1:7">
      <c r="A62" s="420">
        <v>43862</v>
      </c>
      <c r="B62" s="454">
        <f t="shared" ref="B62:B69" si="4">C61</f>
        <v>0</v>
      </c>
      <c r="C62" s="6"/>
      <c r="D62" s="455">
        <f t="shared" ref="D62:D68" si="5">C62-B62</f>
        <v>0</v>
      </c>
      <c r="E62" s="456">
        <f t="shared" ref="E62:E71" si="6">F61</f>
        <v>0</v>
      </c>
      <c r="F62" s="6"/>
      <c r="G62" s="363">
        <f t="shared" ref="G62:G68" si="7">F62-E62</f>
        <v>0</v>
      </c>
    </row>
    <row r="63" spans="1:7">
      <c r="A63" s="420">
        <v>43891</v>
      </c>
      <c r="B63" s="454">
        <f t="shared" si="4"/>
        <v>0</v>
      </c>
      <c r="C63" s="6"/>
      <c r="D63" s="455">
        <f t="shared" si="5"/>
        <v>0</v>
      </c>
      <c r="E63" s="456">
        <f t="shared" si="6"/>
        <v>0</v>
      </c>
      <c r="F63" s="6"/>
      <c r="G63" s="363">
        <f t="shared" si="7"/>
        <v>0</v>
      </c>
    </row>
    <row r="64" spans="1:7">
      <c r="A64" s="420">
        <v>43922</v>
      </c>
      <c r="B64" s="454">
        <f t="shared" si="4"/>
        <v>0</v>
      </c>
      <c r="C64" s="6"/>
      <c r="D64" s="455">
        <f t="shared" si="5"/>
        <v>0</v>
      </c>
      <c r="E64" s="456">
        <f t="shared" si="6"/>
        <v>0</v>
      </c>
      <c r="F64" s="6"/>
      <c r="G64" s="363">
        <f t="shared" si="7"/>
        <v>0</v>
      </c>
    </row>
    <row r="65" spans="1:11">
      <c r="A65" s="420">
        <v>43952</v>
      </c>
      <c r="B65" s="454">
        <f t="shared" si="4"/>
        <v>0</v>
      </c>
      <c r="C65" s="6"/>
      <c r="D65" s="455">
        <f t="shared" si="5"/>
        <v>0</v>
      </c>
      <c r="E65" s="456">
        <f t="shared" si="6"/>
        <v>0</v>
      </c>
      <c r="F65" s="6"/>
      <c r="G65" s="363">
        <f t="shared" si="7"/>
        <v>0</v>
      </c>
    </row>
    <row r="66" spans="1:11">
      <c r="A66" s="420">
        <v>43983</v>
      </c>
      <c r="B66" s="454">
        <f t="shared" si="4"/>
        <v>0</v>
      </c>
      <c r="C66" s="6"/>
      <c r="D66" s="455">
        <f t="shared" si="5"/>
        <v>0</v>
      </c>
      <c r="E66" s="456">
        <f t="shared" si="6"/>
        <v>0</v>
      </c>
      <c r="F66" s="6"/>
      <c r="G66" s="363">
        <f t="shared" si="7"/>
        <v>0</v>
      </c>
    </row>
    <row r="67" spans="1:11">
      <c r="A67" s="420">
        <v>44013</v>
      </c>
      <c r="B67" s="454">
        <f t="shared" si="4"/>
        <v>0</v>
      </c>
      <c r="C67" s="6"/>
      <c r="D67" s="455">
        <f t="shared" si="5"/>
        <v>0</v>
      </c>
      <c r="E67" s="456">
        <f t="shared" si="6"/>
        <v>0</v>
      </c>
      <c r="F67" s="6"/>
      <c r="G67" s="363">
        <f t="shared" si="7"/>
        <v>0</v>
      </c>
    </row>
    <row r="68" spans="1:11">
      <c r="A68" s="420">
        <v>44044</v>
      </c>
      <c r="B68" s="454">
        <f t="shared" si="4"/>
        <v>0</v>
      </c>
      <c r="C68" s="6"/>
      <c r="D68" s="455">
        <f t="shared" si="5"/>
        <v>0</v>
      </c>
      <c r="E68" s="456">
        <f t="shared" si="6"/>
        <v>0</v>
      </c>
      <c r="F68" s="6"/>
      <c r="G68" s="363">
        <f t="shared" si="7"/>
        <v>0</v>
      </c>
    </row>
    <row r="69" spans="1:11">
      <c r="A69" s="420">
        <v>44075</v>
      </c>
      <c r="B69" s="454">
        <f t="shared" si="4"/>
        <v>0</v>
      </c>
      <c r="C69" s="6"/>
      <c r="D69" s="455">
        <f t="shared" ref="D69:D77" si="8">C69-B69</f>
        <v>0</v>
      </c>
      <c r="E69" s="456">
        <f t="shared" si="6"/>
        <v>0</v>
      </c>
      <c r="F69" s="6"/>
      <c r="G69" s="363">
        <f t="shared" ref="G69:G77" si="9">F69-E69</f>
        <v>0</v>
      </c>
    </row>
    <row r="70" spans="1:11">
      <c r="A70" s="420">
        <v>44105</v>
      </c>
      <c r="B70" s="454">
        <f t="shared" ref="B70:B77" si="10">C69</f>
        <v>0</v>
      </c>
      <c r="C70" s="6"/>
      <c r="D70" s="455">
        <f t="shared" si="8"/>
        <v>0</v>
      </c>
      <c r="E70" s="456">
        <f t="shared" si="6"/>
        <v>0</v>
      </c>
      <c r="F70" s="6"/>
      <c r="G70" s="363">
        <f t="shared" si="9"/>
        <v>0</v>
      </c>
    </row>
    <row r="71" spans="1:11">
      <c r="A71" s="420">
        <v>44136</v>
      </c>
      <c r="B71" s="454">
        <f t="shared" si="10"/>
        <v>0</v>
      </c>
      <c r="C71" s="6"/>
      <c r="D71" s="455">
        <f t="shared" si="8"/>
        <v>0</v>
      </c>
      <c r="E71" s="456">
        <f t="shared" si="6"/>
        <v>0</v>
      </c>
      <c r="F71" s="6"/>
      <c r="G71" s="363">
        <f t="shared" si="9"/>
        <v>0</v>
      </c>
    </row>
    <row r="72" spans="1:11">
      <c r="A72" s="420">
        <v>44166</v>
      </c>
      <c r="B72" s="454">
        <f t="shared" si="10"/>
        <v>0</v>
      </c>
      <c r="C72" s="6"/>
      <c r="D72" s="455">
        <f t="shared" si="8"/>
        <v>0</v>
      </c>
      <c r="E72" s="456">
        <f t="shared" ref="E72:E77" si="11">F71</f>
        <v>0</v>
      </c>
      <c r="F72" s="6"/>
      <c r="G72" s="363">
        <f t="shared" si="9"/>
        <v>0</v>
      </c>
    </row>
    <row r="73" spans="1:11">
      <c r="A73" s="420">
        <v>44197</v>
      </c>
      <c r="B73" s="454">
        <f t="shared" si="10"/>
        <v>0</v>
      </c>
      <c r="C73" s="6"/>
      <c r="D73" s="455">
        <f t="shared" si="8"/>
        <v>0</v>
      </c>
      <c r="E73" s="456">
        <f t="shared" si="11"/>
        <v>0</v>
      </c>
      <c r="F73" s="6"/>
      <c r="G73" s="363">
        <f t="shared" si="9"/>
        <v>0</v>
      </c>
    </row>
    <row r="74" spans="1:11">
      <c r="A74" s="420">
        <v>44228</v>
      </c>
      <c r="B74" s="454">
        <f t="shared" si="10"/>
        <v>0</v>
      </c>
      <c r="C74" s="6"/>
      <c r="D74" s="455">
        <f t="shared" si="8"/>
        <v>0</v>
      </c>
      <c r="E74" s="456">
        <f t="shared" si="11"/>
        <v>0</v>
      </c>
      <c r="F74" s="6"/>
      <c r="G74" s="363">
        <f t="shared" si="9"/>
        <v>0</v>
      </c>
    </row>
    <row r="75" spans="1:11">
      <c r="A75" s="420">
        <v>44256</v>
      </c>
      <c r="B75" s="454">
        <f t="shared" si="10"/>
        <v>0</v>
      </c>
      <c r="C75" s="6"/>
      <c r="D75" s="455">
        <f t="shared" si="8"/>
        <v>0</v>
      </c>
      <c r="E75" s="456">
        <f t="shared" si="11"/>
        <v>0</v>
      </c>
      <c r="F75" s="6"/>
      <c r="G75" s="363">
        <f t="shared" si="9"/>
        <v>0</v>
      </c>
    </row>
    <row r="76" spans="1:11">
      <c r="A76" s="420">
        <v>44287</v>
      </c>
      <c r="B76" s="454">
        <f t="shared" si="10"/>
        <v>0</v>
      </c>
      <c r="C76" s="6"/>
      <c r="D76" s="455">
        <f t="shared" si="8"/>
        <v>0</v>
      </c>
      <c r="E76" s="456">
        <f t="shared" si="11"/>
        <v>0</v>
      </c>
      <c r="F76" s="6"/>
      <c r="G76" s="363">
        <f t="shared" si="9"/>
        <v>0</v>
      </c>
    </row>
    <row r="77" spans="1:11" ht="13.5" thickBot="1">
      <c r="A77" s="420">
        <v>44317</v>
      </c>
      <c r="B77" s="686">
        <f t="shared" si="10"/>
        <v>0</v>
      </c>
      <c r="C77" s="8"/>
      <c r="D77" s="687">
        <f t="shared" si="8"/>
        <v>0</v>
      </c>
      <c r="E77" s="688">
        <f t="shared" si="11"/>
        <v>0</v>
      </c>
      <c r="F77" s="8"/>
      <c r="G77" s="421">
        <f t="shared" si="9"/>
        <v>0</v>
      </c>
    </row>
    <row r="79" spans="1:11">
      <c r="A79" s="684"/>
      <c r="B79" s="684"/>
      <c r="C79" s="684"/>
      <c r="D79" s="684"/>
      <c r="E79" s="684"/>
      <c r="F79" s="684"/>
      <c r="G79" s="684"/>
      <c r="H79" s="684"/>
      <c r="I79" s="684"/>
      <c r="J79" s="684"/>
      <c r="K79" s="684"/>
    </row>
    <row r="80" spans="1:11">
      <c r="A80" s="684"/>
      <c r="B80" s="684"/>
      <c r="C80" s="684"/>
      <c r="D80" s="684"/>
      <c r="E80" s="684"/>
      <c r="F80" s="684"/>
      <c r="G80" s="684"/>
      <c r="H80" s="684"/>
      <c r="I80" s="684"/>
      <c r="J80" s="684"/>
      <c r="K80" s="684"/>
    </row>
    <row r="81" spans="1:11">
      <c r="A81" s="684"/>
      <c r="B81" s="684"/>
      <c r="C81" s="684"/>
      <c r="D81" s="684"/>
      <c r="E81" s="684"/>
      <c r="F81" s="684"/>
      <c r="G81" s="684"/>
      <c r="H81" s="684"/>
      <c r="I81" s="684"/>
      <c r="J81" s="684"/>
      <c r="K81" s="684"/>
    </row>
    <row r="82" spans="1:11">
      <c r="A82" s="684"/>
      <c r="B82" s="684"/>
      <c r="C82" s="684"/>
      <c r="D82" s="684"/>
      <c r="E82" s="684"/>
      <c r="F82" s="684"/>
      <c r="G82" s="684"/>
      <c r="H82" s="684"/>
      <c r="I82" s="684"/>
      <c r="J82" s="684"/>
      <c r="K82" s="684"/>
    </row>
    <row r="83" spans="1:11">
      <c r="A83" s="684"/>
      <c r="B83" s="684"/>
      <c r="C83" s="684"/>
      <c r="D83" s="684"/>
      <c r="E83" s="684"/>
      <c r="F83" s="684"/>
      <c r="G83" s="684"/>
      <c r="H83" s="684"/>
      <c r="I83" s="684"/>
      <c r="J83" s="684"/>
      <c r="K83" s="684"/>
    </row>
    <row r="84" spans="1:11">
      <c r="A84" s="684"/>
      <c r="B84" s="684"/>
      <c r="C84" s="684"/>
      <c r="D84" s="684"/>
      <c r="E84" s="684"/>
      <c r="F84" s="684"/>
      <c r="G84" s="684"/>
      <c r="H84" s="684"/>
      <c r="I84" s="684"/>
      <c r="J84" s="684"/>
      <c r="K84" s="684"/>
    </row>
    <row r="85" spans="1:11">
      <c r="A85" s="684"/>
      <c r="B85" s="684"/>
      <c r="C85" s="684"/>
      <c r="D85" s="684"/>
      <c r="E85" s="684"/>
      <c r="F85" s="684"/>
      <c r="G85" s="684"/>
      <c r="H85" s="684"/>
      <c r="I85" s="684"/>
      <c r="J85" s="684"/>
      <c r="K85" s="684"/>
    </row>
    <row r="86" spans="1:11">
      <c r="A86" s="684"/>
      <c r="B86" s="684"/>
      <c r="C86" s="684"/>
      <c r="D86" s="684"/>
      <c r="E86" s="684"/>
      <c r="F86" s="684"/>
      <c r="G86" s="684"/>
      <c r="H86" s="684"/>
      <c r="I86" s="684"/>
      <c r="J86" s="684"/>
      <c r="K86" s="684"/>
    </row>
    <row r="87" spans="1:11">
      <c r="A87" s="684"/>
      <c r="B87" s="684"/>
      <c r="C87" s="684"/>
      <c r="D87" s="684"/>
      <c r="E87" s="684"/>
      <c r="F87" s="684"/>
      <c r="G87" s="684"/>
      <c r="H87" s="684"/>
      <c r="I87" s="684"/>
      <c r="J87" s="684"/>
      <c r="K87" s="684"/>
    </row>
    <row r="88" spans="1:11">
      <c r="A88" s="684"/>
      <c r="B88" s="684"/>
      <c r="C88" s="684"/>
      <c r="D88" s="684"/>
      <c r="E88" s="684"/>
      <c r="F88" s="684"/>
      <c r="G88" s="684"/>
      <c r="H88" s="684"/>
      <c r="I88" s="684"/>
      <c r="J88" s="684"/>
      <c r="K88" s="684"/>
    </row>
    <row r="89" spans="1:11">
      <c r="A89" s="684"/>
      <c r="B89" s="684"/>
      <c r="C89" s="684"/>
      <c r="D89" s="684"/>
      <c r="E89" s="684"/>
      <c r="F89" s="684"/>
      <c r="G89" s="684"/>
      <c r="H89" s="684"/>
      <c r="I89" s="684"/>
      <c r="J89" s="684"/>
      <c r="K89" s="684"/>
    </row>
    <row r="90" spans="1:11">
      <c r="A90" s="684"/>
      <c r="B90" s="684"/>
      <c r="C90" s="684"/>
      <c r="D90" s="684"/>
      <c r="E90" s="684"/>
      <c r="F90" s="684"/>
      <c r="G90" s="684"/>
      <c r="H90" s="684"/>
      <c r="I90" s="684"/>
      <c r="J90" s="684"/>
      <c r="K90" s="684"/>
    </row>
    <row r="91" spans="1:11" ht="12.75" customHeight="1">
      <c r="A91" s="684"/>
      <c r="B91" s="684"/>
      <c r="C91" s="684"/>
      <c r="D91" s="684"/>
      <c r="E91" s="684"/>
      <c r="F91" s="684"/>
      <c r="G91" s="684"/>
      <c r="H91" s="684"/>
      <c r="I91" s="684"/>
      <c r="J91" s="684"/>
      <c r="K91" s="684"/>
    </row>
    <row r="92" spans="1:11" ht="13.5" customHeight="1">
      <c r="A92" s="684"/>
      <c r="B92" s="684"/>
      <c r="C92" s="684"/>
      <c r="D92" s="684"/>
      <c r="E92" s="684"/>
      <c r="F92" s="684"/>
      <c r="G92" s="684"/>
      <c r="H92" s="684"/>
      <c r="I92" s="684"/>
      <c r="J92" s="684"/>
      <c r="K92" s="684"/>
    </row>
    <row r="93" spans="1:11">
      <c r="A93" s="684"/>
      <c r="B93" s="684"/>
      <c r="C93" s="684"/>
      <c r="D93" s="684"/>
      <c r="E93" s="684"/>
      <c r="F93" s="684"/>
      <c r="G93" s="684"/>
      <c r="H93" s="684"/>
      <c r="I93" s="684"/>
      <c r="J93" s="684"/>
      <c r="K93" s="684"/>
    </row>
    <row r="94" spans="1:11">
      <c r="A94" s="684"/>
      <c r="B94" s="684"/>
      <c r="C94" s="684"/>
      <c r="D94" s="684"/>
      <c r="E94" s="684"/>
      <c r="F94" s="684"/>
      <c r="G94" s="684"/>
      <c r="H94" s="684"/>
      <c r="I94" s="684"/>
      <c r="J94" s="684"/>
      <c r="K94" s="684"/>
    </row>
    <row r="95" spans="1:11">
      <c r="A95" s="684"/>
      <c r="B95" s="684"/>
      <c r="C95" s="684"/>
      <c r="D95" s="684"/>
      <c r="E95" s="684"/>
      <c r="F95" s="684"/>
      <c r="G95" s="684"/>
      <c r="H95" s="684"/>
      <c r="I95" s="684"/>
      <c r="J95" s="684"/>
      <c r="K95" s="684"/>
    </row>
    <row r="96" spans="1:11">
      <c r="A96" s="684"/>
      <c r="B96" s="684"/>
      <c r="C96" s="684"/>
      <c r="D96" s="684"/>
      <c r="E96" s="684"/>
      <c r="F96" s="684"/>
      <c r="G96" s="684"/>
      <c r="H96" s="684"/>
      <c r="I96" s="684"/>
      <c r="J96" s="684"/>
      <c r="K96" s="684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70"/>
  <sheetViews>
    <sheetView tabSelected="1" topLeftCell="A46" workbookViewId="0">
      <selection activeCell="G85" sqref="G84:H8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53" t="s">
        <v>235</v>
      </c>
      <c r="B1" s="854"/>
      <c r="C1" s="854"/>
      <c r="D1" s="854"/>
      <c r="G1" s="381"/>
      <c r="H1" s="382" t="s">
        <v>236</v>
      </c>
      <c r="I1" s="382"/>
      <c r="J1" s="381"/>
      <c r="K1" s="381"/>
    </row>
    <row r="2" spans="1:12" ht="39" thickBot="1">
      <c r="A2" s="357" t="s">
        <v>7</v>
      </c>
      <c r="B2" s="358" t="s">
        <v>181</v>
      </c>
      <c r="C2" s="359" t="s">
        <v>182</v>
      </c>
      <c r="D2" s="360" t="s">
        <v>199</v>
      </c>
      <c r="E2" s="360" t="s">
        <v>241</v>
      </c>
      <c r="F2" s="380" t="s">
        <v>219</v>
      </c>
      <c r="G2" s="383" t="s">
        <v>237</v>
      </c>
      <c r="H2" s="383" t="s">
        <v>238</v>
      </c>
      <c r="I2" s="406" t="s">
        <v>239</v>
      </c>
      <c r="J2" s="383" t="s">
        <v>240</v>
      </c>
      <c r="K2" s="383" t="s">
        <v>219</v>
      </c>
      <c r="L2" s="406" t="s">
        <v>200</v>
      </c>
    </row>
    <row r="3" spans="1:12">
      <c r="A3" s="361">
        <v>42430</v>
      </c>
      <c r="B3" s="484">
        <v>5000778</v>
      </c>
      <c r="C3" s="485">
        <v>5057715</v>
      </c>
      <c r="D3" s="486">
        <f>C3-B3</f>
        <v>56937</v>
      </c>
      <c r="E3" s="487"/>
      <c r="F3" s="445"/>
      <c r="G3" s="384">
        <f>H3</f>
        <v>0</v>
      </c>
      <c r="H3" s="6"/>
      <c r="I3" s="375">
        <f>H3-G3</f>
        <v>0</v>
      </c>
      <c r="J3" s="6"/>
      <c r="K3" s="385">
        <f>I3-J3</f>
        <v>0</v>
      </c>
      <c r="L3" s="446"/>
    </row>
    <row r="4" spans="1:12">
      <c r="A4" s="332">
        <v>42461</v>
      </c>
      <c r="B4" s="447">
        <f>C3</f>
        <v>5057715</v>
      </c>
      <c r="C4" s="335">
        <v>5111496</v>
      </c>
      <c r="D4" s="363">
        <f t="shared" ref="D4:D54" si="0">C4-B4</f>
        <v>53781</v>
      </c>
      <c r="E4" s="487"/>
      <c r="F4" s="445"/>
      <c r="G4" s="384">
        <f>H3</f>
        <v>0</v>
      </c>
      <c r="H4" s="6"/>
      <c r="I4" s="375">
        <f t="shared" ref="I4:I54" si="1">H4-G4</f>
        <v>0</v>
      </c>
      <c r="J4" s="6"/>
      <c r="K4" s="385">
        <f t="shared" ref="K4:K54" si="2">I4-J4</f>
        <v>0</v>
      </c>
      <c r="L4" s="446"/>
    </row>
    <row r="5" spans="1:12">
      <c r="A5" s="332">
        <v>42491</v>
      </c>
      <c r="B5" s="447">
        <f t="shared" ref="B5:B54" si="3">C4</f>
        <v>5111496</v>
      </c>
      <c r="C5" s="335">
        <v>5169409</v>
      </c>
      <c r="D5" s="363">
        <f t="shared" si="0"/>
        <v>57913</v>
      </c>
      <c r="E5" s="487"/>
      <c r="F5" s="445"/>
      <c r="G5" s="384">
        <f t="shared" ref="G5:G54" si="4">H4</f>
        <v>0</v>
      </c>
      <c r="H5" s="6"/>
      <c r="I5" s="375">
        <f t="shared" si="1"/>
        <v>0</v>
      </c>
      <c r="J5" s="6"/>
      <c r="K5" s="385">
        <f t="shared" si="2"/>
        <v>0</v>
      </c>
      <c r="L5" s="446"/>
    </row>
    <row r="6" spans="1:12">
      <c r="A6" s="332">
        <v>42522</v>
      </c>
      <c r="B6" s="447">
        <f t="shared" si="3"/>
        <v>5169409</v>
      </c>
      <c r="C6" s="335">
        <v>5232162</v>
      </c>
      <c r="D6" s="363">
        <f t="shared" si="0"/>
        <v>62753</v>
      </c>
      <c r="E6" s="487"/>
      <c r="F6" s="445"/>
      <c r="G6" s="384">
        <f t="shared" si="4"/>
        <v>0</v>
      </c>
      <c r="H6" s="6"/>
      <c r="I6" s="375">
        <f t="shared" si="1"/>
        <v>0</v>
      </c>
      <c r="J6" s="6"/>
      <c r="K6" s="385">
        <f t="shared" si="2"/>
        <v>0</v>
      </c>
      <c r="L6" s="446"/>
    </row>
    <row r="7" spans="1:12">
      <c r="A7" s="332">
        <v>42552</v>
      </c>
      <c r="B7" s="447">
        <f t="shared" si="3"/>
        <v>5232162</v>
      </c>
      <c r="C7" s="335">
        <v>5310037</v>
      </c>
      <c r="D7" s="363">
        <f t="shared" si="0"/>
        <v>77875</v>
      </c>
      <c r="E7" s="487"/>
      <c r="F7" s="445"/>
      <c r="G7" s="384">
        <f t="shared" si="4"/>
        <v>0</v>
      </c>
      <c r="H7" s="6"/>
      <c r="I7" s="375">
        <f t="shared" si="1"/>
        <v>0</v>
      </c>
      <c r="J7" s="6"/>
      <c r="K7" s="385">
        <f t="shared" si="2"/>
        <v>0</v>
      </c>
      <c r="L7" s="446"/>
    </row>
    <row r="8" spans="1:12">
      <c r="A8" s="332">
        <v>42583</v>
      </c>
      <c r="B8" s="447">
        <f t="shared" si="3"/>
        <v>5310037</v>
      </c>
      <c r="C8" s="335">
        <v>5382821</v>
      </c>
      <c r="D8" s="363">
        <f t="shared" si="0"/>
        <v>72784</v>
      </c>
      <c r="E8" s="487">
        <f>[6]Gen!AR45</f>
        <v>72766</v>
      </c>
      <c r="F8" s="445">
        <f t="shared" ref="F8:F54" si="5">D8-E8</f>
        <v>18</v>
      </c>
      <c r="G8" s="384">
        <f t="shared" si="4"/>
        <v>0</v>
      </c>
      <c r="H8" s="6"/>
      <c r="I8" s="375">
        <f t="shared" si="1"/>
        <v>0</v>
      </c>
      <c r="J8" s="6"/>
      <c r="K8" s="385">
        <f t="shared" si="2"/>
        <v>0</v>
      </c>
      <c r="L8" s="446"/>
    </row>
    <row r="9" spans="1:12">
      <c r="A9" s="332">
        <v>42614</v>
      </c>
      <c r="B9" s="447">
        <f t="shared" si="3"/>
        <v>5382821</v>
      </c>
      <c r="C9" s="335">
        <v>5446740</v>
      </c>
      <c r="D9" s="363">
        <f t="shared" si="0"/>
        <v>63919</v>
      </c>
      <c r="E9" s="487">
        <f>[7]Gen!AR45</f>
        <v>64036.499999999993</v>
      </c>
      <c r="F9" s="445">
        <f t="shared" si="5"/>
        <v>-117.49999999999272</v>
      </c>
      <c r="G9" s="384">
        <f t="shared" si="4"/>
        <v>0</v>
      </c>
      <c r="H9" s="6"/>
      <c r="I9" s="375">
        <f t="shared" si="1"/>
        <v>0</v>
      </c>
      <c r="J9" s="6"/>
      <c r="K9" s="385">
        <f t="shared" si="2"/>
        <v>0</v>
      </c>
      <c r="L9" s="446"/>
    </row>
    <row r="10" spans="1:12">
      <c r="A10" s="332">
        <v>42644</v>
      </c>
      <c r="B10" s="447">
        <f t="shared" si="3"/>
        <v>5446740</v>
      </c>
      <c r="C10" s="335">
        <v>5521440</v>
      </c>
      <c r="D10" s="363">
        <f t="shared" si="0"/>
        <v>74700</v>
      </c>
      <c r="E10" s="488">
        <v>76057.09</v>
      </c>
      <c r="F10" s="445">
        <f t="shared" si="5"/>
        <v>-1357.0899999999965</v>
      </c>
      <c r="G10" s="384">
        <f t="shared" si="4"/>
        <v>0</v>
      </c>
      <c r="H10" s="6"/>
      <c r="I10" s="375">
        <f t="shared" si="1"/>
        <v>0</v>
      </c>
      <c r="J10" s="6"/>
      <c r="K10" s="385">
        <f t="shared" si="2"/>
        <v>0</v>
      </c>
      <c r="L10" s="446"/>
    </row>
    <row r="11" spans="1:12">
      <c r="A11" s="332">
        <v>42675</v>
      </c>
      <c r="B11" s="447">
        <f t="shared" si="3"/>
        <v>5521440</v>
      </c>
      <c r="C11" s="335">
        <v>5594926</v>
      </c>
      <c r="D11" s="363">
        <f t="shared" si="0"/>
        <v>73486</v>
      </c>
      <c r="E11" s="488">
        <v>73462.489999999991</v>
      </c>
      <c r="F11" s="445">
        <f t="shared" si="5"/>
        <v>23.510000000009313</v>
      </c>
      <c r="G11" s="384">
        <f t="shared" si="4"/>
        <v>0</v>
      </c>
      <c r="H11" s="6"/>
      <c r="I11" s="375">
        <f t="shared" si="1"/>
        <v>0</v>
      </c>
      <c r="J11" s="6"/>
      <c r="K11" s="385">
        <f t="shared" si="2"/>
        <v>0</v>
      </c>
      <c r="L11" s="446"/>
    </row>
    <row r="12" spans="1:12">
      <c r="A12" s="332">
        <v>42705</v>
      </c>
      <c r="B12" s="447">
        <f t="shared" si="3"/>
        <v>5594926</v>
      </c>
      <c r="C12" s="335">
        <v>5670348</v>
      </c>
      <c r="D12" s="363">
        <f t="shared" si="0"/>
        <v>75422</v>
      </c>
      <c r="E12" s="487">
        <v>75421.2</v>
      </c>
      <c r="F12" s="445">
        <f t="shared" si="5"/>
        <v>0.80000000000291038</v>
      </c>
      <c r="G12" s="384">
        <f t="shared" si="4"/>
        <v>0</v>
      </c>
      <c r="H12" s="6"/>
      <c r="I12" s="375">
        <f t="shared" si="1"/>
        <v>0</v>
      </c>
      <c r="J12" s="6"/>
      <c r="K12" s="385">
        <f t="shared" si="2"/>
        <v>0</v>
      </c>
      <c r="L12" s="446"/>
    </row>
    <row r="13" spans="1:12">
      <c r="A13" s="332">
        <v>42736</v>
      </c>
      <c r="B13" s="447">
        <f t="shared" si="3"/>
        <v>5670348</v>
      </c>
      <c r="C13" s="335">
        <v>5735627</v>
      </c>
      <c r="D13" s="363">
        <f t="shared" si="0"/>
        <v>65279</v>
      </c>
      <c r="E13" s="487">
        <v>65276.07</v>
      </c>
      <c r="F13" s="445">
        <f t="shared" si="5"/>
        <v>2.930000000000291</v>
      </c>
      <c r="G13" s="384">
        <f t="shared" si="4"/>
        <v>0</v>
      </c>
      <c r="H13" s="6"/>
      <c r="I13" s="375">
        <f t="shared" si="1"/>
        <v>0</v>
      </c>
      <c r="J13" s="6"/>
      <c r="K13" s="385">
        <f t="shared" si="2"/>
        <v>0</v>
      </c>
      <c r="L13" s="446"/>
    </row>
    <row r="14" spans="1:12">
      <c r="A14" s="332">
        <v>42767</v>
      </c>
      <c r="B14" s="447">
        <f t="shared" si="3"/>
        <v>5735627</v>
      </c>
      <c r="C14" s="335">
        <v>5797781</v>
      </c>
      <c r="D14" s="363">
        <f t="shared" si="0"/>
        <v>62154</v>
      </c>
      <c r="E14" s="487">
        <v>62154.9</v>
      </c>
      <c r="F14" s="445">
        <f t="shared" si="5"/>
        <v>-0.90000000000145519</v>
      </c>
      <c r="G14" s="384">
        <f t="shared" si="4"/>
        <v>0</v>
      </c>
      <c r="H14" s="6"/>
      <c r="I14" s="375">
        <f t="shared" si="1"/>
        <v>0</v>
      </c>
      <c r="J14" s="6"/>
      <c r="K14" s="385">
        <f t="shared" si="2"/>
        <v>0</v>
      </c>
      <c r="L14" s="446"/>
    </row>
    <row r="15" spans="1:12">
      <c r="A15" s="332">
        <v>42795</v>
      </c>
      <c r="B15" s="447">
        <f t="shared" si="3"/>
        <v>5797781</v>
      </c>
      <c r="C15" s="335">
        <v>5864602</v>
      </c>
      <c r="D15" s="363">
        <f t="shared" si="0"/>
        <v>66821</v>
      </c>
      <c r="E15" s="489">
        <v>66820.89</v>
      </c>
      <c r="F15" s="445">
        <f t="shared" si="5"/>
        <v>0.11000000000058208</v>
      </c>
      <c r="G15" s="384">
        <f t="shared" si="4"/>
        <v>0</v>
      </c>
      <c r="H15" s="6"/>
      <c r="I15" s="375">
        <f t="shared" si="1"/>
        <v>0</v>
      </c>
      <c r="J15" s="6"/>
      <c r="K15" s="385">
        <f t="shared" si="2"/>
        <v>0</v>
      </c>
      <c r="L15" s="446"/>
    </row>
    <row r="16" spans="1:12">
      <c r="A16" s="332">
        <v>42826</v>
      </c>
      <c r="B16" s="447">
        <f t="shared" si="3"/>
        <v>5864602</v>
      </c>
      <c r="C16" s="376">
        <v>5927895</v>
      </c>
      <c r="D16" s="363">
        <f t="shared" si="0"/>
        <v>63293</v>
      </c>
      <c r="E16" s="487">
        <v>63292.38</v>
      </c>
      <c r="F16" s="445">
        <f t="shared" si="5"/>
        <v>0.62000000000261934</v>
      </c>
      <c r="G16" s="384">
        <f t="shared" si="4"/>
        <v>0</v>
      </c>
      <c r="H16" s="6"/>
      <c r="I16" s="375">
        <f t="shared" si="1"/>
        <v>0</v>
      </c>
      <c r="J16" s="6"/>
      <c r="K16" s="385">
        <f t="shared" si="2"/>
        <v>0</v>
      </c>
      <c r="L16" s="446"/>
    </row>
    <row r="17" spans="1:12">
      <c r="A17" s="332">
        <v>42856</v>
      </c>
      <c r="B17" s="447">
        <f t="shared" si="3"/>
        <v>5927895</v>
      </c>
      <c r="C17" s="335">
        <v>5995212</v>
      </c>
      <c r="D17" s="363">
        <f t="shared" si="0"/>
        <v>67317</v>
      </c>
      <c r="E17" s="487">
        <v>67313.47</v>
      </c>
      <c r="F17" s="445">
        <f t="shared" si="5"/>
        <v>3.5299999999988358</v>
      </c>
      <c r="G17" s="384">
        <f t="shared" si="4"/>
        <v>0</v>
      </c>
      <c r="H17" s="6"/>
      <c r="I17" s="375">
        <f t="shared" si="1"/>
        <v>0</v>
      </c>
      <c r="J17" s="6"/>
      <c r="K17" s="385">
        <f t="shared" si="2"/>
        <v>0</v>
      </c>
      <c r="L17" s="446"/>
    </row>
    <row r="18" spans="1:12">
      <c r="A18" s="332">
        <v>42887</v>
      </c>
      <c r="B18" s="447">
        <f t="shared" si="3"/>
        <v>5995212</v>
      </c>
      <c r="C18" s="335">
        <v>6065754</v>
      </c>
      <c r="D18" s="363">
        <f t="shared" si="0"/>
        <v>70542</v>
      </c>
      <c r="E18" s="487">
        <v>70542.600000000006</v>
      </c>
      <c r="F18" s="445">
        <f t="shared" si="5"/>
        <v>-0.60000000000582077</v>
      </c>
      <c r="G18" s="384">
        <f t="shared" si="4"/>
        <v>0</v>
      </c>
      <c r="H18" s="6"/>
      <c r="I18" s="375">
        <f t="shared" si="1"/>
        <v>0</v>
      </c>
      <c r="J18" s="335"/>
      <c r="K18" s="385">
        <f t="shared" si="2"/>
        <v>0</v>
      </c>
      <c r="L18" s="446"/>
    </row>
    <row r="19" spans="1:12">
      <c r="A19" s="332">
        <v>42917</v>
      </c>
      <c r="B19" s="447">
        <f t="shared" si="3"/>
        <v>6065754</v>
      </c>
      <c r="C19" s="335">
        <v>6141089</v>
      </c>
      <c r="D19" s="363">
        <f t="shared" si="0"/>
        <v>75335</v>
      </c>
      <c r="E19" s="487">
        <v>75335</v>
      </c>
      <c r="F19" s="448">
        <f t="shared" si="5"/>
        <v>0</v>
      </c>
      <c r="G19" s="384">
        <v>2442</v>
      </c>
      <c r="H19" s="335">
        <v>15003</v>
      </c>
      <c r="I19" s="375">
        <f t="shared" si="1"/>
        <v>12561</v>
      </c>
      <c r="J19" s="335"/>
      <c r="K19" s="385">
        <f t="shared" si="2"/>
        <v>12561</v>
      </c>
      <c r="L19" s="446"/>
    </row>
    <row r="20" spans="1:12">
      <c r="A20" s="332">
        <v>42948</v>
      </c>
      <c r="B20" s="447">
        <f t="shared" si="3"/>
        <v>6141089</v>
      </c>
      <c r="C20" s="335">
        <v>6212470</v>
      </c>
      <c r="D20" s="363">
        <f t="shared" si="0"/>
        <v>71381</v>
      </c>
      <c r="E20" s="487">
        <v>71379.899999999994</v>
      </c>
      <c r="F20" s="448">
        <f t="shared" si="5"/>
        <v>1.1000000000058208</v>
      </c>
      <c r="G20" s="384">
        <f t="shared" si="4"/>
        <v>15003</v>
      </c>
      <c r="H20" s="335">
        <v>25033</v>
      </c>
      <c r="I20" s="375">
        <f t="shared" si="1"/>
        <v>10030</v>
      </c>
      <c r="J20" s="335">
        <v>10029.74</v>
      </c>
      <c r="K20" s="385">
        <f t="shared" si="2"/>
        <v>0.26000000000021828</v>
      </c>
      <c r="L20" s="446">
        <f>I20+D20</f>
        <v>81411</v>
      </c>
    </row>
    <row r="21" spans="1:12">
      <c r="A21" s="332">
        <v>42979</v>
      </c>
      <c r="B21" s="447">
        <f t="shared" si="3"/>
        <v>6212470</v>
      </c>
      <c r="C21" s="376">
        <v>6276921</v>
      </c>
      <c r="D21" s="363">
        <f t="shared" si="0"/>
        <v>64451</v>
      </c>
      <c r="E21" s="490">
        <v>64450.62</v>
      </c>
      <c r="F21" s="448">
        <f t="shared" si="5"/>
        <v>0.37999999999738066</v>
      </c>
      <c r="G21" s="384">
        <f t="shared" si="4"/>
        <v>25033</v>
      </c>
      <c r="H21" s="376">
        <v>32815</v>
      </c>
      <c r="I21" s="375">
        <f t="shared" si="1"/>
        <v>7782</v>
      </c>
      <c r="J21" s="376">
        <v>7781.72</v>
      </c>
      <c r="K21" s="385">
        <f t="shared" si="2"/>
        <v>0.27999999999974534</v>
      </c>
      <c r="L21" s="446">
        <f t="shared" ref="L21:L54" si="6">I21+D21</f>
        <v>72233</v>
      </c>
    </row>
    <row r="22" spans="1:12">
      <c r="A22" s="332">
        <v>43009</v>
      </c>
      <c r="B22" s="447">
        <f t="shared" si="3"/>
        <v>6276921</v>
      </c>
      <c r="C22" s="376">
        <v>6352831</v>
      </c>
      <c r="D22" s="363">
        <f t="shared" si="0"/>
        <v>75910</v>
      </c>
      <c r="E22" s="490">
        <v>75906.789999999994</v>
      </c>
      <c r="F22" s="448">
        <f t="shared" si="5"/>
        <v>3.2100000000064028</v>
      </c>
      <c r="G22" s="384">
        <f t="shared" si="4"/>
        <v>32815</v>
      </c>
      <c r="H22" s="376">
        <v>39587</v>
      </c>
      <c r="I22" s="375">
        <f t="shared" si="1"/>
        <v>6772</v>
      </c>
      <c r="J22" s="376">
        <v>6772.04</v>
      </c>
      <c r="K22" s="385">
        <f t="shared" si="2"/>
        <v>-3.999999999996362E-2</v>
      </c>
      <c r="L22" s="446">
        <f t="shared" si="6"/>
        <v>82682</v>
      </c>
    </row>
    <row r="23" spans="1:12">
      <c r="A23" s="332">
        <v>43040</v>
      </c>
      <c r="B23" s="447">
        <f t="shared" si="3"/>
        <v>6352831</v>
      </c>
      <c r="C23" s="376">
        <v>6410003</v>
      </c>
      <c r="D23" s="363">
        <f t="shared" si="0"/>
        <v>57172</v>
      </c>
      <c r="E23" s="490">
        <v>57171.51</v>
      </c>
      <c r="F23" s="448">
        <f t="shared" si="5"/>
        <v>0.48999999999796273</v>
      </c>
      <c r="G23" s="384">
        <f t="shared" si="4"/>
        <v>39587</v>
      </c>
      <c r="H23" s="376">
        <v>45717</v>
      </c>
      <c r="I23" s="375">
        <f t="shared" si="1"/>
        <v>6130</v>
      </c>
      <c r="J23" s="376">
        <v>6129.55</v>
      </c>
      <c r="K23" s="385">
        <f t="shared" si="2"/>
        <v>0.4499999999998181</v>
      </c>
      <c r="L23" s="446">
        <f t="shared" si="6"/>
        <v>63302</v>
      </c>
    </row>
    <row r="24" spans="1:12">
      <c r="A24" s="332">
        <v>43070</v>
      </c>
      <c r="B24" s="447">
        <f t="shared" si="3"/>
        <v>6410003</v>
      </c>
      <c r="C24" s="335">
        <v>6476953</v>
      </c>
      <c r="D24" s="363">
        <f t="shared" si="0"/>
        <v>66950</v>
      </c>
      <c r="E24" s="487">
        <v>66951.14</v>
      </c>
      <c r="F24" s="448">
        <f t="shared" si="5"/>
        <v>-1.1399999999994179</v>
      </c>
      <c r="G24" s="384">
        <f t="shared" si="4"/>
        <v>45717</v>
      </c>
      <c r="H24" s="335">
        <v>52890</v>
      </c>
      <c r="I24" s="375">
        <f t="shared" si="1"/>
        <v>7173</v>
      </c>
      <c r="J24" s="335">
        <v>7173.94</v>
      </c>
      <c r="K24" s="385">
        <f t="shared" si="2"/>
        <v>-0.93999999999959982</v>
      </c>
      <c r="L24" s="446">
        <f t="shared" si="6"/>
        <v>74123</v>
      </c>
    </row>
    <row r="25" spans="1:12">
      <c r="A25" s="332">
        <v>43101</v>
      </c>
      <c r="B25" s="447">
        <f t="shared" si="3"/>
        <v>6476953</v>
      </c>
      <c r="C25" s="335">
        <v>6542879</v>
      </c>
      <c r="D25" s="363">
        <f t="shared" si="0"/>
        <v>65926</v>
      </c>
      <c r="E25" s="487">
        <v>65927.77</v>
      </c>
      <c r="F25" s="448">
        <f t="shared" si="5"/>
        <v>-1.7700000000040745</v>
      </c>
      <c r="G25" s="384">
        <f t="shared" si="4"/>
        <v>52890</v>
      </c>
      <c r="H25" s="335">
        <v>59763</v>
      </c>
      <c r="I25" s="375">
        <f t="shared" si="1"/>
        <v>6873</v>
      </c>
      <c r="J25" s="335">
        <v>6874.87</v>
      </c>
      <c r="K25" s="385">
        <f t="shared" si="2"/>
        <v>-1.8699999999998909</v>
      </c>
      <c r="L25" s="446">
        <f t="shared" si="6"/>
        <v>72799</v>
      </c>
    </row>
    <row r="26" spans="1:12">
      <c r="A26" s="332">
        <v>43132</v>
      </c>
      <c r="B26" s="447">
        <f t="shared" si="3"/>
        <v>6542879</v>
      </c>
      <c r="C26" s="335">
        <v>6604433</v>
      </c>
      <c r="D26" s="363">
        <f t="shared" si="0"/>
        <v>61554</v>
      </c>
      <c r="E26" s="491">
        <v>61553.03</v>
      </c>
      <c r="F26" s="448">
        <f t="shared" si="5"/>
        <v>0.97000000000116415</v>
      </c>
      <c r="G26" s="384">
        <f t="shared" si="4"/>
        <v>59763</v>
      </c>
      <c r="H26" s="335">
        <v>66652</v>
      </c>
      <c r="I26" s="375">
        <f t="shared" si="1"/>
        <v>6889</v>
      </c>
      <c r="J26" s="335">
        <v>6890.89</v>
      </c>
      <c r="K26" s="385">
        <f t="shared" si="2"/>
        <v>-1.8900000000003274</v>
      </c>
      <c r="L26" s="446">
        <f t="shared" si="6"/>
        <v>68443</v>
      </c>
    </row>
    <row r="27" spans="1:12">
      <c r="A27" s="332">
        <v>43160</v>
      </c>
      <c r="B27" s="447">
        <f t="shared" si="3"/>
        <v>6604433</v>
      </c>
      <c r="C27" s="376">
        <v>6660226</v>
      </c>
      <c r="D27" s="363">
        <f t="shared" si="0"/>
        <v>55793</v>
      </c>
      <c r="E27" s="490">
        <v>55792.75</v>
      </c>
      <c r="F27" s="448">
        <f t="shared" si="5"/>
        <v>0.25</v>
      </c>
      <c r="G27" s="384">
        <f t="shared" si="4"/>
        <v>66652</v>
      </c>
      <c r="H27" s="376">
        <v>77607</v>
      </c>
      <c r="I27" s="375">
        <f t="shared" si="1"/>
        <v>10955</v>
      </c>
      <c r="J27" s="376">
        <v>10955.45</v>
      </c>
      <c r="K27" s="385">
        <f t="shared" si="2"/>
        <v>-0.4500000000007276</v>
      </c>
      <c r="L27" s="446">
        <f t="shared" si="6"/>
        <v>66748</v>
      </c>
    </row>
    <row r="28" spans="1:12">
      <c r="A28" s="332">
        <v>43191</v>
      </c>
      <c r="B28" s="447">
        <f t="shared" si="3"/>
        <v>6660226</v>
      </c>
      <c r="C28" s="335">
        <v>6714539</v>
      </c>
      <c r="D28" s="363">
        <f t="shared" si="0"/>
        <v>54313</v>
      </c>
      <c r="E28" s="490">
        <v>54312.28</v>
      </c>
      <c r="F28" s="448">
        <f t="shared" si="5"/>
        <v>0.72000000000116415</v>
      </c>
      <c r="G28" s="384">
        <f t="shared" si="4"/>
        <v>77607</v>
      </c>
      <c r="H28" s="335">
        <v>82271</v>
      </c>
      <c r="I28" s="375">
        <f t="shared" si="1"/>
        <v>4664</v>
      </c>
      <c r="J28" s="376">
        <v>4665.22</v>
      </c>
      <c r="K28" s="385">
        <f t="shared" si="2"/>
        <v>-1.2200000000002547</v>
      </c>
      <c r="L28" s="446">
        <f t="shared" si="6"/>
        <v>58977</v>
      </c>
    </row>
    <row r="29" spans="1:12">
      <c r="A29" s="362">
        <v>43221</v>
      </c>
      <c r="B29" s="449">
        <f t="shared" si="3"/>
        <v>6714539</v>
      </c>
      <c r="C29" s="578">
        <v>6774547</v>
      </c>
      <c r="D29" s="492">
        <f t="shared" si="0"/>
        <v>60008</v>
      </c>
      <c r="E29" s="487">
        <v>60007.47</v>
      </c>
      <c r="F29" s="448">
        <f t="shared" si="5"/>
        <v>0.52999999999883585</v>
      </c>
      <c r="G29" s="384">
        <f t="shared" si="4"/>
        <v>82271</v>
      </c>
      <c r="H29" s="335">
        <v>88664</v>
      </c>
      <c r="I29" s="375">
        <f t="shared" si="1"/>
        <v>6393</v>
      </c>
      <c r="J29" s="335">
        <v>6392.14</v>
      </c>
      <c r="K29" s="385">
        <f t="shared" si="2"/>
        <v>0.85999999999967258</v>
      </c>
      <c r="L29" s="446">
        <f t="shared" si="6"/>
        <v>66401</v>
      </c>
    </row>
    <row r="30" spans="1:12">
      <c r="A30" s="332">
        <v>43252</v>
      </c>
      <c r="B30" s="449">
        <f t="shared" si="3"/>
        <v>6774547</v>
      </c>
      <c r="C30" s="335">
        <v>6845214</v>
      </c>
      <c r="D30" s="492">
        <f t="shared" si="0"/>
        <v>70667</v>
      </c>
      <c r="E30" s="487">
        <v>70666.289999999994</v>
      </c>
      <c r="F30" s="448">
        <f t="shared" si="5"/>
        <v>0.71000000000640284</v>
      </c>
      <c r="G30" s="384">
        <f t="shared" si="4"/>
        <v>88664</v>
      </c>
      <c r="H30" s="335">
        <v>99683</v>
      </c>
      <c r="I30" s="375">
        <f t="shared" si="1"/>
        <v>11019</v>
      </c>
      <c r="J30" s="376">
        <v>11020.51</v>
      </c>
      <c r="K30" s="385">
        <f t="shared" si="2"/>
        <v>-1.5100000000002183</v>
      </c>
      <c r="L30" s="446">
        <f t="shared" si="6"/>
        <v>81686</v>
      </c>
    </row>
    <row r="31" spans="1:12">
      <c r="A31" s="332">
        <v>43282</v>
      </c>
      <c r="B31" s="449">
        <f t="shared" si="3"/>
        <v>6845214</v>
      </c>
      <c r="C31" s="376">
        <v>6921964</v>
      </c>
      <c r="D31" s="492">
        <f t="shared" si="0"/>
        <v>76750</v>
      </c>
      <c r="E31" s="490">
        <v>76750.25</v>
      </c>
      <c r="F31" s="448">
        <f t="shared" si="5"/>
        <v>-0.25</v>
      </c>
      <c r="G31" s="384">
        <f t="shared" si="4"/>
        <v>99683</v>
      </c>
      <c r="H31" s="376">
        <v>107936</v>
      </c>
      <c r="I31" s="375">
        <f t="shared" si="1"/>
        <v>8253</v>
      </c>
      <c r="J31" s="376">
        <v>8252.24</v>
      </c>
      <c r="K31" s="385">
        <f t="shared" si="2"/>
        <v>0.76000000000021828</v>
      </c>
      <c r="L31" s="446">
        <f t="shared" si="6"/>
        <v>85003</v>
      </c>
    </row>
    <row r="32" spans="1:12">
      <c r="A32" s="332">
        <v>43313</v>
      </c>
      <c r="B32" s="449">
        <f t="shared" si="3"/>
        <v>6921964</v>
      </c>
      <c r="C32" s="376">
        <v>7001142</v>
      </c>
      <c r="D32" s="492">
        <f t="shared" si="0"/>
        <v>79178</v>
      </c>
      <c r="E32" s="490">
        <v>79179.56</v>
      </c>
      <c r="F32" s="448">
        <f t="shared" si="5"/>
        <v>-1.5599999999976717</v>
      </c>
      <c r="G32" s="384">
        <f t="shared" si="4"/>
        <v>107936</v>
      </c>
      <c r="H32" s="376">
        <v>116730</v>
      </c>
      <c r="I32" s="375">
        <f t="shared" si="1"/>
        <v>8794</v>
      </c>
      <c r="J32" s="376">
        <v>8793.1200000000008</v>
      </c>
      <c r="K32" s="385">
        <f t="shared" si="2"/>
        <v>0.87999999999919964</v>
      </c>
      <c r="L32" s="446">
        <f t="shared" si="6"/>
        <v>87972</v>
      </c>
    </row>
    <row r="33" spans="1:12">
      <c r="A33" s="332">
        <v>43344</v>
      </c>
      <c r="B33" s="449">
        <f t="shared" si="3"/>
        <v>7001142</v>
      </c>
      <c r="C33" s="376">
        <v>7074217</v>
      </c>
      <c r="D33" s="492">
        <f t="shared" si="0"/>
        <v>73075</v>
      </c>
      <c r="E33" s="490">
        <v>73076.960000000006</v>
      </c>
      <c r="F33" s="448">
        <f t="shared" si="5"/>
        <v>-1.9600000000064028</v>
      </c>
      <c r="G33" s="384">
        <f t="shared" si="4"/>
        <v>116730</v>
      </c>
      <c r="H33" s="376">
        <v>127346</v>
      </c>
      <c r="I33" s="375">
        <f t="shared" si="1"/>
        <v>10616</v>
      </c>
      <c r="J33" s="376">
        <v>10615.37</v>
      </c>
      <c r="K33" s="385">
        <f t="shared" si="2"/>
        <v>0.62999999999919964</v>
      </c>
      <c r="L33" s="446">
        <f t="shared" si="6"/>
        <v>83691</v>
      </c>
    </row>
    <row r="34" spans="1:12">
      <c r="A34" s="332">
        <v>43374</v>
      </c>
      <c r="B34" s="449">
        <f t="shared" si="3"/>
        <v>7074217</v>
      </c>
      <c r="C34" s="335">
        <v>7154506</v>
      </c>
      <c r="D34" s="492">
        <f t="shared" si="0"/>
        <v>80289</v>
      </c>
      <c r="E34" s="487">
        <v>80287.839999999997</v>
      </c>
      <c r="F34" s="448">
        <f t="shared" si="5"/>
        <v>1.1600000000034925</v>
      </c>
      <c r="G34" s="384">
        <f t="shared" si="4"/>
        <v>127346</v>
      </c>
      <c r="H34" s="335">
        <v>134840</v>
      </c>
      <c r="I34" s="375">
        <f t="shared" si="1"/>
        <v>7494</v>
      </c>
      <c r="J34" s="335">
        <v>7493.99</v>
      </c>
      <c r="K34" s="385">
        <f t="shared" si="2"/>
        <v>1.0000000000218279E-2</v>
      </c>
      <c r="L34" s="446">
        <f t="shared" si="6"/>
        <v>87783</v>
      </c>
    </row>
    <row r="35" spans="1:12">
      <c r="A35" s="332">
        <v>43405</v>
      </c>
      <c r="B35" s="449">
        <f t="shared" si="3"/>
        <v>7154506</v>
      </c>
      <c r="C35" s="335">
        <v>7225359</v>
      </c>
      <c r="D35" s="492">
        <f t="shared" si="0"/>
        <v>70853</v>
      </c>
      <c r="E35" s="487">
        <v>70852.88</v>
      </c>
      <c r="F35" s="448">
        <f t="shared" si="5"/>
        <v>0.11999999999534339</v>
      </c>
      <c r="G35" s="384">
        <f t="shared" si="4"/>
        <v>134840</v>
      </c>
      <c r="H35" s="335">
        <v>145302</v>
      </c>
      <c r="I35" s="375">
        <f t="shared" si="1"/>
        <v>10462</v>
      </c>
      <c r="J35" s="335">
        <v>10462.700000000001</v>
      </c>
      <c r="K35" s="385">
        <f t="shared" si="2"/>
        <v>-0.7000000000007276</v>
      </c>
      <c r="L35" s="446">
        <f t="shared" si="6"/>
        <v>81315</v>
      </c>
    </row>
    <row r="36" spans="1:12">
      <c r="A36" s="332">
        <v>43435</v>
      </c>
      <c r="B36" s="449">
        <f t="shared" si="3"/>
        <v>7225359</v>
      </c>
      <c r="C36" s="335">
        <v>7296581</v>
      </c>
      <c r="D36" s="492">
        <f t="shared" si="0"/>
        <v>71222</v>
      </c>
      <c r="E36" s="487">
        <v>71221.22</v>
      </c>
      <c r="F36" s="448">
        <f t="shared" si="5"/>
        <v>0.77999999999883585</v>
      </c>
      <c r="G36" s="384">
        <f t="shared" si="4"/>
        <v>145302</v>
      </c>
      <c r="H36" s="335">
        <v>154999</v>
      </c>
      <c r="I36" s="375">
        <f t="shared" si="1"/>
        <v>9697</v>
      </c>
      <c r="J36" s="335">
        <v>9696.7999999999993</v>
      </c>
      <c r="K36" s="385">
        <f t="shared" si="2"/>
        <v>0.2000000000007276</v>
      </c>
      <c r="L36" s="446">
        <f t="shared" si="6"/>
        <v>80919</v>
      </c>
    </row>
    <row r="37" spans="1:12">
      <c r="A37" s="332">
        <v>43466</v>
      </c>
      <c r="B37" s="449">
        <f t="shared" si="3"/>
        <v>7296581</v>
      </c>
      <c r="C37" s="335">
        <v>7366625</v>
      </c>
      <c r="D37" s="492">
        <f t="shared" si="0"/>
        <v>70044</v>
      </c>
      <c r="E37" s="487">
        <v>70042.86</v>
      </c>
      <c r="F37" s="448">
        <f t="shared" si="5"/>
        <v>1.1399999999994179</v>
      </c>
      <c r="G37" s="384">
        <f t="shared" si="4"/>
        <v>154999</v>
      </c>
      <c r="H37" s="335">
        <v>161103</v>
      </c>
      <c r="I37" s="375">
        <f t="shared" si="1"/>
        <v>6104</v>
      </c>
      <c r="J37" s="335">
        <v>6107.32</v>
      </c>
      <c r="K37" s="385">
        <f t="shared" si="2"/>
        <v>-3.319999999999709</v>
      </c>
      <c r="L37" s="446">
        <f t="shared" si="6"/>
        <v>76148</v>
      </c>
    </row>
    <row r="38" spans="1:12">
      <c r="A38" s="332">
        <v>43497</v>
      </c>
      <c r="B38" s="449">
        <f t="shared" si="3"/>
        <v>7366625</v>
      </c>
      <c r="C38" s="335">
        <v>7427612</v>
      </c>
      <c r="D38" s="492">
        <f t="shared" si="0"/>
        <v>60987</v>
      </c>
      <c r="E38" s="487">
        <v>60986.27</v>
      </c>
      <c r="F38" s="448">
        <f t="shared" si="5"/>
        <v>0.73000000000320142</v>
      </c>
      <c r="G38" s="384">
        <f t="shared" si="4"/>
        <v>161103</v>
      </c>
      <c r="H38" s="335">
        <v>167784</v>
      </c>
      <c r="I38" s="375">
        <f t="shared" si="1"/>
        <v>6681</v>
      </c>
      <c r="J38" s="335">
        <v>6681</v>
      </c>
      <c r="K38" s="385">
        <f t="shared" si="2"/>
        <v>0</v>
      </c>
      <c r="L38" s="446">
        <f t="shared" si="6"/>
        <v>67668</v>
      </c>
    </row>
    <row r="39" spans="1:12">
      <c r="A39" s="332">
        <v>43525</v>
      </c>
      <c r="B39" s="449">
        <f t="shared" si="3"/>
        <v>7427612</v>
      </c>
      <c r="C39" s="335">
        <v>7494502</v>
      </c>
      <c r="D39" s="492">
        <f t="shared" si="0"/>
        <v>66890</v>
      </c>
      <c r="E39" s="487">
        <v>66888.649999999994</v>
      </c>
      <c r="F39" s="448">
        <f t="shared" si="5"/>
        <v>1.3500000000058208</v>
      </c>
      <c r="G39" s="384">
        <f t="shared" si="4"/>
        <v>167784</v>
      </c>
      <c r="H39" s="335">
        <v>178453</v>
      </c>
      <c r="I39" s="375">
        <f t="shared" si="1"/>
        <v>10669</v>
      </c>
      <c r="J39" s="335">
        <v>10669.59</v>
      </c>
      <c r="K39" s="385">
        <f t="shared" si="2"/>
        <v>-0.59000000000014552</v>
      </c>
      <c r="L39" s="446">
        <f t="shared" si="6"/>
        <v>77559</v>
      </c>
    </row>
    <row r="40" spans="1:12">
      <c r="A40" s="332">
        <v>43556</v>
      </c>
      <c r="B40" s="449">
        <f t="shared" si="3"/>
        <v>7494502</v>
      </c>
      <c r="C40" s="335">
        <v>7567839</v>
      </c>
      <c r="D40" s="492">
        <f t="shared" si="0"/>
        <v>73337</v>
      </c>
      <c r="E40" s="487">
        <v>73336.570000000007</v>
      </c>
      <c r="F40" s="448">
        <f t="shared" si="5"/>
        <v>0.42999999999301508</v>
      </c>
      <c r="G40" s="384">
        <f t="shared" si="4"/>
        <v>178453</v>
      </c>
      <c r="H40" s="335">
        <v>185868</v>
      </c>
      <c r="I40" s="375">
        <f t="shared" si="1"/>
        <v>7415</v>
      </c>
      <c r="J40" s="335">
        <v>7415.91</v>
      </c>
      <c r="K40" s="385">
        <f t="shared" si="2"/>
        <v>-0.90999999999985448</v>
      </c>
      <c r="L40" s="446">
        <f t="shared" si="6"/>
        <v>80752</v>
      </c>
    </row>
    <row r="41" spans="1:12">
      <c r="A41" s="332">
        <v>43586</v>
      </c>
      <c r="B41" s="449">
        <f t="shared" si="3"/>
        <v>7567839</v>
      </c>
      <c r="C41" s="335">
        <v>7635177</v>
      </c>
      <c r="D41" s="492">
        <f t="shared" si="0"/>
        <v>67338</v>
      </c>
      <c r="E41" s="487">
        <v>67338.48</v>
      </c>
      <c r="F41" s="448">
        <f t="shared" si="5"/>
        <v>-0.47999999999592546</v>
      </c>
      <c r="G41" s="384">
        <f t="shared" si="4"/>
        <v>185868</v>
      </c>
      <c r="H41" s="335">
        <v>191580</v>
      </c>
      <c r="I41" s="375">
        <f t="shared" si="1"/>
        <v>5712</v>
      </c>
      <c r="J41" s="335">
        <v>5711.08</v>
      </c>
      <c r="K41" s="385">
        <f t="shared" si="2"/>
        <v>0.92000000000007276</v>
      </c>
      <c r="L41" s="446">
        <f t="shared" si="6"/>
        <v>73050</v>
      </c>
    </row>
    <row r="42" spans="1:12">
      <c r="A42" s="332">
        <v>43617</v>
      </c>
      <c r="B42" s="447">
        <f t="shared" si="3"/>
        <v>7635177</v>
      </c>
      <c r="C42" s="577">
        <v>7705814</v>
      </c>
      <c r="D42" s="363">
        <f t="shared" si="0"/>
        <v>70637</v>
      </c>
      <c r="E42" s="487">
        <v>70631.199999999997</v>
      </c>
      <c r="F42" s="448">
        <f>D42-E42</f>
        <v>5.8000000000029104</v>
      </c>
      <c r="G42" s="384">
        <f t="shared" si="4"/>
        <v>191580</v>
      </c>
      <c r="H42" s="335">
        <v>198910</v>
      </c>
      <c r="I42" s="375">
        <f t="shared" si="1"/>
        <v>7330</v>
      </c>
      <c r="J42" s="335">
        <v>7352.54</v>
      </c>
      <c r="K42" s="385">
        <f t="shared" si="2"/>
        <v>-22.539999999999964</v>
      </c>
      <c r="L42" s="446">
        <f t="shared" si="6"/>
        <v>77967</v>
      </c>
    </row>
    <row r="43" spans="1:12">
      <c r="A43" s="332">
        <v>43647</v>
      </c>
      <c r="B43" s="447">
        <f t="shared" si="3"/>
        <v>7705814</v>
      </c>
      <c r="C43" s="577">
        <v>7789265</v>
      </c>
      <c r="D43" s="363">
        <f t="shared" si="0"/>
        <v>83451</v>
      </c>
      <c r="E43" s="487">
        <v>83450.259999999995</v>
      </c>
      <c r="F43" s="448">
        <f t="shared" si="5"/>
        <v>0.74000000000523869</v>
      </c>
      <c r="G43" s="384">
        <f t="shared" si="4"/>
        <v>198910</v>
      </c>
      <c r="H43" s="335">
        <v>208208</v>
      </c>
      <c r="I43" s="375">
        <f t="shared" si="1"/>
        <v>9298</v>
      </c>
      <c r="J43" s="335">
        <v>8921.51</v>
      </c>
      <c r="K43" s="385">
        <f t="shared" si="2"/>
        <v>376.48999999999978</v>
      </c>
      <c r="L43" s="446">
        <f>SUM(L20:L42)</f>
        <v>1748632</v>
      </c>
    </row>
    <row r="44" spans="1:12">
      <c r="A44" s="332">
        <v>43678</v>
      </c>
      <c r="B44" s="447">
        <f t="shared" si="3"/>
        <v>7789265</v>
      </c>
      <c r="C44" s="577">
        <v>7867728</v>
      </c>
      <c r="D44" s="363">
        <f t="shared" si="0"/>
        <v>78463</v>
      </c>
      <c r="E44" s="487">
        <v>78463.600000000006</v>
      </c>
      <c r="F44" s="448">
        <f>D44-E44</f>
        <v>-0.60000000000582077</v>
      </c>
      <c r="G44" s="384">
        <f t="shared" si="4"/>
        <v>208208</v>
      </c>
      <c r="H44" s="335">
        <v>216205</v>
      </c>
      <c r="I44" s="375">
        <f t="shared" si="1"/>
        <v>7997</v>
      </c>
      <c r="J44" s="335">
        <v>7870.33</v>
      </c>
      <c r="K44" s="385">
        <f t="shared" si="2"/>
        <v>126.67000000000007</v>
      </c>
      <c r="L44" s="446">
        <f t="shared" si="6"/>
        <v>86460</v>
      </c>
    </row>
    <row r="45" spans="1:12">
      <c r="A45" s="332">
        <v>43709</v>
      </c>
      <c r="B45" s="447">
        <f t="shared" si="3"/>
        <v>7867728</v>
      </c>
      <c r="C45" s="577">
        <v>7937278</v>
      </c>
      <c r="D45" s="363">
        <f t="shared" si="0"/>
        <v>69550</v>
      </c>
      <c r="E45" s="487">
        <v>69549.31</v>
      </c>
      <c r="F45" s="448">
        <f t="shared" si="5"/>
        <v>0.69000000000232831</v>
      </c>
      <c r="G45" s="384">
        <f t="shared" si="4"/>
        <v>216205</v>
      </c>
      <c r="H45" s="335">
        <v>223195</v>
      </c>
      <c r="I45" s="375">
        <f t="shared" si="1"/>
        <v>6990</v>
      </c>
      <c r="J45" s="335">
        <v>6989.22</v>
      </c>
      <c r="K45" s="385">
        <f t="shared" si="2"/>
        <v>0.77999999999974534</v>
      </c>
      <c r="L45" s="446">
        <f t="shared" si="6"/>
        <v>76540</v>
      </c>
    </row>
    <row r="46" spans="1:12">
      <c r="A46" s="332">
        <v>43739</v>
      </c>
      <c r="B46" s="447">
        <f t="shared" si="3"/>
        <v>7937278</v>
      </c>
      <c r="C46" s="577">
        <v>8009185</v>
      </c>
      <c r="D46" s="363">
        <f t="shared" si="0"/>
        <v>71907</v>
      </c>
      <c r="E46" s="487">
        <v>71906.240000000005</v>
      </c>
      <c r="F46" s="448">
        <f t="shared" si="5"/>
        <v>0.75999999999476131</v>
      </c>
      <c r="G46" s="384">
        <f t="shared" si="4"/>
        <v>223195</v>
      </c>
      <c r="H46" s="335">
        <v>229902</v>
      </c>
      <c r="I46" s="375">
        <f t="shared" si="1"/>
        <v>6707</v>
      </c>
      <c r="J46" s="335">
        <v>6706</v>
      </c>
      <c r="K46" s="385">
        <f t="shared" si="2"/>
        <v>1</v>
      </c>
      <c r="L46" s="446">
        <f t="shared" si="6"/>
        <v>78614</v>
      </c>
    </row>
    <row r="47" spans="1:12">
      <c r="A47" s="332">
        <v>43770</v>
      </c>
      <c r="B47" s="447">
        <f t="shared" si="3"/>
        <v>8009185</v>
      </c>
      <c r="C47" s="577"/>
      <c r="D47" s="363">
        <f t="shared" si="0"/>
        <v>-8009185</v>
      </c>
      <c r="E47" s="487"/>
      <c r="F47" s="448">
        <f t="shared" si="5"/>
        <v>-8009185</v>
      </c>
      <c r="G47" s="384">
        <f t="shared" si="4"/>
        <v>229902</v>
      </c>
      <c r="H47" s="335"/>
      <c r="I47" s="375">
        <f t="shared" si="1"/>
        <v>-229902</v>
      </c>
      <c r="J47" s="335"/>
      <c r="K47" s="385">
        <f t="shared" si="2"/>
        <v>-229902</v>
      </c>
      <c r="L47" s="446">
        <f t="shared" si="6"/>
        <v>-8239087</v>
      </c>
    </row>
    <row r="48" spans="1:12">
      <c r="A48" s="332">
        <v>43800</v>
      </c>
      <c r="B48" s="447">
        <f t="shared" si="3"/>
        <v>0</v>
      </c>
      <c r="C48" s="577"/>
      <c r="D48" s="363">
        <f t="shared" si="0"/>
        <v>0</v>
      </c>
      <c r="E48" s="487"/>
      <c r="F48" s="448">
        <f t="shared" si="5"/>
        <v>0</v>
      </c>
      <c r="G48" s="384">
        <f t="shared" si="4"/>
        <v>0</v>
      </c>
      <c r="H48" s="335"/>
      <c r="I48" s="375">
        <f t="shared" si="1"/>
        <v>0</v>
      </c>
      <c r="J48" s="335"/>
      <c r="K48" s="385">
        <f t="shared" si="2"/>
        <v>0</v>
      </c>
      <c r="L48" s="446">
        <f t="shared" si="6"/>
        <v>0</v>
      </c>
    </row>
    <row r="49" spans="1:12">
      <c r="A49" s="332">
        <v>43831</v>
      </c>
      <c r="B49" s="447">
        <f t="shared" si="3"/>
        <v>0</v>
      </c>
      <c r="C49" s="577"/>
      <c r="D49" s="363">
        <f t="shared" si="0"/>
        <v>0</v>
      </c>
      <c r="E49" s="487"/>
      <c r="F49" s="448">
        <f t="shared" si="5"/>
        <v>0</v>
      </c>
      <c r="G49" s="384">
        <f t="shared" si="4"/>
        <v>0</v>
      </c>
      <c r="H49" s="335"/>
      <c r="I49" s="375">
        <f t="shared" si="1"/>
        <v>0</v>
      </c>
      <c r="J49" s="335"/>
      <c r="K49" s="385">
        <f t="shared" si="2"/>
        <v>0</v>
      </c>
      <c r="L49" s="446">
        <f t="shared" si="6"/>
        <v>0</v>
      </c>
    </row>
    <row r="50" spans="1:12">
      <c r="A50" s="332">
        <v>43862</v>
      </c>
      <c r="B50" s="447">
        <f t="shared" si="3"/>
        <v>0</v>
      </c>
      <c r="C50" s="577"/>
      <c r="D50" s="363">
        <f t="shared" si="0"/>
        <v>0</v>
      </c>
      <c r="E50" s="487"/>
      <c r="F50" s="448">
        <f t="shared" si="5"/>
        <v>0</v>
      </c>
      <c r="G50" s="384">
        <f t="shared" si="4"/>
        <v>0</v>
      </c>
      <c r="H50" s="335"/>
      <c r="I50" s="375">
        <f t="shared" si="1"/>
        <v>0</v>
      </c>
      <c r="J50" s="335"/>
      <c r="K50" s="385">
        <f t="shared" si="2"/>
        <v>0</v>
      </c>
      <c r="L50" s="446">
        <f t="shared" si="6"/>
        <v>0</v>
      </c>
    </row>
    <row r="51" spans="1:12">
      <c r="A51" s="332">
        <v>43891</v>
      </c>
      <c r="B51" s="447">
        <f t="shared" si="3"/>
        <v>0</v>
      </c>
      <c r="C51" s="577"/>
      <c r="D51" s="363">
        <f t="shared" si="0"/>
        <v>0</v>
      </c>
      <c r="E51" s="487"/>
      <c r="F51" s="448">
        <f t="shared" si="5"/>
        <v>0</v>
      </c>
      <c r="G51" s="384">
        <f t="shared" si="4"/>
        <v>0</v>
      </c>
      <c r="H51" s="335"/>
      <c r="I51" s="375">
        <f t="shared" si="1"/>
        <v>0</v>
      </c>
      <c r="J51" s="335"/>
      <c r="K51" s="385">
        <f t="shared" si="2"/>
        <v>0</v>
      </c>
      <c r="L51" s="446">
        <f t="shared" si="6"/>
        <v>0</v>
      </c>
    </row>
    <row r="52" spans="1:12">
      <c r="A52" s="332">
        <v>43922</v>
      </c>
      <c r="B52" s="447">
        <f t="shared" si="3"/>
        <v>0</v>
      </c>
      <c r="C52" s="577"/>
      <c r="D52" s="363">
        <f t="shared" si="0"/>
        <v>0</v>
      </c>
      <c r="E52" s="487"/>
      <c r="F52" s="448">
        <f t="shared" si="5"/>
        <v>0</v>
      </c>
      <c r="G52" s="384">
        <f t="shared" si="4"/>
        <v>0</v>
      </c>
      <c r="H52" s="335"/>
      <c r="I52" s="375">
        <f t="shared" si="1"/>
        <v>0</v>
      </c>
      <c r="J52" s="335"/>
      <c r="K52" s="385">
        <f t="shared" si="2"/>
        <v>0</v>
      </c>
      <c r="L52" s="446">
        <f t="shared" si="6"/>
        <v>0</v>
      </c>
    </row>
    <row r="53" spans="1:12">
      <c r="A53" s="332">
        <v>43586</v>
      </c>
      <c r="B53" s="447">
        <f t="shared" si="3"/>
        <v>0</v>
      </c>
      <c r="C53" s="577"/>
      <c r="D53" s="363">
        <f t="shared" si="0"/>
        <v>0</v>
      </c>
      <c r="E53" s="487"/>
      <c r="F53" s="448">
        <f t="shared" si="5"/>
        <v>0</v>
      </c>
      <c r="G53" s="384">
        <f t="shared" si="4"/>
        <v>0</v>
      </c>
      <c r="H53" s="335"/>
      <c r="I53" s="375">
        <f t="shared" si="1"/>
        <v>0</v>
      </c>
      <c r="J53" s="335"/>
      <c r="K53" s="385">
        <f t="shared" si="2"/>
        <v>0</v>
      </c>
      <c r="L53" s="446">
        <f t="shared" si="6"/>
        <v>0</v>
      </c>
    </row>
    <row r="54" spans="1:12" ht="13.5" thickBot="1">
      <c r="A54" s="332">
        <v>43983</v>
      </c>
      <c r="B54" s="493">
        <f t="shared" si="3"/>
        <v>0</v>
      </c>
      <c r="C54" s="576"/>
      <c r="D54" s="421">
        <f t="shared" si="0"/>
        <v>0</v>
      </c>
      <c r="E54" s="487"/>
      <c r="F54" s="448">
        <f t="shared" si="5"/>
        <v>0</v>
      </c>
      <c r="G54" s="384">
        <f t="shared" si="4"/>
        <v>0</v>
      </c>
      <c r="H54" s="335"/>
      <c r="I54" s="375">
        <f t="shared" si="1"/>
        <v>0</v>
      </c>
      <c r="J54" s="335"/>
      <c r="K54" s="385">
        <f t="shared" si="2"/>
        <v>0</v>
      </c>
      <c r="L54" s="446">
        <f t="shared" si="6"/>
        <v>0</v>
      </c>
    </row>
    <row r="56" spans="1:12">
      <c r="A56" s="684"/>
      <c r="B56" s="684"/>
      <c r="C56" s="684"/>
      <c r="D56" s="684"/>
      <c r="E56" s="684"/>
      <c r="F56" s="684"/>
      <c r="G56" s="684"/>
      <c r="H56" s="684"/>
      <c r="I56" s="684"/>
      <c r="J56" s="684"/>
      <c r="K56" s="684"/>
      <c r="L56" s="684"/>
    </row>
    <row r="57" spans="1:12">
      <c r="A57" s="684"/>
      <c r="B57" s="684"/>
      <c r="C57" s="684"/>
      <c r="D57" s="684"/>
      <c r="E57" s="684"/>
      <c r="F57" s="684"/>
      <c r="G57" s="684"/>
      <c r="H57" s="684"/>
      <c r="I57" s="684"/>
      <c r="J57" s="684"/>
      <c r="K57" s="684"/>
      <c r="L57" s="684"/>
    </row>
    <row r="58" spans="1:12">
      <c r="A58" s="684"/>
      <c r="B58" s="684"/>
      <c r="C58" s="684"/>
      <c r="D58" s="684"/>
      <c r="E58" s="684"/>
      <c r="F58" s="684"/>
      <c r="G58" s="684"/>
      <c r="H58" s="684"/>
      <c r="I58" s="684"/>
      <c r="J58" s="684"/>
      <c r="K58" s="684"/>
      <c r="L58" s="684"/>
    </row>
    <row r="59" spans="1:12">
      <c r="A59" s="684"/>
      <c r="B59" s="684"/>
      <c r="C59" s="684"/>
      <c r="D59" s="684"/>
      <c r="E59" s="684"/>
      <c r="F59" s="684"/>
      <c r="G59" s="684"/>
      <c r="H59" s="684"/>
      <c r="I59" s="684"/>
      <c r="J59" s="684"/>
      <c r="K59" s="684"/>
      <c r="L59" s="684"/>
    </row>
    <row r="60" spans="1:12">
      <c r="A60" s="684"/>
      <c r="B60" s="684"/>
      <c r="C60" s="684"/>
      <c r="D60" s="684"/>
      <c r="E60" s="684"/>
      <c r="F60" s="684"/>
      <c r="G60" s="684"/>
      <c r="H60" s="684"/>
      <c r="I60" s="684"/>
      <c r="J60" s="684"/>
      <c r="K60" s="684"/>
      <c r="L60" s="684"/>
    </row>
    <row r="61" spans="1:12">
      <c r="A61" s="684"/>
      <c r="B61" s="684"/>
      <c r="C61" s="684"/>
      <c r="D61" s="684"/>
      <c r="E61" s="684"/>
      <c r="F61" s="684"/>
      <c r="G61" s="684"/>
      <c r="H61" s="684"/>
      <c r="I61" s="684"/>
      <c r="J61" s="684"/>
      <c r="K61" s="684"/>
      <c r="L61" s="684"/>
    </row>
    <row r="62" spans="1:12">
      <c r="A62" s="684"/>
      <c r="B62" s="684"/>
      <c r="C62" s="684"/>
      <c r="D62" s="684"/>
      <c r="E62" s="684"/>
      <c r="F62" s="684"/>
      <c r="G62" s="684"/>
      <c r="H62" s="684"/>
      <c r="I62" s="684"/>
      <c r="J62" s="684"/>
      <c r="K62" s="684"/>
      <c r="L62" s="684"/>
    </row>
    <row r="63" spans="1:12">
      <c r="A63" s="684"/>
      <c r="B63" s="684"/>
      <c r="C63" s="684"/>
      <c r="D63" s="684"/>
      <c r="E63" s="684"/>
      <c r="F63" s="684"/>
      <c r="G63" s="684"/>
      <c r="H63" s="684"/>
      <c r="I63" s="684"/>
      <c r="J63" s="684"/>
      <c r="K63" s="684"/>
      <c r="L63" s="684"/>
    </row>
    <row r="64" spans="1:12">
      <c r="A64" s="684"/>
      <c r="B64" s="684"/>
      <c r="C64" s="684"/>
      <c r="D64" s="684"/>
      <c r="E64" s="684"/>
      <c r="F64" s="684"/>
      <c r="G64" s="684"/>
      <c r="H64" s="684"/>
      <c r="I64" s="684"/>
      <c r="J64" s="684"/>
      <c r="K64" s="684"/>
      <c r="L64" s="684"/>
    </row>
    <row r="65" spans="1:12">
      <c r="A65" s="684"/>
      <c r="B65" s="684"/>
      <c r="C65" s="684"/>
      <c r="D65" s="684"/>
      <c r="E65" s="684"/>
      <c r="F65" s="684"/>
      <c r="G65" s="684"/>
      <c r="H65" s="684"/>
      <c r="I65" s="684"/>
      <c r="J65" s="684"/>
      <c r="K65" s="684"/>
      <c r="L65" s="684"/>
    </row>
    <row r="66" spans="1:12" ht="12.75" customHeight="1">
      <c r="A66" s="684"/>
      <c r="B66" s="684"/>
      <c r="C66" s="684"/>
      <c r="D66" s="684"/>
      <c r="E66" s="684"/>
      <c r="F66" s="684"/>
      <c r="G66" s="684"/>
      <c r="H66" s="684"/>
      <c r="I66" s="684"/>
      <c r="J66" s="684"/>
      <c r="K66" s="684"/>
      <c r="L66" s="684"/>
    </row>
    <row r="67" spans="1:12" ht="13.5" customHeight="1">
      <c r="A67" s="684"/>
      <c r="B67" s="684"/>
      <c r="C67" s="684"/>
      <c r="D67" s="684"/>
      <c r="E67" s="684"/>
      <c r="F67" s="684"/>
      <c r="G67" s="684"/>
      <c r="H67" s="684"/>
      <c r="I67" s="684"/>
      <c r="J67" s="684"/>
      <c r="K67" s="684"/>
      <c r="L67" s="684"/>
    </row>
    <row r="68" spans="1:12">
      <c r="A68" s="684"/>
      <c r="B68" s="684"/>
      <c r="C68" s="684"/>
      <c r="D68" s="684"/>
      <c r="E68" s="684"/>
      <c r="F68" s="684"/>
      <c r="G68" s="684"/>
      <c r="H68" s="684"/>
      <c r="I68" s="684"/>
      <c r="J68" s="684"/>
      <c r="K68" s="684"/>
      <c r="L68" s="684"/>
    </row>
    <row r="69" spans="1:12">
      <c r="A69" s="684"/>
      <c r="B69" s="684"/>
      <c r="C69" s="684"/>
      <c r="D69" s="684"/>
      <c r="E69" s="684"/>
      <c r="F69" s="684"/>
      <c r="G69" s="684"/>
      <c r="H69" s="684"/>
      <c r="I69" s="684"/>
      <c r="J69" s="684"/>
      <c r="K69" s="684"/>
      <c r="L69" s="684"/>
    </row>
    <row r="70" spans="1:12">
      <c r="A70" s="684"/>
      <c r="B70" s="684"/>
      <c r="C70" s="684"/>
      <c r="D70" s="684"/>
      <c r="E70" s="684"/>
      <c r="F70" s="684"/>
      <c r="G70" s="684"/>
      <c r="H70" s="684"/>
      <c r="I70" s="684"/>
      <c r="J70" s="684"/>
      <c r="K70" s="684"/>
      <c r="L70" s="684"/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59" t="s">
        <v>283</v>
      </c>
      <c r="B1" s="859"/>
      <c r="C1" s="859"/>
      <c r="D1" s="859"/>
      <c r="E1" s="859"/>
      <c r="F1" s="859"/>
      <c r="G1" s="859"/>
      <c r="H1" s="859"/>
      <c r="I1" s="859"/>
      <c r="J1" s="859"/>
    </row>
    <row r="2" spans="1:10" ht="19.5" thickBot="1">
      <c r="A2" s="868">
        <v>43739</v>
      </c>
      <c r="B2" s="869"/>
      <c r="C2" s="869"/>
      <c r="D2" s="869"/>
      <c r="E2" s="869"/>
      <c r="F2" s="869"/>
      <c r="G2" s="869"/>
      <c r="H2" s="869"/>
      <c r="I2" s="869"/>
      <c r="J2" s="869"/>
    </row>
    <row r="3" spans="1:10" ht="15.75" thickBot="1">
      <c r="A3" s="860" t="s">
        <v>7</v>
      </c>
      <c r="B3" s="862" t="s">
        <v>284</v>
      </c>
      <c r="C3" s="669"/>
      <c r="D3" s="864" t="s">
        <v>285</v>
      </c>
      <c r="E3" s="865"/>
      <c r="F3" s="866" t="s">
        <v>286</v>
      </c>
      <c r="G3" s="867"/>
      <c r="H3" s="865"/>
      <c r="I3" s="866" t="s">
        <v>287</v>
      </c>
      <c r="J3" s="865"/>
    </row>
    <row r="4" spans="1:10" ht="30.75" thickBot="1">
      <c r="A4" s="861"/>
      <c r="B4" s="863"/>
      <c r="C4" s="670" t="s">
        <v>351</v>
      </c>
      <c r="D4" s="584" t="s">
        <v>288</v>
      </c>
      <c r="E4" s="591" t="s">
        <v>3</v>
      </c>
      <c r="F4" s="584" t="s">
        <v>288</v>
      </c>
      <c r="G4" s="584" t="s">
        <v>289</v>
      </c>
      <c r="H4" s="584" t="s">
        <v>290</v>
      </c>
      <c r="I4" s="584" t="s">
        <v>17</v>
      </c>
      <c r="J4" s="584" t="s">
        <v>291</v>
      </c>
    </row>
    <row r="5" spans="1:10" ht="17.100000000000001" customHeight="1" thickBot="1">
      <c r="A5" s="593">
        <v>43739</v>
      </c>
      <c r="B5" s="595">
        <f>Gen!B11</f>
        <v>0.623</v>
      </c>
      <c r="C5" s="671">
        <f>Gen!AJ11</f>
        <v>203.27999999999997</v>
      </c>
      <c r="D5" s="585">
        <f>Gen!S11</f>
        <v>2179.4799999999996</v>
      </c>
      <c r="E5" s="586">
        <f>Gen!C11</f>
        <v>47806.650000000031</v>
      </c>
      <c r="F5" s="585">
        <f>'Water-Meter'!E6</f>
        <v>130</v>
      </c>
      <c r="G5" s="587">
        <f>'Water-Meter'!AN5</f>
        <v>0</v>
      </c>
      <c r="H5" s="586">
        <f>'Utility report '!AC6</f>
        <v>26</v>
      </c>
      <c r="I5" s="585">
        <f>'Kit report'!F4</f>
        <v>420</v>
      </c>
      <c r="J5" s="586">
        <f>'Kit report'!X4</f>
        <v>740.00000000014552</v>
      </c>
    </row>
    <row r="6" spans="1:10" ht="17.100000000000001" customHeight="1" thickBot="1">
      <c r="A6" s="592">
        <v>43740</v>
      </c>
      <c r="B6" s="594">
        <f>Gen!B12</f>
        <v>0.77900000000000003</v>
      </c>
      <c r="C6" s="671">
        <f>Gen!AJ12</f>
        <v>31.450000000000003</v>
      </c>
      <c r="D6" s="588">
        <f>Gen!S12</f>
        <v>2472.85</v>
      </c>
      <c r="E6" s="586">
        <f>Gen!C12</f>
        <v>45423.890000000029</v>
      </c>
      <c r="F6" s="588">
        <f>'Water-Meter'!E7</f>
        <v>128</v>
      </c>
      <c r="G6" s="590">
        <f>'Water-Meter'!AN6</f>
        <v>160</v>
      </c>
      <c r="H6" s="589">
        <f>'Utility report '!AC7</f>
        <v>177</v>
      </c>
      <c r="I6" s="585">
        <f>'Kit report'!F5</f>
        <v>480</v>
      </c>
      <c r="J6" s="586">
        <f>'Kit report'!X5</f>
        <v>900</v>
      </c>
    </row>
    <row r="7" spans="1:10" ht="17.100000000000001" customHeight="1" thickBot="1">
      <c r="A7" s="592">
        <v>43741</v>
      </c>
      <c r="B7" s="594">
        <f>Gen!B13</f>
        <v>0.53200000000000003</v>
      </c>
      <c r="C7" s="671">
        <f>Gen!AJ13</f>
        <v>106.26</v>
      </c>
      <c r="D7" s="588">
        <f>Gen!S13</f>
        <v>2554.3900000000003</v>
      </c>
      <c r="E7" s="586">
        <f>Gen!C13</f>
        <v>42919.590000000026</v>
      </c>
      <c r="F7" s="588">
        <f>'Water-Meter'!E8</f>
        <v>120</v>
      </c>
      <c r="G7" s="590">
        <f>'Water-Meter'!AN7</f>
        <v>168</v>
      </c>
      <c r="H7" s="589">
        <f>'Utility report '!AC8</f>
        <v>128</v>
      </c>
      <c r="I7" s="585">
        <f>'Kit report'!F6</f>
        <v>503.99999999997817</v>
      </c>
      <c r="J7" s="586">
        <f>'Kit report'!X6</f>
        <v>939.99999999996362</v>
      </c>
    </row>
    <row r="8" spans="1:10" ht="17.100000000000001" customHeight="1" thickBot="1">
      <c r="A8" s="592">
        <v>43742</v>
      </c>
      <c r="B8" s="594">
        <f>Gen!B14</f>
        <v>0.61</v>
      </c>
      <c r="C8" s="671">
        <f>Gen!AJ14</f>
        <v>292.31</v>
      </c>
      <c r="D8" s="588">
        <f>Gen!S14</f>
        <v>2441.42</v>
      </c>
      <c r="E8" s="586">
        <f>Gen!C14</f>
        <v>40258.940000000024</v>
      </c>
      <c r="F8" s="588">
        <f>'Water-Meter'!E9</f>
        <v>120</v>
      </c>
      <c r="G8" s="590">
        <f>'Water-Meter'!AN8</f>
        <v>167</v>
      </c>
      <c r="H8" s="589">
        <f>'Utility report '!AC9</f>
        <v>115</v>
      </c>
      <c r="I8" s="585">
        <f>'Kit report'!F7</f>
        <v>516.00000000002183</v>
      </c>
      <c r="J8" s="586">
        <f>'Kit report'!X7</f>
        <v>919.99999999989086</v>
      </c>
    </row>
    <row r="9" spans="1:10" ht="17.100000000000001" customHeight="1" thickBot="1">
      <c r="A9" s="592">
        <v>43743</v>
      </c>
      <c r="B9" s="594">
        <f>Gen!B15</f>
        <v>0.68799999999999994</v>
      </c>
      <c r="C9" s="671">
        <f>Gen!AJ15</f>
        <v>79.16</v>
      </c>
      <c r="D9" s="588">
        <f>Gen!S15</f>
        <v>2338.3599999999997</v>
      </c>
      <c r="E9" s="586">
        <f>Gen!C15</f>
        <v>37525.210000000021</v>
      </c>
      <c r="F9" s="588">
        <f>'Water-Meter'!E10</f>
        <v>114</v>
      </c>
      <c r="G9" s="590">
        <f>'Water-Meter'!AN9</f>
        <v>194</v>
      </c>
      <c r="H9" s="589">
        <f>'Utility report '!AC10</f>
        <v>86</v>
      </c>
      <c r="I9" s="585">
        <f>'Kit report'!F8</f>
        <v>540</v>
      </c>
      <c r="J9" s="586">
        <f>'Kit report'!X8</f>
        <v>1040.0000000001455</v>
      </c>
    </row>
    <row r="10" spans="1:10" ht="17.100000000000001" customHeight="1" thickBot="1">
      <c r="A10" s="592">
        <v>43744</v>
      </c>
      <c r="B10" s="594">
        <f>Gen!B16</f>
        <v>0.53200000000000003</v>
      </c>
      <c r="C10" s="671">
        <f>Gen!AJ16</f>
        <v>115.65</v>
      </c>
      <c r="D10" s="588">
        <f>Gen!S16</f>
        <v>2478.9</v>
      </c>
      <c r="E10" s="586">
        <f>Gen!C16</f>
        <v>35107.690000000024</v>
      </c>
      <c r="F10" s="588">
        <f>'Water-Meter'!E11</f>
        <v>126</v>
      </c>
      <c r="G10" s="590">
        <f>'Water-Meter'!AN10</f>
        <v>182</v>
      </c>
      <c r="H10" s="589">
        <f>'Utility report '!AC11</f>
        <v>114</v>
      </c>
      <c r="I10" s="585">
        <f>'Kit report'!F9</f>
        <v>443.99999999997817</v>
      </c>
      <c r="J10" s="586">
        <f>'Kit report'!X9</f>
        <v>1059.9999999998545</v>
      </c>
    </row>
    <row r="11" spans="1:10" ht="17.100000000000001" customHeight="1" thickBot="1">
      <c r="A11" s="592">
        <v>43745</v>
      </c>
      <c r="B11" s="594">
        <f>Gen!B17</f>
        <v>0.753</v>
      </c>
      <c r="C11" s="671">
        <f>Gen!AJ17</f>
        <v>74.81</v>
      </c>
      <c r="D11" s="588">
        <f>Gen!S17</f>
        <v>2276.44</v>
      </c>
      <c r="E11" s="586">
        <f>Gen!C17</f>
        <v>47513.140000000029</v>
      </c>
      <c r="F11" s="588">
        <f>'Water-Meter'!E12</f>
        <v>116</v>
      </c>
      <c r="G11" s="590">
        <f>'Water-Meter'!AN11</f>
        <v>189</v>
      </c>
      <c r="H11" s="589">
        <f>'Utility report '!AC12</f>
        <v>107</v>
      </c>
      <c r="I11" s="585">
        <f>'Kit report'!F10</f>
        <v>527.99999999995634</v>
      </c>
      <c r="J11" s="586">
        <f>'Kit report'!X10</f>
        <v>1120.0000000000728</v>
      </c>
    </row>
    <row r="12" spans="1:10" ht="17.100000000000001" customHeight="1" thickBot="1">
      <c r="A12" s="592">
        <v>43746</v>
      </c>
      <c r="B12" s="594">
        <f>Gen!B18</f>
        <v>0.156</v>
      </c>
      <c r="C12" s="671">
        <f>Gen!AJ18</f>
        <v>94.01</v>
      </c>
      <c r="D12" s="588">
        <f>Gen!S18</f>
        <v>2242.4</v>
      </c>
      <c r="E12" s="586">
        <f>Gen!C18</f>
        <v>45161.890000000029</v>
      </c>
      <c r="F12" s="588">
        <f>'Water-Meter'!E13</f>
        <v>120</v>
      </c>
      <c r="G12" s="590">
        <f>'Water-Meter'!AN12</f>
        <v>168</v>
      </c>
      <c r="H12" s="589">
        <f>'Utility report '!AC13</f>
        <v>52</v>
      </c>
      <c r="I12" s="585">
        <f>'Kit report'!F11</f>
        <v>492.00000000004366</v>
      </c>
      <c r="J12" s="586">
        <f>'Kit report'!X11</f>
        <v>900</v>
      </c>
    </row>
    <row r="13" spans="1:10" ht="17.100000000000001" customHeight="1" thickBot="1">
      <c r="A13" s="592">
        <v>43747</v>
      </c>
      <c r="B13" s="594">
        <f>Gen!B19</f>
        <v>0.442</v>
      </c>
      <c r="C13" s="671">
        <f>Gen!AJ19</f>
        <v>284.83</v>
      </c>
      <c r="D13" s="588">
        <f>Gen!S19</f>
        <v>2430.2700000000004</v>
      </c>
      <c r="E13" s="586">
        <f>Gen!C19</f>
        <v>42825.480000000025</v>
      </c>
      <c r="F13" s="588">
        <f>'Water-Meter'!E14</f>
        <v>107</v>
      </c>
      <c r="G13" s="590">
        <f>'Water-Meter'!AN13</f>
        <v>182</v>
      </c>
      <c r="H13" s="589">
        <f>'Utility report '!AC14</f>
        <v>33</v>
      </c>
      <c r="I13" s="585">
        <f>'Kit report'!F12</f>
        <v>527.99999999995634</v>
      </c>
      <c r="J13" s="586">
        <f>'Kit report'!X12</f>
        <v>860.00000000003638</v>
      </c>
    </row>
    <row r="14" spans="1:10" ht="17.100000000000001" customHeight="1" thickBot="1">
      <c r="A14" s="592">
        <v>43748</v>
      </c>
      <c r="B14" s="594">
        <f>Gen!B20</f>
        <v>0.32500000000000001</v>
      </c>
      <c r="C14" s="671">
        <f>Gen!AJ20</f>
        <v>106.04</v>
      </c>
      <c r="D14" s="588">
        <f>Gen!S20</f>
        <v>2463.77</v>
      </c>
      <c r="E14" s="586">
        <f>Gen!C20</f>
        <v>40110.380000000026</v>
      </c>
      <c r="F14" s="588">
        <f>'Water-Meter'!E15</f>
        <v>123</v>
      </c>
      <c r="G14" s="590">
        <f>'Water-Meter'!AN14</f>
        <v>176</v>
      </c>
      <c r="H14" s="589">
        <f>'Utility report '!AC15</f>
        <v>82</v>
      </c>
      <c r="I14" s="585">
        <f>'Kit report'!F13</f>
        <v>528.00000000006548</v>
      </c>
      <c r="J14" s="586">
        <f>'Kit report'!X13</f>
        <v>779.99999999992724</v>
      </c>
    </row>
    <row r="15" spans="1:10" ht="17.100000000000001" customHeight="1" thickBot="1">
      <c r="A15" s="592">
        <v>43749</v>
      </c>
      <c r="B15" s="594">
        <f>Gen!B21</f>
        <v>0.45500000000000002</v>
      </c>
      <c r="C15" s="671">
        <f>Gen!AJ21</f>
        <v>263.09000000000003</v>
      </c>
      <c r="D15" s="588">
        <f>Gen!S21</f>
        <v>2310.19</v>
      </c>
      <c r="E15" s="586">
        <f>Gen!C21</f>
        <v>37540.570000000029</v>
      </c>
      <c r="F15" s="588">
        <f>'Water-Meter'!E16</f>
        <v>112</v>
      </c>
      <c r="G15" s="590">
        <f>'Water-Meter'!AN15</f>
        <v>163</v>
      </c>
      <c r="H15" s="589">
        <f>'Utility report '!AC16</f>
        <v>115</v>
      </c>
      <c r="I15" s="585">
        <f>'Kit report'!F14</f>
        <v>527.99999999995634</v>
      </c>
      <c r="J15" s="586">
        <f>'Kit report'!X14</f>
        <v>900</v>
      </c>
    </row>
    <row r="16" spans="1:10" ht="17.100000000000001" customHeight="1" thickBot="1">
      <c r="A16" s="592">
        <v>43750</v>
      </c>
      <c r="B16" s="594">
        <f>Gen!B22</f>
        <v>0.41599999999999998</v>
      </c>
      <c r="C16" s="671">
        <f>Gen!AJ22</f>
        <v>309.36</v>
      </c>
      <c r="D16" s="588">
        <f>Gen!S22</f>
        <v>2429.17</v>
      </c>
      <c r="E16" s="586">
        <f>Gen!C22</f>
        <v>34967.29000000003</v>
      </c>
      <c r="F16" s="588">
        <f>'Water-Meter'!E17</f>
        <v>128</v>
      </c>
      <c r="G16" s="590">
        <f>'Water-Meter'!AN16</f>
        <v>175</v>
      </c>
      <c r="H16" s="589">
        <f>'Utility report '!AC17</f>
        <v>21</v>
      </c>
      <c r="I16" s="585">
        <f>'Kit report'!F15</f>
        <v>552.00000000004366</v>
      </c>
      <c r="J16" s="586">
        <f>'Kit report'!X15</f>
        <v>860.00000000003638</v>
      </c>
    </row>
    <row r="17" spans="1:10" ht="17.100000000000001" customHeight="1" thickBot="1">
      <c r="A17" s="592">
        <v>43751</v>
      </c>
      <c r="B17" s="594">
        <f>Gen!B23</f>
        <v>0.39</v>
      </c>
      <c r="C17" s="671">
        <f>Gen!AJ23</f>
        <v>63.78</v>
      </c>
      <c r="D17" s="588">
        <f>Gen!S23</f>
        <v>2249.5299999999997</v>
      </c>
      <c r="E17" s="586">
        <f>Gen!C23</f>
        <v>32228.760000000031</v>
      </c>
      <c r="F17" s="588">
        <f>'Water-Meter'!E18</f>
        <v>114</v>
      </c>
      <c r="G17" s="590">
        <f>'Water-Meter'!AN17</f>
        <v>165</v>
      </c>
      <c r="H17" s="589">
        <f>'Utility report '!AC18</f>
        <v>102</v>
      </c>
      <c r="I17" s="585">
        <f>'Kit report'!F16</f>
        <v>480</v>
      </c>
      <c r="J17" s="586">
        <f>'Kit report'!X16</f>
        <v>1039.9999999999636</v>
      </c>
    </row>
    <row r="18" spans="1:10" ht="17.100000000000001" customHeight="1" thickBot="1">
      <c r="A18" s="592">
        <v>43752</v>
      </c>
      <c r="B18" s="594">
        <f>Gen!B24</f>
        <v>0.63600000000000001</v>
      </c>
      <c r="C18" s="671">
        <f>Gen!AJ24</f>
        <v>246.8</v>
      </c>
      <c r="D18" s="588">
        <f>Gen!S24</f>
        <v>2424.4700000000003</v>
      </c>
      <c r="E18" s="586">
        <f>Gen!C24</f>
        <v>29915.45000000003</v>
      </c>
      <c r="F18" s="588">
        <f>'Water-Meter'!E19</f>
        <v>119</v>
      </c>
      <c r="G18" s="590">
        <f>'Water-Meter'!AN18</f>
        <v>162</v>
      </c>
      <c r="H18" s="589">
        <f>'Utility report '!AC19</f>
        <v>13</v>
      </c>
      <c r="I18" s="585">
        <f>'Kit report'!F17</f>
        <v>540</v>
      </c>
      <c r="J18" s="586">
        <f>'Kit report'!X17</f>
        <v>760.00000000003638</v>
      </c>
    </row>
    <row r="19" spans="1:10" ht="17.100000000000001" customHeight="1" thickBot="1">
      <c r="A19" s="592">
        <v>43753</v>
      </c>
      <c r="B19" s="594">
        <f>Gen!B25</f>
        <v>0.84399999999999997</v>
      </c>
      <c r="C19" s="671">
        <f>Gen!AJ25</f>
        <v>80.56</v>
      </c>
      <c r="D19" s="588">
        <f>Gen!S25</f>
        <v>2672.31</v>
      </c>
      <c r="E19" s="586">
        <f>Gen!C25</f>
        <v>42244.180000000029</v>
      </c>
      <c r="F19" s="588">
        <f>'Water-Meter'!E20</f>
        <v>128</v>
      </c>
      <c r="G19" s="590">
        <f>'Water-Meter'!AN19</f>
        <v>181</v>
      </c>
      <c r="H19" s="589">
        <f>'Utility report '!AC20</f>
        <v>48</v>
      </c>
      <c r="I19" s="585">
        <f>'Kit report'!F18</f>
        <v>515.99999999991269</v>
      </c>
      <c r="J19" s="586">
        <f>'Kit report'!X18</f>
        <v>1000</v>
      </c>
    </row>
    <row r="20" spans="1:10" ht="17.100000000000001" customHeight="1" thickBot="1">
      <c r="A20" s="592">
        <v>43754</v>
      </c>
      <c r="B20" s="594">
        <f>Gen!B26</f>
        <v>0.81799999999999995</v>
      </c>
      <c r="C20" s="671">
        <f>Gen!AJ26</f>
        <v>67.319999999999993</v>
      </c>
      <c r="D20" s="588">
        <f>Gen!S26</f>
        <v>2741.7</v>
      </c>
      <c r="E20" s="586">
        <f>Gen!C26</f>
        <v>39491.310000000027</v>
      </c>
      <c r="F20" s="588">
        <f>'Water-Meter'!E21</f>
        <v>127</v>
      </c>
      <c r="G20" s="590">
        <f>'Water-Meter'!AN20</f>
        <v>177</v>
      </c>
      <c r="H20" s="589">
        <f>'Utility report '!AC21</f>
        <v>119</v>
      </c>
      <c r="I20" s="585">
        <f>'Kit report'!F19</f>
        <v>540</v>
      </c>
      <c r="J20" s="586">
        <f>'Kit report'!X19</f>
        <v>820.00000000007276</v>
      </c>
    </row>
    <row r="21" spans="1:10" ht="15.75" thickBot="1">
      <c r="A21" s="592">
        <v>43755</v>
      </c>
      <c r="B21" s="594">
        <f>Gen!B27</f>
        <v>0.20799999999999999</v>
      </c>
      <c r="C21" s="671">
        <f>Gen!AJ27</f>
        <v>597.9</v>
      </c>
      <c r="D21" s="588">
        <f>Gen!S27</f>
        <v>2321.11</v>
      </c>
      <c r="E21" s="586">
        <f>Gen!C27</f>
        <v>36682.29000000003</v>
      </c>
      <c r="F21" s="588">
        <f>'Water-Meter'!E22</f>
        <v>122</v>
      </c>
      <c r="G21" s="590">
        <f>'Water-Meter'!AN21</f>
        <v>179</v>
      </c>
      <c r="H21" s="589">
        <f>'Utility report '!AC22</f>
        <v>70</v>
      </c>
      <c r="I21" s="585">
        <f>'Kit report'!F20</f>
        <v>576.00000000002183</v>
      </c>
      <c r="J21" s="586">
        <f>'Kit report'!X20</f>
        <v>959.99999999985448</v>
      </c>
    </row>
    <row r="22" spans="1:10" ht="15" customHeight="1" thickBot="1">
      <c r="A22" s="592">
        <v>43756</v>
      </c>
      <c r="B22" s="594">
        <f>Gen!B28</f>
        <v>0.221</v>
      </c>
      <c r="C22" s="671">
        <f>Gen!AJ28</f>
        <v>227.73000000000002</v>
      </c>
      <c r="D22" s="588">
        <f>Gen!S28</f>
        <v>2204.84</v>
      </c>
      <c r="E22" s="586">
        <f>Gen!C28</f>
        <v>33763.280000000028</v>
      </c>
      <c r="F22" s="588">
        <f>'Water-Meter'!E23</f>
        <v>105</v>
      </c>
      <c r="G22" s="590">
        <f>'Water-Meter'!AN22</f>
        <v>175</v>
      </c>
      <c r="H22" s="589">
        <f>'Utility report '!AC23</f>
        <v>109</v>
      </c>
      <c r="I22" s="585">
        <f>'Kit report'!F21</f>
        <v>468.00000000006548</v>
      </c>
      <c r="J22" s="586">
        <f>'Kit report'!X21</f>
        <v>1540.0000000001455</v>
      </c>
    </row>
    <row r="23" spans="1:10" ht="15" customHeight="1" thickBot="1">
      <c r="A23" s="592">
        <v>43757</v>
      </c>
      <c r="B23" s="594">
        <f>Gen!B29</f>
        <v>0.11700000000000001</v>
      </c>
      <c r="C23" s="671">
        <f>Gen!AJ29</f>
        <v>88.289999999999992</v>
      </c>
      <c r="D23" s="588">
        <f>Gen!S29</f>
        <v>1845.1800000000003</v>
      </c>
      <c r="E23" s="586">
        <f>Gen!C29</f>
        <v>31330.710000000028</v>
      </c>
      <c r="F23" s="588">
        <f>'Water-Meter'!E24</f>
        <v>104</v>
      </c>
      <c r="G23" s="590">
        <f>'Water-Meter'!AN23</f>
        <v>181</v>
      </c>
      <c r="H23" s="589">
        <f>'Utility report '!AC24</f>
        <v>109</v>
      </c>
      <c r="I23" s="585">
        <f>'Kit report'!F22</f>
        <v>480</v>
      </c>
      <c r="J23" s="586">
        <f>'Kit report'!X22</f>
        <v>600</v>
      </c>
    </row>
    <row r="24" spans="1:10" ht="15" customHeight="1" thickBot="1">
      <c r="A24" s="592">
        <v>43758</v>
      </c>
      <c r="B24" s="594">
        <f>Gen!B30</f>
        <v>0.57099999999999995</v>
      </c>
      <c r="C24" s="671">
        <f>Gen!AJ30</f>
        <v>183.92000000000002</v>
      </c>
      <c r="D24" s="588">
        <f>Gen!S30</f>
        <v>2797.0099999999998</v>
      </c>
      <c r="E24" s="586">
        <f>Gen!C30</f>
        <v>29397.240000000027</v>
      </c>
      <c r="F24" s="588">
        <f>'Water-Meter'!E25</f>
        <v>100</v>
      </c>
      <c r="G24" s="590">
        <f>'Water-Meter'!AN24</f>
        <v>177</v>
      </c>
      <c r="H24" s="589">
        <f>'Utility report '!AC25</f>
        <v>109</v>
      </c>
      <c r="I24" s="585">
        <f>'Kit report'!F23</f>
        <v>455.99999999991269</v>
      </c>
      <c r="J24" s="586">
        <f>'Kit report'!X23</f>
        <v>900</v>
      </c>
    </row>
    <row r="25" spans="1:10" ht="15" customHeight="1" thickBot="1">
      <c r="A25" s="592">
        <v>43759</v>
      </c>
      <c r="B25" s="594">
        <f>Gen!B31</f>
        <v>0.55800000000000005</v>
      </c>
      <c r="C25" s="671">
        <f>Gen!AJ31</f>
        <v>172.05</v>
      </c>
      <c r="D25" s="588">
        <f>Gen!S31</f>
        <v>2262.16</v>
      </c>
      <c r="E25" s="586">
        <f>Gen!C31</f>
        <v>41416.310000000027</v>
      </c>
      <c r="F25" s="588">
        <f>'Water-Meter'!E26</f>
        <v>116</v>
      </c>
      <c r="G25" s="590">
        <f>'Water-Meter'!AN25</f>
        <v>175</v>
      </c>
      <c r="H25" s="589">
        <f>'Utility report '!AC26</f>
        <v>113</v>
      </c>
      <c r="I25" s="585">
        <f>'Kit report'!F24</f>
        <v>480</v>
      </c>
      <c r="J25" s="586">
        <f>'Kit report'!X24</f>
        <v>700</v>
      </c>
    </row>
    <row r="26" spans="1:10" ht="15" customHeight="1" thickBot="1">
      <c r="A26" s="592">
        <v>43760</v>
      </c>
      <c r="B26" s="594">
        <f>Gen!B32</f>
        <v>0.40300000000000002</v>
      </c>
      <c r="C26" s="671">
        <f>Gen!AJ32</f>
        <v>18.63</v>
      </c>
      <c r="D26" s="588">
        <f>Gen!S32</f>
        <v>2286.86</v>
      </c>
      <c r="E26" s="586">
        <f>Gen!C32</f>
        <v>38982.100000000028</v>
      </c>
      <c r="F26" s="588">
        <f>'Water-Meter'!E27</f>
        <v>114</v>
      </c>
      <c r="G26" s="590">
        <f>'Water-Meter'!AN26</f>
        <v>177</v>
      </c>
      <c r="H26" s="589">
        <f>'Utility report '!AC27</f>
        <v>87</v>
      </c>
      <c r="I26" s="585">
        <f>'Kit report'!F25</f>
        <v>480</v>
      </c>
      <c r="J26" s="586">
        <f>'Kit report'!X25</f>
        <v>1000</v>
      </c>
    </row>
    <row r="27" spans="1:10" ht="15" customHeight="1" thickBot="1">
      <c r="A27" s="592">
        <v>43761</v>
      </c>
      <c r="B27" s="594">
        <f>Gen!B33</f>
        <v>0.24</v>
      </c>
      <c r="C27" s="671">
        <f>Gen!AJ33</f>
        <v>311.34000000000003</v>
      </c>
      <c r="D27" s="588">
        <f>Gen!S33</f>
        <v>2148.2999999999997</v>
      </c>
      <c r="E27" s="586">
        <f>Gen!C33</f>
        <v>36676.61000000003</v>
      </c>
      <c r="F27" s="588">
        <f>'Water-Meter'!E28</f>
        <v>113</v>
      </c>
      <c r="G27" s="590">
        <f>'Water-Meter'!AN27</f>
        <v>176</v>
      </c>
      <c r="H27" s="589">
        <f>'Utility report '!AC28</f>
        <v>60</v>
      </c>
      <c r="I27" s="585">
        <f>'Kit report'!F26</f>
        <v>540</v>
      </c>
      <c r="J27" s="586">
        <f>'Kit report'!X26</f>
        <v>800</v>
      </c>
    </row>
    <row r="28" spans="1:10" ht="15" customHeight="1" thickBot="1">
      <c r="A28" s="592">
        <v>43762</v>
      </c>
      <c r="B28" s="594">
        <v>9.0999999999999998E-2</v>
      </c>
      <c r="C28" s="671">
        <f>Gen!AJ34</f>
        <v>380.7</v>
      </c>
      <c r="D28" s="588">
        <f>Gen!S34</f>
        <v>2113.27</v>
      </c>
      <c r="E28" s="586">
        <f>Gen!C34</f>
        <v>44216.97000000003</v>
      </c>
      <c r="F28" s="588">
        <f>'Water-Meter'!E29</f>
        <v>99</v>
      </c>
      <c r="G28" s="590">
        <f>'Water-Meter'!AN28</f>
        <v>180</v>
      </c>
      <c r="H28" s="589">
        <f>'Utility report '!AC29</f>
        <v>110</v>
      </c>
      <c r="I28" s="585">
        <f>'Kit report'!F27</f>
        <v>540</v>
      </c>
      <c r="J28" s="586">
        <f>'Kit report'!X27</f>
        <v>879.99999999992724</v>
      </c>
    </row>
    <row r="29" spans="1:10" ht="15" customHeight="1" thickBot="1">
      <c r="A29" s="592">
        <v>43763</v>
      </c>
      <c r="B29" s="594">
        <f>Gen!B35</f>
        <v>0.28599999999999998</v>
      </c>
      <c r="C29" s="671">
        <f>Gen!AJ35</f>
        <v>273.37</v>
      </c>
      <c r="D29" s="588">
        <f>Gen!S35</f>
        <v>2104.5200000000004</v>
      </c>
      <c r="E29" s="586">
        <f>Gen!C35</f>
        <v>41723.000000000029</v>
      </c>
      <c r="F29" s="588">
        <f>'Water-Meter'!E30</f>
        <v>111</v>
      </c>
      <c r="G29" s="590">
        <f>'Water-Meter'!AN29</f>
        <v>176</v>
      </c>
      <c r="H29" s="589">
        <f>'Utility report '!AC30</f>
        <v>76</v>
      </c>
      <c r="I29" s="585">
        <f>'Kit report'!F28</f>
        <v>480</v>
      </c>
      <c r="J29" s="586">
        <f>'Kit report'!X28</f>
        <v>779.99999999992724</v>
      </c>
    </row>
    <row r="30" spans="1:10" ht="15" customHeight="1" thickBot="1">
      <c r="A30" s="592">
        <v>43764</v>
      </c>
      <c r="B30" s="594">
        <f>Gen!B36</f>
        <v>0.54500000000000004</v>
      </c>
      <c r="C30" s="671">
        <f>Gen!AJ36</f>
        <v>396.56</v>
      </c>
      <c r="D30" s="588">
        <f>Gen!S36</f>
        <v>2470.2400000000002</v>
      </c>
      <c r="E30" s="586">
        <f>Gen!C36</f>
        <v>39345.11000000003</v>
      </c>
      <c r="F30" s="588">
        <f>'Water-Meter'!E31</f>
        <v>130</v>
      </c>
      <c r="G30" s="590">
        <f>'Water-Meter'!AN30</f>
        <v>174</v>
      </c>
      <c r="H30" s="589">
        <f>'Utility report '!AC31</f>
        <v>116</v>
      </c>
      <c r="I30" s="585">
        <f>'Kit report'!F29</f>
        <v>504.00000000008731</v>
      </c>
      <c r="J30" s="586">
        <f>'Kit report'!X29</f>
        <v>740.00000000014552</v>
      </c>
    </row>
    <row r="31" spans="1:10" ht="15" customHeight="1" thickBot="1">
      <c r="A31" s="592">
        <v>43765</v>
      </c>
      <c r="B31" s="594">
        <f>Gen!B37</f>
        <v>0.67500000000000004</v>
      </c>
      <c r="C31" s="671">
        <f>Gen!AJ37</f>
        <v>280.63</v>
      </c>
      <c r="D31" s="588">
        <f>Gen!S37</f>
        <v>2323.7399999999998</v>
      </c>
      <c r="E31" s="586">
        <f>Gen!C37</f>
        <v>36478.310000000027</v>
      </c>
      <c r="F31" s="588">
        <f>'Water-Meter'!E32</f>
        <v>114</v>
      </c>
      <c r="G31" s="590">
        <f>'Water-Meter'!AN31</f>
        <v>177</v>
      </c>
      <c r="H31" s="589">
        <f>'Utility report '!AC32</f>
        <v>117</v>
      </c>
      <c r="I31" s="585">
        <f>'Kit report'!F30</f>
        <v>480</v>
      </c>
      <c r="J31" s="586">
        <f>'Kit report'!X30</f>
        <v>959.99999999985448</v>
      </c>
    </row>
    <row r="32" spans="1:10" ht="15" customHeight="1" thickBot="1">
      <c r="A32" s="592">
        <v>43766</v>
      </c>
      <c r="B32" s="594">
        <f>Gen!B38</f>
        <v>0.27300000000000002</v>
      </c>
      <c r="C32" s="671">
        <f>Gen!AJ38</f>
        <v>676.29</v>
      </c>
      <c r="D32" s="588">
        <f>Gen!S38</f>
        <v>2031.83</v>
      </c>
      <c r="E32" s="586">
        <f>Gen!C38</f>
        <v>44873.940000000024</v>
      </c>
      <c r="F32" s="588">
        <f>'Water-Meter'!E33</f>
        <v>111</v>
      </c>
      <c r="G32" s="590">
        <f>'Water-Meter'!AN32</f>
        <v>173</v>
      </c>
      <c r="H32" s="589">
        <f>'Utility report '!AC33</f>
        <v>118</v>
      </c>
      <c r="I32" s="585">
        <f>'Kit report'!F31</f>
        <v>527.99999999995634</v>
      </c>
      <c r="J32" s="586">
        <f>'Kit report'!X31</f>
        <v>780.00000000010914</v>
      </c>
    </row>
    <row r="33" spans="1:10" ht="15" customHeight="1" thickBot="1">
      <c r="A33" s="592">
        <v>43767</v>
      </c>
      <c r="B33" s="594">
        <f>Gen!B39</f>
        <v>0.41599999999999998</v>
      </c>
      <c r="C33" s="671">
        <f>Gen!AJ39</f>
        <v>120.7</v>
      </c>
      <c r="D33" s="588">
        <f>Gen!S39</f>
        <v>2131.37</v>
      </c>
      <c r="E33" s="586">
        <f>Gen!C39</f>
        <v>42165.820000000022</v>
      </c>
      <c r="F33" s="588">
        <f>'Water-Meter'!E34</f>
        <v>100</v>
      </c>
      <c r="G33" s="590">
        <f>'Water-Meter'!AN33</f>
        <v>175</v>
      </c>
      <c r="H33" s="589">
        <f>'Utility report '!AC34</f>
        <v>116</v>
      </c>
      <c r="I33" s="585">
        <f>'Kit report'!F32</f>
        <v>467.99999999995634</v>
      </c>
      <c r="J33" s="586">
        <f>'Kit report'!X32</f>
        <v>819.99999999989086</v>
      </c>
    </row>
    <row r="34" spans="1:10" ht="15" customHeight="1">
      <c r="A34" s="592">
        <v>43768</v>
      </c>
      <c r="B34" s="675">
        <f>Gen!B40</f>
        <v>0.42899999999999999</v>
      </c>
      <c r="C34" s="676">
        <f>Gen!AJ40</f>
        <v>25.52</v>
      </c>
      <c r="D34" s="677">
        <f>Gen!S40</f>
        <v>2033.74</v>
      </c>
      <c r="E34" s="678">
        <f>Gen!C40</f>
        <v>39913.750000000022</v>
      </c>
      <c r="F34" s="677">
        <f>'Water-Meter'!E35</f>
        <v>99</v>
      </c>
      <c r="G34" s="679">
        <f>'Water-Meter'!AN34</f>
        <v>179</v>
      </c>
      <c r="H34" s="680">
        <f>'Utility report '!AC35</f>
        <v>122</v>
      </c>
      <c r="I34" s="681">
        <f>'Kit report'!F33</f>
        <v>960</v>
      </c>
      <c r="J34" s="678">
        <f>'Kit report'!X33</f>
        <v>1880.0000000001091</v>
      </c>
    </row>
    <row r="35" spans="1:10" ht="15" customHeight="1">
      <c r="A35" s="592">
        <v>43769</v>
      </c>
      <c r="B35" s="682">
        <f>Gen!B41</f>
        <v>0.32500000000000001</v>
      </c>
      <c r="C35" s="683">
        <f>Gen!AJ41</f>
        <v>533.66</v>
      </c>
      <c r="D35" s="590">
        <f>Gen!S41</f>
        <v>2126.42</v>
      </c>
      <c r="E35" s="590">
        <f>Gen!C41</f>
        <v>37854.49000000002</v>
      </c>
      <c r="F35" s="590">
        <f>'Water-Meter'!E36</f>
        <v>111</v>
      </c>
      <c r="G35" s="590">
        <f>'Water-Meter'!AN35</f>
        <v>177</v>
      </c>
      <c r="H35" s="590">
        <f>'Utility report '!AC36</f>
        <v>45</v>
      </c>
      <c r="I35" s="590">
        <f>'Kit report'!F34</f>
        <v>516.00000000002183</v>
      </c>
      <c r="J35" s="590">
        <f>'Kit report'!X34</f>
        <v>800</v>
      </c>
    </row>
    <row r="36" spans="1:10" ht="13.5">
      <c r="A36" s="592">
        <v>43770</v>
      </c>
      <c r="B36" s="6"/>
      <c r="C36" s="6"/>
      <c r="D36" s="6"/>
      <c r="E36" s="590">
        <f>Gen!C42</f>
        <v>35194.410000000018</v>
      </c>
      <c r="F36" s="6"/>
      <c r="G36" s="6"/>
      <c r="H36" s="6"/>
      <c r="I36" s="6"/>
      <c r="J36" s="6"/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2019-11-01T14:52:14Z</dcterms:modified>
</cp:coreProperties>
</file>