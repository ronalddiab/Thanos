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0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5147" documentId="8_{5B502D95-7A37-4D5A-8B6B-374537CC2F26}" xr6:coauthVersionLast="47" xr6:coauthVersionMax="47" xr10:uidLastSave="{F5F77603-C92F-4760-B880-2CAFD5978E7A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2" l="1"/>
  <c r="N20" i="2"/>
  <c r="N21" i="2"/>
  <c r="M19" i="2"/>
  <c r="M20" i="2"/>
  <c r="M21" i="2"/>
  <c r="L20" i="2"/>
  <c r="L21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L19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5" i="2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N12" i="2"/>
  <c r="N13" i="2"/>
  <c r="N14" i="2"/>
  <c r="M12" i="2"/>
  <c r="M13" i="2"/>
  <c r="M14" i="2"/>
  <c r="L12" i="2"/>
  <c r="L13" i="2"/>
  <c r="L14" i="2"/>
  <c r="F12" i="2"/>
  <c r="F13" i="2"/>
  <c r="F14" i="2"/>
  <c r="K13" i="6"/>
  <c r="I13" i="6"/>
  <c r="G13" i="6"/>
  <c r="E13" i="6"/>
  <c r="C13" i="6"/>
  <c r="K11" i="6"/>
  <c r="K12" i="6"/>
  <c r="I11" i="6"/>
  <c r="I12" i="6"/>
  <c r="G11" i="6"/>
  <c r="G12" i="6"/>
  <c r="E11" i="6"/>
  <c r="E12" i="6"/>
  <c r="C11" i="6"/>
  <c r="C12" i="6"/>
  <c r="V10" i="2"/>
  <c r="N11" i="2"/>
  <c r="M11" i="2"/>
  <c r="L11" i="2"/>
  <c r="F11" i="2"/>
  <c r="K10" i="6"/>
  <c r="I10" i="6"/>
  <c r="G10" i="6"/>
  <c r="E10" i="6"/>
  <c r="C10" i="6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N10" i="2"/>
  <c r="M10" i="2"/>
  <c r="L10" i="2"/>
  <c r="F10" i="2"/>
  <c r="L31" i="22"/>
  <c r="K31" i="22"/>
  <c r="I31" i="22"/>
  <c r="G32" i="22"/>
  <c r="E31" i="22"/>
  <c r="B31" i="22"/>
  <c r="B32" i="22"/>
  <c r="I31" i="21"/>
  <c r="H31" i="21"/>
  <c r="G31" i="21"/>
  <c r="F31" i="21"/>
  <c r="E31" i="21"/>
  <c r="B31" i="21"/>
  <c r="B32" i="21"/>
  <c r="C31" i="4"/>
  <c r="L28" i="22"/>
  <c r="L29" i="22"/>
  <c r="L30" i="22"/>
  <c r="K28" i="22"/>
  <c r="K29" i="22"/>
  <c r="K30" i="22"/>
  <c r="G27" i="22"/>
  <c r="G28" i="22"/>
  <c r="G29" i="22"/>
  <c r="G30" i="22"/>
  <c r="X39" i="2"/>
  <c r="O39" i="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C35" i="4"/>
  <c r="I30" i="4"/>
  <c r="Q39" i="2"/>
  <c r="H39" i="2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I32" i="22" s="1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F32" i="21" s="1"/>
  <c r="I44" i="2"/>
  <c r="L44" i="2"/>
  <c r="N40" i="2"/>
  <c r="G32" i="21" s="1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G10" i="4" l="1"/>
  <c r="E10" i="4"/>
  <c r="C10" i="4"/>
  <c r="L32" i="22"/>
  <c r="I32" i="21"/>
  <c r="K32" i="22"/>
  <c r="H32" i="21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X37" i="2"/>
  <c r="Q14" i="2"/>
  <c r="O14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E32" i="21" s="1"/>
  <c r="E32" i="2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<sst xmlns="http://schemas.openxmlformats.org/spreadsheetml/2006/main" count="478" uniqueCount="185">
  <si>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</si>
  <si>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</si>
  <si>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</si>
  <si>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</si>
  <si>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</si>
  <si>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</si>
  <si>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</si>
  <si>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</si>
  <si>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</si>
  <si>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</si>
  <si>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</si>
  <si>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</si>
  <si>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</si>
  <si>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</si>
  <si>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</si>
  <si>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</si>
  <si>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</si>
  <si>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</si>
  <si>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</si>
  <si>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</si>
  <si>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</si>
  <si>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</si>
  <si>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</si>
  <si>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</si>
  <si>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</si>
  <si>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</si>
  <si>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</si>
  <si>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</si>
  <si>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</si>
  <si>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</si>
  <si>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</si>
  <si>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</si>
  <si>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</si>
  <si>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</si>
  <si>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</si>
  <si>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</si>
  <si>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</si>
  <si>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</si>
  <si>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</si>
  <si>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</si>
  <si>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</si>
  <si>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juillet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</si>
  <si>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</si>
  <si>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</si>
  <si>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</si>
  <si>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</si>
  <si>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</si>
  <si>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</si>
  <si>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</si>
  <si>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</si>
  <si>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</si>
  <si>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</si>
  <si>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</si>
  <si>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</si>
  <si>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</si>
  <si>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</si>
  <si>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</si>
  <si>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Juillet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</si>
  <si>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</si>
  <si>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</si>
  <si>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</si>
  <si>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</si>
  <si>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</si>
  <si>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</si>
  <si>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</si>
  <si>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</si>
  <si>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</si>
  <si>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</si>
  <si>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</si>
  <si>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</si>
  <si>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</si>
  <si>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</si>
  <si>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</si>
  <si>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</si>
  <si>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</si>
  <si>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</si>
  <si>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</si>
  <si>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</si>
  <si>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</si>
  <si>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</si>
  <si>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</si>
  <si>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</si>
  <si>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</si>
  <si>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</si>
  <si>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</si>
  <si>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</si>
  <si>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</si>
  <si>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Juillet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</si>
  <si>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</si>
  <si>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</si>
  <si>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</si>
  <si>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</si>
  <si>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</si>
  <si>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</si>
  <si>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</si>
  <si>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</si>
  <si>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</si>
  <si>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</si>
  <si>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</si>
  <si>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</si>
  <si>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</si>
  <si>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</si>
  <si>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</si>
  <si>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</si>
  <si>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</si>
  <si>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</si>
  <si>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</si>
  <si>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</si>
  <si>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</si>
  <si>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</si>
  <si>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</si>
  <si>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</si>
  <si>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</si>
  <si>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</si>
  <si>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</si>
  <si>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</si>
  <si>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</si>
  <si>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</si>
  <si>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</si>
  <si>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</si>
  <si>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</si>
  <si>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</si>
  <si>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</si>
  <si>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</si>
  <si>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</si>
  <si>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</si>
  <si>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</si>
  <si>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</si>
  <si>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</si>
  <si>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</si>
  <si>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</si>
  <si>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</si>
  <si>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Juillet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</si>
  <si>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</si>
  <si>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</si>
  <si>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</si>
  <si>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</si>
  <si>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</si>
  <si>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</si>
  <si>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</si>
  <si>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</si>
  <si>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</si>
  <si>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</si>
  <si>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</si>
  <si>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</si>
  <si>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</si>
  <si>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</si>
  <si>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</si>
  <si>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</si>
  <si>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</si>
  <si>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</si>
  <si>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</si>
  <si>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</si>
  <si>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</si>
  <si>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Juillet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</si>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</sst>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106.70000000001164</c:v>
                </c:pt>
                <c:pt idx="1">
                  <c:v>112.29999999998836</c:v>
                </c:pt>
                <c:pt idx="2">
                  <c:v>113.90000000000873</c:v>
                </c:pt>
                <c:pt idx="3">
                  <c:v>113.19999999999709</c:v>
                </c:pt>
                <c:pt idx="4">
                  <c:v>98</c:v>
                </c:pt>
                <c:pt idx="5">
                  <c:v>81.80000000000291</c:v>
                </c:pt>
                <c:pt idx="6">
                  <c:v>129</c:v>
                </c:pt>
                <c:pt idx="7">
                  <c:v>101.19999999999709</c:v>
                </c:pt>
                <c:pt idx="8">
                  <c:v>114.60000000000582</c:v>
                </c:pt>
                <c:pt idx="9">
                  <c:v>119.09999999999127</c:v>
                </c:pt>
                <c:pt idx="10">
                  <c:v>137.30000000000291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2905</c:v>
                </c:pt>
                <c:pt idx="1">
                  <c:v>3394</c:v>
                </c:pt>
                <c:pt idx="2">
                  <c:v>3137</c:v>
                </c:pt>
                <c:pt idx="3">
                  <c:v>3601</c:v>
                </c:pt>
                <c:pt idx="4">
                  <c:v>3388</c:v>
                </c:pt>
                <c:pt idx="5">
                  <c:v>3014</c:v>
                </c:pt>
                <c:pt idx="6">
                  <c:v>2931</c:v>
                </c:pt>
                <c:pt idx="7">
                  <c:v>3354</c:v>
                </c:pt>
                <c:pt idx="8">
                  <c:v>3227</c:v>
                </c:pt>
                <c:pt idx="9">
                  <c:v>3693</c:v>
                </c:pt>
                <c:pt idx="10">
                  <c:v>4104</c:v>
                </c:pt>
                <c:pt idx="11">
                  <c:v>4367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7908</c:v>
                </c:pt>
                <c:pt idx="1">
                  <c:v>6748</c:v>
                </c:pt>
                <c:pt idx="2">
                  <c:v>7196</c:v>
                </c:pt>
                <c:pt idx="3">
                  <c:v>7362</c:v>
                </c:pt>
                <c:pt idx="4">
                  <c:v>7632</c:v>
                </c:pt>
                <c:pt idx="5">
                  <c:v>8451</c:v>
                </c:pt>
                <c:pt idx="6">
                  <c:v>7346</c:v>
                </c:pt>
                <c:pt idx="7">
                  <c:v>7945</c:v>
                </c:pt>
                <c:pt idx="8">
                  <c:v>7523</c:v>
                </c:pt>
                <c:pt idx="9">
                  <c:v>8398</c:v>
                </c:pt>
                <c:pt idx="10">
                  <c:v>9608</c:v>
                </c:pt>
                <c:pt idx="11">
                  <c:v>10753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2680</c:v>
                </c:pt>
                <c:pt idx="1">
                  <c:v>2940</c:v>
                </c:pt>
                <c:pt idx="2">
                  <c:v>3009</c:v>
                </c:pt>
                <c:pt idx="3">
                  <c:v>2878</c:v>
                </c:pt>
                <c:pt idx="4">
                  <c:v>2677</c:v>
                </c:pt>
                <c:pt idx="5">
                  <c:v>2868</c:v>
                </c:pt>
                <c:pt idx="6">
                  <c:v>2741</c:v>
                </c:pt>
                <c:pt idx="7">
                  <c:v>2883</c:v>
                </c:pt>
                <c:pt idx="8">
                  <c:v>2978</c:v>
                </c:pt>
                <c:pt idx="9">
                  <c:v>3851</c:v>
                </c:pt>
                <c:pt idx="10">
                  <c:v>3590</c:v>
                </c:pt>
                <c:pt idx="11">
                  <c:v>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370.3</c:v>
                </c:pt>
                <c:pt idx="1">
                  <c:v>148.12</c:v>
                </c:pt>
                <c:pt idx="2">
                  <c:v>703.57</c:v>
                </c:pt>
                <c:pt idx="3">
                  <c:v>148.4</c:v>
                </c:pt>
                <c:pt idx="4">
                  <c:v>255.99368000000001</c:v>
                </c:pt>
                <c:pt idx="5">
                  <c:v>255.99368000000001</c:v>
                </c:pt>
                <c:pt idx="6">
                  <c:v>31.999210000000001</c:v>
                </c:pt>
                <c:pt idx="7">
                  <c:v>95.997630000000001</c:v>
                </c:pt>
                <c:pt idx="8">
                  <c:v>223.99447000000001</c:v>
                </c:pt>
                <c:pt idx="9">
                  <c:v>223.99447000000001</c:v>
                </c:pt>
                <c:pt idx="10">
                  <c:v>255.99368000000001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3" workbookViewId="0">
      <selection activeCell="C12" sqref="C1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2021</v>
      </c>
      <c r="E2" s="137">
        <f>submetering!E2+submetering!F2+submetering!G2</f>
        <v>13493</v>
      </c>
      <c r="F2" s="134">
        <v>1.05</v>
      </c>
      <c r="G2" s="134">
        <f>'Consommation mensuel énergie'!V10</f>
        <v>370.3</v>
      </c>
      <c r="H2" s="134">
        <v>8.6999999999999993</v>
      </c>
      <c r="I2" s="134">
        <f>'Consommation mensuel énergie'!F10</f>
        <v>106.70000000001164</v>
      </c>
      <c r="J2" s="134">
        <v>11.4</v>
      </c>
      <c r="K2" s="137">
        <f>'Consommation mensuel énergie'!D10</f>
        <v>60</v>
      </c>
      <c r="L2" s="137">
        <f>'Consommation mensuel énergie'!E10</f>
        <v>88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submetering!E3+submetering!F3+submetering!G3</f>
        <v>12819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112.29999999998836</v>
      </c>
      <c r="J3" s="134">
        <v>11.4</v>
      </c>
      <c r="K3" s="137">
        <f>'Consommation mensuel énergie'!D11</f>
        <v>62</v>
      </c>
      <c r="L3" s="137">
        <f>'Consommation mensuel énergie'!E11</f>
        <v>103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submetering!E4+submetering!F4+submetering!G4</f>
        <v>13342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113.90000000000873</v>
      </c>
      <c r="J4" s="134">
        <v>11.4</v>
      </c>
      <c r="K4" s="137">
        <f>'Consommation mensuel énergie'!D12</f>
        <v>68</v>
      </c>
      <c r="L4" s="137">
        <f>'Consommation mensuel énergie'!E12</f>
        <v>118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submetering!E5+submetering!F5+submetering!G5</f>
        <v>13841</v>
      </c>
      <c r="F5" s="134">
        <v>1.05</v>
      </c>
      <c r="G5" s="134">
        <f>'Consommation mensuel énergie'!V13</f>
        <v>148.4</v>
      </c>
      <c r="H5" s="134">
        <v>8.6999999999999993</v>
      </c>
      <c r="I5" s="134">
        <f>'Consommation mensuel énergie'!F13</f>
        <v>113.19999999999709</v>
      </c>
      <c r="J5" s="134">
        <v>11.4</v>
      </c>
      <c r="K5" s="137">
        <f>'Consommation mensuel énergie'!D13</f>
        <v>59</v>
      </c>
      <c r="L5" s="137">
        <f>'Consommation mensuel énergie'!E13</f>
        <v>86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submetering!E6+submetering!F6+submetering!G6</f>
        <v>13697</v>
      </c>
      <c r="F6" s="134">
        <v>1.05</v>
      </c>
      <c r="G6" s="134">
        <f>'Consommation mensuel énergie'!V14</f>
        <v>255.99368000000001</v>
      </c>
      <c r="H6" s="134">
        <v>8.6999999999999993</v>
      </c>
      <c r="I6" s="134">
        <f>'Consommation mensuel énergie'!F14</f>
        <v>98</v>
      </c>
      <c r="J6" s="134">
        <v>11.4</v>
      </c>
      <c r="K6" s="137">
        <f>'Consommation mensuel énergie'!D14</f>
        <v>59</v>
      </c>
      <c r="L6" s="137">
        <f>'Consommation mensuel énergie'!E14</f>
        <v>96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submetering!E7+submetering!F7+submetering!G7</f>
        <v>14333</v>
      </c>
      <c r="F7" s="134">
        <v>1.05</v>
      </c>
      <c r="G7" s="134">
        <f>'Consommation mensuel énergie'!V15</f>
        <v>255.99368000000001</v>
      </c>
      <c r="H7" s="134">
        <v>8.6999999999999993</v>
      </c>
      <c r="I7" s="134">
        <f>'Consommation mensuel énergie'!F15</f>
        <v>81.80000000000291</v>
      </c>
      <c r="J7" s="134">
        <v>11.4</v>
      </c>
      <c r="K7" s="137">
        <f>'Consommation mensuel énergie'!D15</f>
        <v>65</v>
      </c>
      <c r="L7" s="137">
        <f>'Consommation mensuel énergie'!E15</f>
        <v>108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submetering!E8+submetering!F8+submetering!G8</f>
        <v>13018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129</v>
      </c>
      <c r="J8" s="134">
        <v>11.4</v>
      </c>
      <c r="K8" s="137">
        <f>'Consommation mensuel énergie'!D16</f>
        <v>79</v>
      </c>
      <c r="L8" s="137">
        <f>'Consommation mensuel énergie'!E16</f>
        <v>121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submetering!E9+submetering!F9+submetering!G9</f>
        <v>14182</v>
      </c>
      <c r="F9" s="134">
        <v>1.05</v>
      </c>
      <c r="G9" s="134">
        <f>'Consommation mensuel énergie'!V17</f>
        <v>95.997630000000001</v>
      </c>
      <c r="H9" s="134">
        <v>8.6999999999999993</v>
      </c>
      <c r="I9" s="134">
        <f>'Consommation mensuel énergie'!F17</f>
        <v>101.19999999999709</v>
      </c>
      <c r="J9" s="134">
        <v>11.4</v>
      </c>
      <c r="K9" s="137">
        <f>'Consommation mensuel énergie'!D17</f>
        <v>93</v>
      </c>
      <c r="L9" s="137">
        <f>'Consommation mensuel énergie'!E17</f>
        <v>156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submetering!E10+submetering!F10+submetering!G10</f>
        <v>13728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114.60000000000582</v>
      </c>
      <c r="J10" s="134">
        <v>11.4</v>
      </c>
      <c r="K10" s="137">
        <f>'Consommation mensuel énergie'!D18</f>
        <v>99</v>
      </c>
      <c r="L10" s="137">
        <f>'Consommation mensuel énergie'!E18</f>
        <v>183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submetering!E11+submetering!F11+submetering!G11</f>
        <v>15942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119.09999999999127</v>
      </c>
      <c r="J11" s="134">
        <v>11.4</v>
      </c>
      <c r="K11" s="137">
        <f>'Consommation mensuel énergie'!D19</f>
        <v>98</v>
      </c>
      <c r="L11" s="137">
        <f>'Consommation mensuel énergie'!E19</f>
        <v>183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submetering!E12+submetering!F12+submetering!G12</f>
        <v>17302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137.30000000000291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156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submetering!E13+submetering!F13+submetering!G13</f>
        <v>19614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104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énergie'!V40</f>
        <v>2010.3742000000004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submetering!E32+submetering!F32+submetering!G32</f>
        <v>175574</v>
      </c>
      <c r="F32" s="134">
        <v>1.05</v>
      </c>
      <c r="G32" s="134">
        <f>'Consommation mensuel énergie'!V41</f>
        <v>0</v>
      </c>
      <c r="H32" s="134">
        <v>8.6999999999999993</v>
      </c>
      <c r="I32" s="134">
        <f>'Consommation mensuel énergie'!F40</f>
        <v>1331.1000000000058</v>
      </c>
      <c r="J32" s="134">
        <v>11.4</v>
      </c>
      <c r="K32" s="137">
        <f>'Consommation mensuel énergie'!D40</f>
        <v>835</v>
      </c>
      <c r="L32" s="137">
        <f>'Consommation mensuel énergie'!E40</f>
        <v>1398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  <row r="41" spans="1:13">
      <c r="A41" s="166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2021</v>
      </c>
      <c r="E2" s="137">
        <f>'Consommation mensuel énergie'!L10</f>
        <v>2905</v>
      </c>
      <c r="F2" s="137">
        <f>'Consommation mensuel énergie'!M10</f>
        <v>7908</v>
      </c>
      <c r="G2" s="137">
        <f>'Consommation mensuel énergie'!N10</f>
        <v>2680</v>
      </c>
      <c r="H2" s="137">
        <f>'Consommation mensuel énergie'!D10</f>
        <v>60</v>
      </c>
      <c r="I2" s="137">
        <f>'Consommation mensuel énergie'!E10</f>
        <v>88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'Consommation mensuel énergie'!L11</f>
        <v>3394</v>
      </c>
      <c r="F3" s="137">
        <f>'Consommation mensuel énergie'!M11</f>
        <v>6748</v>
      </c>
      <c r="G3" s="137">
        <f>'Consommation mensuel énergie'!N14</f>
        <v>2677</v>
      </c>
      <c r="H3" s="137">
        <f>'Consommation mensuel énergie'!D11</f>
        <v>62</v>
      </c>
      <c r="I3" s="137">
        <f>'Consommation mensuel énergie'!E11</f>
        <v>103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'Consommation mensuel énergie'!L12</f>
        <v>3137</v>
      </c>
      <c r="F4" s="137">
        <f>'Consommation mensuel énergie'!M12</f>
        <v>7196</v>
      </c>
      <c r="G4" s="137">
        <f>'Consommation mensuel énergie'!N12</f>
        <v>3009</v>
      </c>
      <c r="H4" s="137">
        <f>'Consommation mensuel énergie'!D12</f>
        <v>68</v>
      </c>
      <c r="I4" s="137">
        <f>'Consommation mensuel énergie'!E12</f>
        <v>118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'Consommation mensuel énergie'!L13</f>
        <v>3601</v>
      </c>
      <c r="F5" s="137">
        <f>'Consommation mensuel énergie'!M13</f>
        <v>7362</v>
      </c>
      <c r="G5" s="137">
        <f>'Consommation mensuel énergie'!N13</f>
        <v>2878</v>
      </c>
      <c r="H5" s="137">
        <f>'Consommation mensuel énergie'!D13</f>
        <v>59</v>
      </c>
      <c r="I5" s="137">
        <f>'Consommation mensuel énergie'!E13</f>
        <v>86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'Consommation mensuel énergie'!L14</f>
        <v>3388</v>
      </c>
      <c r="F6" s="137">
        <f>'Consommation mensuel énergie'!M14</f>
        <v>7632</v>
      </c>
      <c r="G6" s="137">
        <f>'Consommation mensuel énergie'!N14</f>
        <v>2677</v>
      </c>
      <c r="H6" s="137">
        <f>'Consommation mensuel énergie'!D14</f>
        <v>59</v>
      </c>
      <c r="I6" s="137">
        <f>'Consommation mensuel énergie'!E14</f>
        <v>96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'Consommation mensuel énergie'!L15</f>
        <v>3014</v>
      </c>
      <c r="F7" s="137">
        <f>'Consommation mensuel énergie'!M15</f>
        <v>8451</v>
      </c>
      <c r="G7" s="137">
        <f>'Consommation mensuel énergie'!N15</f>
        <v>2868</v>
      </c>
      <c r="H7" s="137">
        <f>'Consommation mensuel énergie'!D15</f>
        <v>65</v>
      </c>
      <c r="I7" s="137">
        <f>'Consommation mensuel énergie'!E15</f>
        <v>108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'Consommation mensuel énergie'!L16</f>
        <v>2931</v>
      </c>
      <c r="F8" s="137">
        <f>'Consommation mensuel énergie'!M16</f>
        <v>7346</v>
      </c>
      <c r="G8" s="137">
        <f>'Consommation mensuel énergie'!N16</f>
        <v>2741</v>
      </c>
      <c r="H8" s="137">
        <f>'Consommation mensuel énergie'!D16</f>
        <v>79</v>
      </c>
      <c r="I8" s="137">
        <f>'Consommation mensuel énergie'!E16</f>
        <v>121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'Consommation mensuel énergie'!L17</f>
        <v>3354</v>
      </c>
      <c r="F9" s="137">
        <f>'Consommation mensuel énergie'!M17</f>
        <v>7945</v>
      </c>
      <c r="G9" s="137">
        <f>'Consommation mensuel énergie'!N17</f>
        <v>2883</v>
      </c>
      <c r="H9" s="137">
        <f>'Consommation mensuel énergie'!D17</f>
        <v>93</v>
      </c>
      <c r="I9" s="137">
        <f>'Consommation mensuel énergie'!E17</f>
        <v>156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'Consommation mensuel énergie'!L18</f>
        <v>3227</v>
      </c>
      <c r="F10" s="137">
        <f>'Consommation mensuel énergie'!M18</f>
        <v>7523</v>
      </c>
      <c r="G10" s="137">
        <f>'Consommation mensuel énergie'!N18</f>
        <v>2978</v>
      </c>
      <c r="H10" s="137">
        <f>'Consommation mensuel énergie'!D18</f>
        <v>99</v>
      </c>
      <c r="I10" s="137">
        <f>'Consommation mensuel énergie'!E18</f>
        <v>183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'Consommation mensuel énergie'!L19</f>
        <v>3693</v>
      </c>
      <c r="F11" s="137">
        <f>'Consommation mensuel énergie'!M19</f>
        <v>8398</v>
      </c>
      <c r="G11" s="137">
        <f>'Consommation mensuel énergie'!N19</f>
        <v>3851</v>
      </c>
      <c r="H11" s="137">
        <f>'Consommation mensuel énergie'!D19</f>
        <v>98</v>
      </c>
      <c r="I11" s="137">
        <f>'Consommation mensuel énergie'!E19</f>
        <v>183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'Consommation mensuel énergie'!L20</f>
        <v>4104</v>
      </c>
      <c r="F12" s="137">
        <f>'Consommation mensuel énergie'!M20</f>
        <v>9608</v>
      </c>
      <c r="G12" s="137">
        <f>'Consommation mensuel énergie'!N20</f>
        <v>3590</v>
      </c>
      <c r="H12" s="137">
        <f>'Consommation mensuel énergie'!D20</f>
        <v>93</v>
      </c>
      <c r="I12" s="137">
        <f>'Consommation mensuel énergie'!E20</f>
        <v>156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'Consommation mensuel énergie'!L21</f>
        <v>4367</v>
      </c>
      <c r="F13" s="137">
        <f>'Consommation mensuel énergie'!M21</f>
        <v>10753</v>
      </c>
      <c r="G13" s="137">
        <f>'Consommation mensuel énergie'!N21</f>
        <v>4494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'Consommation mensuel énergie'!L40</f>
        <v>41115</v>
      </c>
      <c r="F32" s="137">
        <f>'Consommation mensuel énergie'!M40</f>
        <v>96870</v>
      </c>
      <c r="G32" s="137">
        <f>'Consommation mensuel énergie'!N40</f>
        <v>37589</v>
      </c>
      <c r="H32" s="137">
        <f>'Consommation mensuel énergie'!D40</f>
        <v>835</v>
      </c>
      <c r="I32" s="137">
        <f>'Consommation mensuel énergie'!E40</f>
        <v>1398</v>
      </c>
      <c r="J32" s="133"/>
    </row>
    <row r="33" spans="1:9">
      <c r="A33" s="166"/>
      <c r="E33" s="134"/>
      <c r="F33" s="134"/>
      <c r="G33" s="134"/>
      <c r="H33" s="133"/>
      <c r="I33" s="133"/>
    </row>
    <row r="34" spans="1:9">
      <c r="A34" s="166"/>
      <c r="E34" s="134"/>
      <c r="F34" s="134"/>
      <c r="G34" s="134"/>
      <c r="H34" s="133"/>
      <c r="I34" s="133"/>
    </row>
    <row r="35" spans="1:9">
      <c r="A35" s="166"/>
      <c r="E35" s="134"/>
      <c r="F35" s="134"/>
      <c r="G35" s="134"/>
      <c r="H35" s="133"/>
      <c r="I35" s="133"/>
    </row>
    <row r="36" spans="1:9">
      <c r="A36" s="166"/>
      <c r="E36" s="134"/>
      <c r="F36" s="134"/>
      <c r="G36" s="134"/>
      <c r="H36" s="133"/>
      <c r="I36" s="133"/>
    </row>
    <row r="37" spans="1:9">
      <c r="A37" s="166"/>
      <c r="E37" s="134"/>
      <c r="F37" s="134"/>
      <c r="G37" s="134"/>
      <c r="H37" s="133"/>
      <c r="I37" s="133"/>
    </row>
    <row r="38" spans="1:9">
      <c r="A38" s="166"/>
      <c r="E38" s="134"/>
      <c r="F38" s="134"/>
      <c r="G38" s="134"/>
      <c r="H38" s="133"/>
      <c r="I38" s="133"/>
    </row>
    <row r="39" spans="1:9">
      <c r="A39" s="166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6" activePane="bottomRight" state="frozen"/>
      <selection pane="bottomRight" activeCell="D21" sqref="D2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</row>
    <row r="2" spans="1:24" ht="100.5" customHeight="1" thickBot="1">
      <c r="A2" s="181"/>
      <c r="B2" s="182"/>
      <c r="C2" s="182"/>
      <c r="D2" s="182"/>
      <c r="E2" s="182"/>
      <c r="F2" s="182"/>
      <c r="G2" s="182"/>
      <c r="H2" s="183"/>
      <c r="I2" s="192" t="s">
        <v>17</v>
      </c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</row>
    <row r="3" spans="1:24" ht="15" hidden="1" customHeight="1" thickBo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</row>
    <row r="4" spans="1:24" ht="39" hidden="1" customHeight="1" thickBot="1">
      <c r="A4" s="184"/>
      <c r="B4" s="184"/>
      <c r="C4" s="184"/>
      <c r="D4" s="165"/>
      <c r="E4" s="165"/>
      <c r="F4" s="165"/>
      <c r="G4" s="165"/>
      <c r="H4" s="165"/>
      <c r="I4" s="165"/>
      <c r="J4" s="165"/>
      <c r="K4" s="165"/>
      <c r="L4" s="16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4"/>
      <c r="B5" s="184"/>
      <c r="C5" s="184"/>
      <c r="D5" s="165"/>
      <c r="E5" s="165"/>
      <c r="F5" s="165"/>
      <c r="G5" s="165"/>
      <c r="H5" s="165"/>
      <c r="I5" s="165"/>
      <c r="J5" s="165"/>
      <c r="K5" s="165"/>
      <c r="L5" s="16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</row>
    <row r="6" spans="1:24" s="5" customFormat="1" ht="44.25" hidden="1" customHeight="1" thickBot="1">
      <c r="A6" s="3"/>
      <c r="B6" s="3"/>
      <c r="C6" s="3"/>
      <c r="D6" s="165"/>
      <c r="E6" s="165"/>
      <c r="F6" s="165"/>
      <c r="G6" s="165"/>
      <c r="H6" s="165"/>
      <c r="I6" s="165"/>
      <c r="J6" s="165"/>
      <c r="K6" s="165"/>
      <c r="L6" s="16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</row>
    <row r="7" spans="1:24" s="5" customFormat="1" ht="18.75" hidden="1" customHeight="1" thickBot="1">
      <c r="A7" s="165"/>
      <c r="B7" s="165"/>
      <c r="C7" s="165"/>
      <c r="D7" s="165"/>
      <c r="E7" s="165"/>
      <c r="F7" s="185"/>
      <c r="G7" s="185"/>
      <c r="H7" s="185"/>
      <c r="I7" s="185"/>
      <c r="J7" s="185"/>
      <c r="K7" s="185"/>
      <c r="L7" s="185"/>
      <c r="M7" s="185"/>
      <c r="N7" s="194"/>
      <c r="O7" s="194"/>
      <c r="P7" s="185"/>
      <c r="Q7" s="185"/>
      <c r="R7" s="185"/>
      <c r="S7" s="185"/>
      <c r="T7" s="185"/>
      <c r="U7" s="185"/>
      <c r="V7" s="185"/>
      <c r="W7" s="185"/>
      <c r="X7" s="185"/>
    </row>
    <row r="8" spans="1:24" ht="18.75" customHeight="1" thickBot="1">
      <c r="A8" s="185"/>
      <c r="B8" s="196" t="s">
        <v>19</v>
      </c>
      <c r="C8" s="4"/>
      <c r="D8" s="197" t="s">
        <v>20</v>
      </c>
      <c r="E8" s="197" t="s">
        <v>21</v>
      </c>
      <c r="F8" s="179" t="s">
        <v>22</v>
      </c>
      <c r="G8" s="2"/>
      <c r="H8" s="186" t="s">
        <v>23</v>
      </c>
      <c r="I8" s="187"/>
      <c r="J8" s="188"/>
      <c r="K8" s="174" t="s">
        <v>24</v>
      </c>
      <c r="L8" s="178" t="s">
        <v>25</v>
      </c>
      <c r="M8" s="178"/>
      <c r="N8" s="178"/>
      <c r="O8" s="178" t="s">
        <v>26</v>
      </c>
      <c r="P8" s="2"/>
      <c r="Q8" s="176" t="s">
        <v>23</v>
      </c>
      <c r="R8" s="2"/>
      <c r="S8" s="176" t="s">
        <v>27</v>
      </c>
      <c r="T8" s="2"/>
      <c r="U8" s="176" t="s">
        <v>28</v>
      </c>
      <c r="V8" s="199" t="s">
        <v>29</v>
      </c>
      <c r="W8" s="2"/>
      <c r="X8" s="176" t="s">
        <v>23</v>
      </c>
    </row>
    <row r="9" spans="1:24" ht="59.25" customHeight="1" thickBot="1">
      <c r="A9" s="185"/>
      <c r="B9" s="196"/>
      <c r="C9" s="4"/>
      <c r="D9" s="198"/>
      <c r="E9" s="198"/>
      <c r="F9" s="180"/>
      <c r="G9" s="2"/>
      <c r="H9" s="189"/>
      <c r="I9" s="190"/>
      <c r="J9" s="191"/>
      <c r="K9" s="175"/>
      <c r="L9" s="164" t="s">
        <v>30</v>
      </c>
      <c r="M9" s="164" t="s">
        <v>31</v>
      </c>
      <c r="N9" s="164" t="s">
        <v>32</v>
      </c>
      <c r="O9" s="195"/>
      <c r="P9" s="2"/>
      <c r="Q9" s="177"/>
      <c r="R9" s="2"/>
      <c r="S9" s="177"/>
      <c r="T9" s="2"/>
      <c r="U9" s="177"/>
      <c r="V9" s="200"/>
      <c r="W9" s="2"/>
      <c r="X9" s="177"/>
    </row>
    <row r="10" spans="1:24" ht="32.25" customHeight="1">
      <c r="A10" s="2"/>
      <c r="B10" s="6">
        <v>44378</v>
      </c>
      <c r="C10" s="7"/>
      <c r="D10" s="143">
        <v>60</v>
      </c>
      <c r="E10" s="143">
        <v>88</v>
      </c>
      <c r="F10" s="13">
        <f>'Suivi EAU-ELEC'!E9</f>
        <v>106.70000000001164</v>
      </c>
      <c r="G10" s="11"/>
      <c r="H10" s="170">
        <f>F10*8.79</f>
        <v>937.89300000010223</v>
      </c>
      <c r="I10" s="171"/>
      <c r="J10" s="171"/>
      <c r="K10" s="60">
        <v>42278</v>
      </c>
      <c r="L10" s="90">
        <f>'Suivi EAU-ELEC'!G9</f>
        <v>2905</v>
      </c>
      <c r="M10" s="91">
        <f>'Suivi EAU-ELEC'!I9</f>
        <v>7908</v>
      </c>
      <c r="N10" s="91">
        <f>'Suivi EAU-ELEC'!K9</f>
        <v>2680</v>
      </c>
      <c r="O10" s="91">
        <f>L10+M10+N10</f>
        <v>13493</v>
      </c>
      <c r="P10" s="11"/>
      <c r="Q10" s="34">
        <f>L10*0.6985+M10*0.9514+N10*1.3304</f>
        <v>13118.285699999999</v>
      </c>
      <c r="R10" s="11"/>
      <c r="S10" s="28"/>
      <c r="T10" s="11"/>
      <c r="U10" s="28"/>
      <c r="V10" s="147">
        <f>'Suvi Gaz'!O4</f>
        <v>370.3</v>
      </c>
      <c r="W10" s="11"/>
      <c r="X10" s="34">
        <f>V10*9.8209</f>
        <v>3636.6792700000001</v>
      </c>
    </row>
    <row r="11" spans="1:24" ht="32.25" customHeight="1">
      <c r="A11" s="2"/>
      <c r="B11" s="6">
        <v>44379</v>
      </c>
      <c r="C11" s="7"/>
      <c r="D11" s="143">
        <v>62</v>
      </c>
      <c r="E11" s="143">
        <v>103</v>
      </c>
      <c r="F11" s="13">
        <f>'Suivi EAU-ELEC'!E10</f>
        <v>112.29999999998836</v>
      </c>
      <c r="G11" s="11"/>
      <c r="H11" s="170">
        <f t="shared" ref="H11:H21" si="0">F11*8.79</f>
        <v>987.11699999989753</v>
      </c>
      <c r="I11" s="171"/>
      <c r="J11" s="171"/>
      <c r="K11" s="60">
        <v>42279</v>
      </c>
      <c r="L11" s="90">
        <f>'Suivi EAU-ELEC'!G10</f>
        <v>3394</v>
      </c>
      <c r="M11" s="91">
        <f>'Suivi EAU-ELEC'!I10</f>
        <v>6748</v>
      </c>
      <c r="N11" s="91">
        <f>'Suivi EAU-ELEC'!K10</f>
        <v>2940</v>
      </c>
      <c r="O11" s="91">
        <f>L11+M11+N11</f>
        <v>13082</v>
      </c>
      <c r="P11" s="11"/>
      <c r="Q11" s="34">
        <f>L11*0.6985+M11*0.9514+N14*1.3304</f>
        <v>12352.237000000001</v>
      </c>
      <c r="R11" s="11"/>
      <c r="S11" s="28"/>
      <c r="T11" s="11"/>
      <c r="U11" s="28"/>
      <c r="V11" s="147">
        <f>'Suvi Gaz'!O5</f>
        <v>148.12</v>
      </c>
      <c r="W11" s="11"/>
      <c r="X11" s="34">
        <f t="shared" ref="X11:X39" si="1">V11*9.8209</f>
        <v>1454.6717080000001</v>
      </c>
    </row>
    <row r="12" spans="1:24" ht="32.25" customHeight="1">
      <c r="A12" s="2"/>
      <c r="B12" s="6">
        <v>44380</v>
      </c>
      <c r="C12" s="7"/>
      <c r="D12" s="143">
        <v>68</v>
      </c>
      <c r="E12" s="143">
        <v>118</v>
      </c>
      <c r="F12" s="13">
        <f>'Suivi EAU-ELEC'!E11</f>
        <v>113.90000000000873</v>
      </c>
      <c r="G12" s="11"/>
      <c r="H12" s="170">
        <f t="shared" si="0"/>
        <v>1001.1810000000767</v>
      </c>
      <c r="I12" s="171"/>
      <c r="J12" s="171"/>
      <c r="K12" s="60">
        <v>42280</v>
      </c>
      <c r="L12" s="90">
        <f>'Suivi EAU-ELEC'!G11</f>
        <v>3137</v>
      </c>
      <c r="M12" s="91">
        <f>'Suivi EAU-ELEC'!I11</f>
        <v>7196</v>
      </c>
      <c r="N12" s="91">
        <f>'Suivi EAU-ELEC'!K11</f>
        <v>3009</v>
      </c>
      <c r="O12" s="91">
        <f>L12+M12+N12</f>
        <v>13342</v>
      </c>
      <c r="P12" s="11"/>
      <c r="Q12" s="34">
        <f>L12*0.6985+M12*0.9514+N12*1.3304</f>
        <v>13040.6425</v>
      </c>
      <c r="R12" s="11"/>
      <c r="S12" s="28"/>
      <c r="T12" s="11"/>
      <c r="U12" s="28"/>
      <c r="V12" s="147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44381</v>
      </c>
      <c r="C13" s="7"/>
      <c r="D13" s="143">
        <v>59</v>
      </c>
      <c r="E13" s="143">
        <v>86</v>
      </c>
      <c r="F13" s="13">
        <f>'Suivi EAU-ELEC'!E12</f>
        <v>113.19999999999709</v>
      </c>
      <c r="G13" s="11"/>
      <c r="H13" s="170">
        <f t="shared" si="0"/>
        <v>995.02799999997433</v>
      </c>
      <c r="I13" s="171"/>
      <c r="J13" s="171"/>
      <c r="K13" s="60">
        <v>42281</v>
      </c>
      <c r="L13" s="90">
        <f>'Suivi EAU-ELEC'!G12</f>
        <v>3601</v>
      </c>
      <c r="M13" s="91">
        <f>'Suivi EAU-ELEC'!I12</f>
        <v>7362</v>
      </c>
      <c r="N13" s="91">
        <f>'Suivi EAU-ELEC'!K12</f>
        <v>2878</v>
      </c>
      <c r="O13" s="91">
        <f t="shared" ref="O13:O39" si="2">L13+M13+N13</f>
        <v>13841</v>
      </c>
      <c r="P13" s="11"/>
      <c r="Q13" s="34">
        <f t="shared" ref="Q13:Q39" si="3">L13*0.6985+M13*0.9514+N13*1.3304</f>
        <v>13348.396500000001</v>
      </c>
      <c r="R13" s="11"/>
      <c r="S13" s="28"/>
      <c r="T13" s="11"/>
      <c r="U13" s="28"/>
      <c r="V13" s="147">
        <f>'Suvi Gaz'!O7</f>
        <v>148.4</v>
      </c>
      <c r="W13" s="11"/>
      <c r="X13" s="34">
        <f t="shared" si="1"/>
        <v>1457.42156</v>
      </c>
    </row>
    <row r="14" spans="1:24" ht="32.25" customHeight="1">
      <c r="A14" s="2"/>
      <c r="B14" s="6">
        <v>44382</v>
      </c>
      <c r="C14" s="7"/>
      <c r="D14" s="143">
        <v>59</v>
      </c>
      <c r="E14" s="143">
        <v>96</v>
      </c>
      <c r="F14" s="13">
        <f>'Suivi EAU-ELEC'!E13</f>
        <v>98</v>
      </c>
      <c r="G14" s="12"/>
      <c r="H14" s="170">
        <f t="shared" si="0"/>
        <v>861.42</v>
      </c>
      <c r="I14" s="171"/>
      <c r="J14" s="171"/>
      <c r="K14" s="60">
        <v>42282</v>
      </c>
      <c r="L14" s="90">
        <f>'Suivi EAU-ELEC'!G13</f>
        <v>3388</v>
      </c>
      <c r="M14" s="91">
        <f>'Suivi EAU-ELEC'!I13</f>
        <v>7632</v>
      </c>
      <c r="N14" s="91">
        <f>'Suivi EAU-ELEC'!K13</f>
        <v>2677</v>
      </c>
      <c r="O14" s="91">
        <f t="shared" si="2"/>
        <v>13697</v>
      </c>
      <c r="P14" s="12"/>
      <c r="Q14" s="34">
        <f t="shared" si="3"/>
        <v>13189.083600000002</v>
      </c>
      <c r="R14" s="12"/>
      <c r="S14" s="28"/>
      <c r="T14" s="12"/>
      <c r="U14" s="28"/>
      <c r="V14" s="147">
        <f>'Suvi Gaz'!O8</f>
        <v>255.99368000000001</v>
      </c>
      <c r="W14" s="11"/>
      <c r="X14" s="34">
        <f t="shared" si="1"/>
        <v>2514.0883319120003</v>
      </c>
    </row>
    <row r="15" spans="1:24" ht="32.25" customHeight="1">
      <c r="A15" s="165"/>
      <c r="B15" s="6">
        <v>44383</v>
      </c>
      <c r="C15" s="7"/>
      <c r="D15" s="143">
        <v>65</v>
      </c>
      <c r="E15" s="143">
        <v>108</v>
      </c>
      <c r="F15" s="13">
        <f>'Suivi EAU-ELEC'!E14</f>
        <v>81.80000000000291</v>
      </c>
      <c r="G15" s="11"/>
      <c r="H15" s="170">
        <f t="shared" si="0"/>
        <v>719.02200000002551</v>
      </c>
      <c r="I15" s="171"/>
      <c r="J15" s="171"/>
      <c r="K15" s="60">
        <v>42283</v>
      </c>
      <c r="L15" s="90">
        <f>'Suivi EAU-ELEC'!G14</f>
        <v>3014</v>
      </c>
      <c r="M15" s="91">
        <f>'Suivi EAU-ELEC'!I14</f>
        <v>8451</v>
      </c>
      <c r="N15" s="91">
        <f>'Suivi EAU-ELEC'!K14</f>
        <v>2868</v>
      </c>
      <c r="O15" s="91">
        <f t="shared" si="2"/>
        <v>14333</v>
      </c>
      <c r="P15" s="12"/>
      <c r="Q15" s="34">
        <f>L15*0.6985+M15*0.9514+N15*1.3304</f>
        <v>13961.1476</v>
      </c>
      <c r="R15" s="12"/>
      <c r="S15" s="28"/>
      <c r="T15" s="12"/>
      <c r="U15" s="28"/>
      <c r="V15" s="147">
        <f>'Suvi Gaz'!O9</f>
        <v>255.99368000000001</v>
      </c>
      <c r="W15" s="11"/>
      <c r="X15" s="34">
        <f t="shared" si="1"/>
        <v>2514.0883319120003</v>
      </c>
    </row>
    <row r="16" spans="1:24" ht="32.25" customHeight="1">
      <c r="A16" s="165"/>
      <c r="B16" s="6">
        <v>44384</v>
      </c>
      <c r="C16" s="7"/>
      <c r="D16" s="143">
        <v>79</v>
      </c>
      <c r="E16" s="143">
        <v>121</v>
      </c>
      <c r="F16" s="13">
        <f>'Suivi EAU-ELEC'!E15</f>
        <v>129</v>
      </c>
      <c r="G16" s="11"/>
      <c r="H16" s="170">
        <f t="shared" si="0"/>
        <v>1133.9099999999999</v>
      </c>
      <c r="I16" s="171"/>
      <c r="J16" s="171"/>
      <c r="K16" s="60">
        <v>42284</v>
      </c>
      <c r="L16" s="90">
        <f>'Suivi EAU-ELEC'!G15</f>
        <v>2931</v>
      </c>
      <c r="M16" s="91">
        <f>'Suivi EAU-ELEC'!I15</f>
        <v>7346</v>
      </c>
      <c r="N16" s="91">
        <f>'Suivi EAU-ELEC'!K15</f>
        <v>2741</v>
      </c>
      <c r="O16" s="91">
        <f t="shared" si="2"/>
        <v>13018</v>
      </c>
      <c r="P16" s="11"/>
      <c r="Q16" s="34">
        <f t="shared" si="3"/>
        <v>12682.9143</v>
      </c>
      <c r="R16" s="11"/>
      <c r="S16" s="28"/>
      <c r="T16" s="11"/>
      <c r="U16" s="28"/>
      <c r="V16" s="147">
        <f>'Suvi Gaz'!O10</f>
        <v>31.999210000000001</v>
      </c>
      <c r="W16" s="11"/>
      <c r="X16" s="34">
        <f t="shared" si="1"/>
        <v>314.26104148900004</v>
      </c>
    </row>
    <row r="17" spans="1:24" s="5" customFormat="1" ht="32.25" customHeight="1">
      <c r="A17" s="2"/>
      <c r="B17" s="6">
        <v>44385</v>
      </c>
      <c r="C17" s="7"/>
      <c r="D17" s="143">
        <v>93</v>
      </c>
      <c r="E17" s="143">
        <v>156</v>
      </c>
      <c r="F17" s="13">
        <f>'Suivi EAU-ELEC'!E16</f>
        <v>101.19999999999709</v>
      </c>
      <c r="G17" s="11"/>
      <c r="H17" s="170">
        <f t="shared" si="0"/>
        <v>889.54799999997431</v>
      </c>
      <c r="I17" s="171"/>
      <c r="J17" s="171"/>
      <c r="K17" s="60">
        <v>42285</v>
      </c>
      <c r="L17" s="90">
        <f>'Suivi EAU-ELEC'!G16</f>
        <v>3354</v>
      </c>
      <c r="M17" s="91">
        <f>'Suivi EAU-ELEC'!I16</f>
        <v>7945</v>
      </c>
      <c r="N17" s="91">
        <f>'Suivi EAU-ELEC'!K16</f>
        <v>2883</v>
      </c>
      <c r="O17" s="91">
        <f t="shared" si="2"/>
        <v>14182</v>
      </c>
      <c r="P17" s="12"/>
      <c r="Q17" s="34">
        <f t="shared" si="3"/>
        <v>13737.1852</v>
      </c>
      <c r="R17" s="12"/>
      <c r="S17" s="28"/>
      <c r="T17" s="12"/>
      <c r="U17" s="28"/>
      <c r="V17" s="147">
        <f>'Suvi Gaz'!O11</f>
        <v>95.997630000000001</v>
      </c>
      <c r="W17" s="11"/>
      <c r="X17" s="34">
        <f t="shared" si="1"/>
        <v>942.78312446699999</v>
      </c>
    </row>
    <row r="18" spans="1:24" ht="32.25" customHeight="1">
      <c r="A18" s="2"/>
      <c r="B18" s="6">
        <v>44386</v>
      </c>
      <c r="C18" s="7"/>
      <c r="D18" s="143">
        <v>99</v>
      </c>
      <c r="E18" s="143">
        <v>183</v>
      </c>
      <c r="F18" s="13">
        <f>'Suivi EAU-ELEC'!E17</f>
        <v>114.60000000000582</v>
      </c>
      <c r="G18" s="11"/>
      <c r="H18" s="170">
        <f t="shared" si="0"/>
        <v>1007.3340000000511</v>
      </c>
      <c r="I18" s="171"/>
      <c r="J18" s="171"/>
      <c r="K18" s="60">
        <v>42286</v>
      </c>
      <c r="L18" s="90">
        <f>'Suivi EAU-ELEC'!G17</f>
        <v>3227</v>
      </c>
      <c r="M18" s="91">
        <f>'Suivi EAU-ELEC'!I17</f>
        <v>7523</v>
      </c>
      <c r="N18" s="91">
        <f>'Suivi EAU-ELEC'!K17</f>
        <v>2978</v>
      </c>
      <c r="O18" s="91">
        <f t="shared" si="2"/>
        <v>13728</v>
      </c>
      <c r="P18" s="12"/>
      <c r="Q18" s="34">
        <f t="shared" si="3"/>
        <v>13373.372899999998</v>
      </c>
      <c r="R18" s="12"/>
      <c r="S18" s="28"/>
      <c r="T18" s="12"/>
      <c r="U18" s="28"/>
      <c r="V18" s="147"/>
      <c r="W18" s="11"/>
      <c r="X18" s="34">
        <f t="shared" si="1"/>
        <v>0</v>
      </c>
    </row>
    <row r="19" spans="1:24" ht="32.25" customHeight="1">
      <c r="A19" s="2"/>
      <c r="B19" s="6">
        <v>44387</v>
      </c>
      <c r="C19" s="7"/>
      <c r="D19" s="143">
        <v>98</v>
      </c>
      <c r="E19" s="143">
        <v>183</v>
      </c>
      <c r="F19" s="13">
        <f>'Suivi EAU-ELEC'!E18</f>
        <v>119.09999999999127</v>
      </c>
      <c r="G19" s="12"/>
      <c r="H19" s="170">
        <f t="shared" si="0"/>
        <v>1046.888999999923</v>
      </c>
      <c r="I19" s="171"/>
      <c r="J19" s="171"/>
      <c r="K19" s="60">
        <v>42287</v>
      </c>
      <c r="L19" s="90">
        <f>'Suivi EAU-ELEC'!G18</f>
        <v>3693</v>
      </c>
      <c r="M19" s="91">
        <f>'Suivi EAU-ELEC'!I18</f>
        <v>8398</v>
      </c>
      <c r="N19" s="91">
        <f>'Suivi EAU-ELEC'!K18</f>
        <v>3851</v>
      </c>
      <c r="O19" s="91">
        <f t="shared" si="2"/>
        <v>15942</v>
      </c>
      <c r="P19" s="12"/>
      <c r="Q19" s="34">
        <f t="shared" si="3"/>
        <v>15692.7881</v>
      </c>
      <c r="R19" s="12"/>
      <c r="S19" s="28"/>
      <c r="T19" s="12"/>
      <c r="U19" s="28"/>
      <c r="V19" s="147"/>
      <c r="W19" s="11"/>
      <c r="X19" s="34">
        <f t="shared" si="1"/>
        <v>0</v>
      </c>
    </row>
    <row r="20" spans="1:24" ht="32.25" customHeight="1">
      <c r="A20" s="2"/>
      <c r="B20" s="6">
        <v>44388</v>
      </c>
      <c r="C20" s="7"/>
      <c r="D20" s="143">
        <v>93</v>
      </c>
      <c r="E20" s="143">
        <v>156</v>
      </c>
      <c r="F20" s="13">
        <f>'Suivi EAU-ELEC'!E19</f>
        <v>137.30000000000291</v>
      </c>
      <c r="G20" s="12"/>
      <c r="H20" s="170">
        <f t="shared" si="0"/>
        <v>1206.8670000000254</v>
      </c>
      <c r="I20" s="171"/>
      <c r="J20" s="171"/>
      <c r="K20" s="60">
        <v>42288</v>
      </c>
      <c r="L20" s="90">
        <f>'Suivi EAU-ELEC'!G19</f>
        <v>4104</v>
      </c>
      <c r="M20" s="91">
        <f>'Suivi EAU-ELEC'!I19</f>
        <v>9608</v>
      </c>
      <c r="N20" s="91">
        <f>'Suivi EAU-ELEC'!K19</f>
        <v>3590</v>
      </c>
      <c r="O20" s="91">
        <f t="shared" si="2"/>
        <v>17302</v>
      </c>
      <c r="P20" s="12"/>
      <c r="Q20" s="34">
        <f t="shared" si="3"/>
        <v>16783.831200000001</v>
      </c>
      <c r="R20" s="12"/>
      <c r="S20" s="28"/>
      <c r="T20" s="12"/>
      <c r="U20" s="28"/>
      <c r="V20" s="147"/>
      <c r="W20" s="11"/>
      <c r="X20" s="34">
        <f t="shared" si="1"/>
        <v>0</v>
      </c>
    </row>
    <row r="21" spans="1:24" ht="32.25" customHeight="1">
      <c r="A21" s="2"/>
      <c r="B21" s="6">
        <v>44389</v>
      </c>
      <c r="C21" s="7"/>
      <c r="D21" s="143"/>
      <c r="E21" s="143"/>
      <c r="F21" s="13">
        <f>'Suivi EAU-ELEC'!E20</f>
        <v>104</v>
      </c>
      <c r="G21" s="12"/>
      <c r="H21" s="170">
        <f t="shared" si="0"/>
        <v>914.15999999999985</v>
      </c>
      <c r="I21" s="171"/>
      <c r="J21" s="171"/>
      <c r="K21" s="60">
        <v>42289</v>
      </c>
      <c r="L21" s="90">
        <f>'Suivi EAU-ELEC'!G20</f>
        <v>4367</v>
      </c>
      <c r="M21" s="91">
        <f>'Suivi EAU-ELEC'!I20</f>
        <v>10753</v>
      </c>
      <c r="N21" s="91">
        <f>'Suivi EAU-ELEC'!K20</f>
        <v>4494</v>
      </c>
      <c r="O21" s="91">
        <f>L21+M21+N21</f>
        <v>19614</v>
      </c>
      <c r="P21" s="12"/>
      <c r="Q21" s="34">
        <f t="shared" si="3"/>
        <v>19259.571300000003</v>
      </c>
      <c r="R21" s="12"/>
      <c r="S21" s="28"/>
      <c r="T21" s="12"/>
      <c r="U21" s="28"/>
      <c r="V21" s="147"/>
      <c r="W21" s="11"/>
      <c r="X21" s="34">
        <f t="shared" si="1"/>
        <v>0</v>
      </c>
    </row>
    <row r="22" spans="1:24" ht="32.25" customHeight="1">
      <c r="A22" s="2"/>
      <c r="B22" s="6">
        <v>44390</v>
      </c>
      <c r="C22" s="7"/>
      <c r="D22" s="143"/>
      <c r="E22" s="143"/>
      <c r="F22" s="13"/>
      <c r="G22" s="12"/>
      <c r="H22" s="170">
        <f t="shared" ref="H22:H35" si="4">F22*8.79</f>
        <v>0</v>
      </c>
      <c r="I22" s="171"/>
      <c r="J22" s="171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7"/>
      <c r="W22" s="11"/>
      <c r="X22" s="34">
        <f t="shared" si="1"/>
        <v>0</v>
      </c>
    </row>
    <row r="23" spans="1:24" ht="32.25" customHeight="1">
      <c r="A23" s="2"/>
      <c r="B23" s="6">
        <v>44391</v>
      </c>
      <c r="C23" s="7"/>
      <c r="D23" s="143"/>
      <c r="E23" s="143"/>
      <c r="F23" s="13"/>
      <c r="G23" s="14"/>
      <c r="H23" s="170">
        <f t="shared" si="4"/>
        <v>0</v>
      </c>
      <c r="I23" s="171"/>
      <c r="J23" s="171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7"/>
      <c r="W23" s="11"/>
      <c r="X23" s="34">
        <f t="shared" si="1"/>
        <v>0</v>
      </c>
    </row>
    <row r="24" spans="1:24" ht="32.25" customHeight="1">
      <c r="A24" s="2"/>
      <c r="B24" s="6">
        <v>44392</v>
      </c>
      <c r="C24" s="7"/>
      <c r="D24" s="143"/>
      <c r="E24" s="143"/>
      <c r="F24" s="13"/>
      <c r="G24" s="14"/>
      <c r="H24" s="170">
        <f t="shared" si="4"/>
        <v>0</v>
      </c>
      <c r="I24" s="171"/>
      <c r="J24" s="171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7"/>
      <c r="W24" s="11"/>
      <c r="X24" s="34">
        <f t="shared" si="1"/>
        <v>0</v>
      </c>
    </row>
    <row r="25" spans="1:24" ht="32.25" customHeight="1">
      <c r="A25" s="2"/>
      <c r="B25" s="6">
        <v>44393</v>
      </c>
      <c r="C25" s="7"/>
      <c r="D25" s="143"/>
      <c r="E25" s="143"/>
      <c r="F25" s="13"/>
      <c r="G25" s="14"/>
      <c r="H25" s="170">
        <f t="shared" si="4"/>
        <v>0</v>
      </c>
      <c r="I25" s="171"/>
      <c r="J25" s="171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7"/>
      <c r="W25" s="11"/>
      <c r="X25" s="34">
        <f t="shared" si="1"/>
        <v>0</v>
      </c>
    </row>
    <row r="26" spans="1:24" ht="32.25" customHeight="1">
      <c r="A26" s="2"/>
      <c r="B26" s="6">
        <v>44394</v>
      </c>
      <c r="C26" s="7"/>
      <c r="D26" s="143"/>
      <c r="E26" s="143"/>
      <c r="F26" s="13"/>
      <c r="G26" s="14"/>
      <c r="H26" s="170">
        <f t="shared" si="4"/>
        <v>0</v>
      </c>
      <c r="I26" s="171"/>
      <c r="J26" s="171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7"/>
      <c r="W26" s="11"/>
      <c r="X26" s="34">
        <f t="shared" si="1"/>
        <v>0</v>
      </c>
    </row>
    <row r="27" spans="1:24" ht="32.25" customHeight="1">
      <c r="A27" s="2"/>
      <c r="B27" s="6">
        <v>44395</v>
      </c>
      <c r="C27" s="7"/>
      <c r="D27" s="143"/>
      <c r="E27" s="143"/>
      <c r="F27" s="13"/>
      <c r="G27" s="14"/>
      <c r="H27" s="170">
        <f t="shared" si="4"/>
        <v>0</v>
      </c>
      <c r="I27" s="171"/>
      <c r="J27" s="171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7"/>
      <c r="W27" s="11"/>
      <c r="X27" s="34">
        <f t="shared" si="1"/>
        <v>0</v>
      </c>
    </row>
    <row r="28" spans="1:24" ht="32.25" customHeight="1">
      <c r="A28" s="2"/>
      <c r="B28" s="6">
        <v>44396</v>
      </c>
      <c r="C28" s="7"/>
      <c r="D28" s="143"/>
      <c r="E28" s="143"/>
      <c r="F28" s="13"/>
      <c r="G28" s="11"/>
      <c r="H28" s="170">
        <f t="shared" si="4"/>
        <v>0</v>
      </c>
      <c r="I28" s="171"/>
      <c r="J28" s="171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7"/>
      <c r="W28" s="11"/>
      <c r="X28" s="34">
        <f t="shared" si="1"/>
        <v>0</v>
      </c>
    </row>
    <row r="29" spans="1:24" ht="32.25" customHeight="1">
      <c r="A29" s="2"/>
      <c r="B29" s="6">
        <v>44397</v>
      </c>
      <c r="C29" s="7"/>
      <c r="D29" s="143"/>
      <c r="E29" s="143"/>
      <c r="F29" s="13"/>
      <c r="G29" s="11"/>
      <c r="H29" s="170">
        <f t="shared" si="4"/>
        <v>0</v>
      </c>
      <c r="I29" s="171"/>
      <c r="J29" s="171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7"/>
      <c r="W29" s="11"/>
      <c r="X29" s="34">
        <f t="shared" si="1"/>
        <v>0</v>
      </c>
    </row>
    <row r="30" spans="1:24" ht="32.25" customHeight="1">
      <c r="A30" s="2"/>
      <c r="B30" s="6">
        <v>44398</v>
      </c>
      <c r="C30" s="7"/>
      <c r="D30" s="143"/>
      <c r="E30" s="143"/>
      <c r="F30" s="13"/>
      <c r="G30" s="11"/>
      <c r="H30" s="170">
        <f t="shared" si="4"/>
        <v>0</v>
      </c>
      <c r="I30" s="171"/>
      <c r="J30" s="171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7"/>
      <c r="W30" s="11"/>
      <c r="X30" s="34">
        <f t="shared" si="1"/>
        <v>0</v>
      </c>
    </row>
    <row r="31" spans="1:24" ht="27.75" customHeight="1">
      <c r="A31" s="2"/>
      <c r="B31" s="6">
        <v>44399</v>
      </c>
      <c r="C31" s="7"/>
      <c r="D31" s="143"/>
      <c r="E31" s="143"/>
      <c r="F31" s="13"/>
      <c r="G31" s="11"/>
      <c r="H31" s="170">
        <f t="shared" si="4"/>
        <v>0</v>
      </c>
      <c r="I31" s="171"/>
      <c r="J31" s="171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7"/>
      <c r="W31" s="11"/>
      <c r="X31" s="34">
        <f t="shared" si="1"/>
        <v>0</v>
      </c>
    </row>
    <row r="32" spans="1:24" ht="37.5" customHeight="1">
      <c r="A32" s="2"/>
      <c r="B32" s="6">
        <v>44400</v>
      </c>
      <c r="C32" s="7"/>
      <c r="D32" s="143"/>
      <c r="E32" s="143"/>
      <c r="F32" s="13"/>
      <c r="G32" s="11"/>
      <c r="H32" s="170">
        <f t="shared" si="4"/>
        <v>0</v>
      </c>
      <c r="I32" s="171"/>
      <c r="J32" s="171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44401</v>
      </c>
      <c r="C33" s="7"/>
      <c r="D33" s="143"/>
      <c r="E33" s="143"/>
      <c r="F33" s="13"/>
      <c r="G33" s="11"/>
      <c r="H33" s="170">
        <f t="shared" si="4"/>
        <v>0</v>
      </c>
      <c r="I33" s="171"/>
      <c r="J33" s="171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44402</v>
      </c>
      <c r="C34" s="7"/>
      <c r="D34" s="143"/>
      <c r="E34" s="143"/>
      <c r="F34" s="13"/>
      <c r="G34" s="11"/>
      <c r="H34" s="170">
        <f t="shared" si="4"/>
        <v>0</v>
      </c>
      <c r="I34" s="171"/>
      <c r="J34" s="171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44403</v>
      </c>
      <c r="C35" s="7"/>
      <c r="D35" s="143"/>
      <c r="E35" s="143"/>
      <c r="F35" s="13"/>
      <c r="G35" s="11"/>
      <c r="H35" s="170">
        <f t="shared" si="4"/>
        <v>0</v>
      </c>
      <c r="I35" s="171"/>
      <c r="J35" s="171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44404</v>
      </c>
      <c r="C36" s="7"/>
      <c r="D36" s="143"/>
      <c r="E36" s="143"/>
      <c r="F36" s="13"/>
      <c r="G36" s="11"/>
      <c r="H36" s="170">
        <f>F36*8.79</f>
        <v>0</v>
      </c>
      <c r="I36" s="171"/>
      <c r="J36" s="171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44405</v>
      </c>
      <c r="C37" s="7"/>
      <c r="D37" s="143"/>
      <c r="E37" s="143"/>
      <c r="F37" s="13"/>
      <c r="G37" s="11"/>
      <c r="H37" s="170">
        <f t="shared" ref="H37:H38" si="5">F37*8.79</f>
        <v>0</v>
      </c>
      <c r="I37" s="171"/>
      <c r="J37" s="171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44406</v>
      </c>
      <c r="C38" s="7"/>
      <c r="D38" s="143"/>
      <c r="E38" s="143"/>
      <c r="F38" s="13"/>
      <c r="G38" s="11"/>
      <c r="H38" s="170">
        <f t="shared" si="5"/>
        <v>0</v>
      </c>
      <c r="I38" s="171"/>
      <c r="J38" s="171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44407</v>
      </c>
      <c r="C39" s="7"/>
      <c r="D39" s="143"/>
      <c r="E39" s="143"/>
      <c r="F39" s="13"/>
      <c r="G39" s="11"/>
      <c r="H39" s="170">
        <f t="shared" ref="H39" si="6">F39*8.79</f>
        <v>0</v>
      </c>
      <c r="I39" s="171"/>
      <c r="J39" s="171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835</v>
      </c>
      <c r="E40" s="8">
        <f>SUM(E10:E39)</f>
        <v>1398</v>
      </c>
      <c r="F40" s="153">
        <f>SUM(F10:F39)</f>
        <v>1331.1000000000058</v>
      </c>
      <c r="G40" s="1"/>
      <c r="H40" s="251">
        <f>SUM(H10:H39)</f>
        <v>11700.36900000005</v>
      </c>
      <c r="I40" s="252"/>
      <c r="J40" s="253"/>
      <c r="K40" s="1"/>
      <c r="L40" s="53">
        <f>SUM(L10:L39)</f>
        <v>41115</v>
      </c>
      <c r="M40" s="53">
        <f>SUM(M10:M39)</f>
        <v>96870</v>
      </c>
      <c r="N40" s="54">
        <f>SUM(N10:N39)</f>
        <v>37589</v>
      </c>
      <c r="O40" s="55">
        <f>SUM(O10:O39)</f>
        <v>175574</v>
      </c>
      <c r="P40" s="31"/>
      <c r="Q40" s="32">
        <f>SUM(Q10:Q39)</f>
        <v>170539.4559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2010.3742000000004</v>
      </c>
      <c r="W40" s="31"/>
      <c r="X40" s="32">
        <f>SUM(X10:X39)</f>
        <v>19743.683980780006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65"/>
      <c r="M41" s="165"/>
      <c r="N41" s="165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6" t="s">
        <v>33</v>
      </c>
      <c r="B42" s="207"/>
      <c r="C42" s="207"/>
      <c r="D42" s="207"/>
      <c r="E42" s="207"/>
      <c r="F42" s="208"/>
      <c r="G42" s="26"/>
      <c r="H42" s="27" t="s">
        <v>34</v>
      </c>
      <c r="I42" s="245" t="s">
        <v>35</v>
      </c>
      <c r="J42" s="246"/>
      <c r="K42" s="247"/>
      <c r="L42" s="220" t="s">
        <v>36</v>
      </c>
      <c r="M42" s="221"/>
      <c r="N42" s="206" t="s">
        <v>37</v>
      </c>
      <c r="O42" s="207"/>
      <c r="P42" s="207"/>
      <c r="Q42" s="207"/>
      <c r="R42" s="207"/>
      <c r="S42" s="207"/>
      <c r="T42" s="207"/>
      <c r="U42" s="207"/>
      <c r="V42" s="207"/>
      <c r="W42" s="207"/>
      <c r="X42" s="208"/>
    </row>
    <row r="43" spans="1:24" s="18" customFormat="1" ht="29.25" customHeight="1" thickBot="1">
      <c r="A43" s="214" t="s">
        <v>38</v>
      </c>
      <c r="B43" s="215"/>
      <c r="C43" s="216"/>
      <c r="D43" s="161" t="s">
        <v>30</v>
      </c>
      <c r="E43" s="161" t="s">
        <v>30</v>
      </c>
      <c r="F43" s="161" t="s">
        <v>30</v>
      </c>
      <c r="G43" s="16"/>
      <c r="H43" s="17">
        <v>0.69850000000000001</v>
      </c>
      <c r="I43" s="211">
        <f>L40</f>
        <v>41115</v>
      </c>
      <c r="J43" s="212"/>
      <c r="K43" s="213"/>
      <c r="L43" s="172">
        <f>I43*H43</f>
        <v>28718.827499999999</v>
      </c>
      <c r="M43" s="173"/>
      <c r="N43" s="229">
        <f>L43+L44+L45</f>
        <v>170889.3511</v>
      </c>
      <c r="O43" s="230"/>
      <c r="P43" s="230"/>
      <c r="Q43" s="230"/>
      <c r="R43" s="230"/>
      <c r="S43" s="230"/>
      <c r="T43" s="230"/>
      <c r="U43" s="230"/>
      <c r="V43" s="230"/>
      <c r="W43" s="230"/>
      <c r="X43" s="231"/>
    </row>
    <row r="44" spans="1:24" s="18" customFormat="1" ht="29.25" customHeight="1" thickBot="1">
      <c r="A44" s="217"/>
      <c r="B44" s="218"/>
      <c r="C44" s="219"/>
      <c r="D44" s="160" t="s">
        <v>31</v>
      </c>
      <c r="E44" s="160" t="s">
        <v>31</v>
      </c>
      <c r="F44" s="160" t="s">
        <v>31</v>
      </c>
      <c r="G44" s="16"/>
      <c r="H44" s="19">
        <v>0.95140000000000002</v>
      </c>
      <c r="I44" s="211">
        <f>M40</f>
        <v>96870</v>
      </c>
      <c r="J44" s="212"/>
      <c r="K44" s="213"/>
      <c r="L44" s="172">
        <f>I44*H44</f>
        <v>92162.118000000002</v>
      </c>
      <c r="M44" s="173"/>
      <c r="N44" s="232"/>
      <c r="O44" s="233"/>
      <c r="P44" s="233"/>
      <c r="Q44" s="233"/>
      <c r="R44" s="233"/>
      <c r="S44" s="233"/>
      <c r="T44" s="233"/>
      <c r="U44" s="233"/>
      <c r="V44" s="233"/>
      <c r="W44" s="233"/>
      <c r="X44" s="234"/>
    </row>
    <row r="45" spans="1:24" s="18" customFormat="1" ht="24.75" customHeight="1" thickBot="1">
      <c r="A45" s="217"/>
      <c r="B45" s="218"/>
      <c r="C45" s="219"/>
      <c r="D45" s="157" t="s">
        <v>32</v>
      </c>
      <c r="E45" s="157" t="s">
        <v>32</v>
      </c>
      <c r="F45" s="157" t="s">
        <v>32</v>
      </c>
      <c r="G45" s="20"/>
      <c r="H45" s="20">
        <v>1.3304</v>
      </c>
      <c r="I45" s="242">
        <f>N40</f>
        <v>37589</v>
      </c>
      <c r="J45" s="243"/>
      <c r="K45" s="244"/>
      <c r="L45" s="172">
        <f>I45*H45</f>
        <v>50008.405599999998</v>
      </c>
      <c r="M45" s="173"/>
      <c r="N45" s="235"/>
      <c r="O45" s="236"/>
      <c r="P45" s="236"/>
      <c r="Q45" s="236"/>
      <c r="R45" s="236"/>
      <c r="S45" s="236"/>
      <c r="T45" s="236"/>
      <c r="U45" s="236"/>
      <c r="V45" s="236"/>
      <c r="W45" s="236"/>
      <c r="X45" s="237"/>
    </row>
    <row r="46" spans="1:24" s="18" customFormat="1" ht="43.5" customHeight="1" thickBot="1">
      <c r="A46" s="162"/>
      <c r="B46" s="163"/>
      <c r="C46" s="163"/>
      <c r="D46" s="157"/>
      <c r="E46" s="157"/>
      <c r="F46" s="157"/>
      <c r="G46" s="16"/>
      <c r="H46" s="16"/>
      <c r="I46" s="155"/>
      <c r="J46" s="156"/>
      <c r="K46" s="157"/>
      <c r="L46" s="158"/>
      <c r="M46" s="159"/>
      <c r="N46" s="248">
        <f>N43*1.3</f>
        <v>222156.15643</v>
      </c>
      <c r="O46" s="249"/>
      <c r="P46" s="249"/>
      <c r="Q46" s="249"/>
      <c r="R46" s="249"/>
      <c r="S46" s="249"/>
      <c r="T46" s="249"/>
      <c r="U46" s="249"/>
      <c r="V46" s="249"/>
      <c r="W46" s="249"/>
      <c r="X46" s="250"/>
    </row>
    <row r="47" spans="1:24" s="23" customFormat="1" ht="32.25" customHeight="1" thickBot="1">
      <c r="A47" s="203" t="s">
        <v>39</v>
      </c>
      <c r="B47" s="204"/>
      <c r="C47" s="204"/>
      <c r="D47" s="204"/>
      <c r="E47" s="204"/>
      <c r="F47" s="205"/>
      <c r="G47" s="21"/>
      <c r="H47" s="22">
        <v>8.7899999999999991</v>
      </c>
      <c r="I47" s="203">
        <f>F40</f>
        <v>1331.1000000000058</v>
      </c>
      <c r="J47" s="204"/>
      <c r="K47" s="205"/>
      <c r="L47" s="209">
        <f>I47*H47</f>
        <v>11700.36900000005</v>
      </c>
      <c r="M47" s="210"/>
      <c r="N47" s="226">
        <f>L47</f>
        <v>11700.36900000005</v>
      </c>
      <c r="O47" s="227"/>
      <c r="P47" s="227"/>
      <c r="Q47" s="227"/>
      <c r="R47" s="227"/>
      <c r="S47" s="227"/>
      <c r="T47" s="227"/>
      <c r="U47" s="227"/>
      <c r="V47" s="227"/>
      <c r="W47" s="227"/>
      <c r="X47" s="228"/>
    </row>
    <row r="48" spans="1:24" s="23" customFormat="1" ht="36.75" customHeight="1">
      <c r="A48" s="238" t="s">
        <v>40</v>
      </c>
      <c r="B48" s="239"/>
      <c r="C48" s="239"/>
      <c r="D48" s="239"/>
      <c r="E48" s="239"/>
      <c r="F48" s="240"/>
      <c r="G48" s="24"/>
      <c r="H48" s="25">
        <v>9.8209</v>
      </c>
      <c r="I48" s="201">
        <f>V40</f>
        <v>2010.3742000000004</v>
      </c>
      <c r="J48" s="241"/>
      <c r="K48" s="202"/>
      <c r="L48" s="201">
        <f>I48*H48</f>
        <v>19743.683980780002</v>
      </c>
      <c r="M48" s="202"/>
      <c r="N48" s="223">
        <f>L48</f>
        <v>19743.683980780002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</row>
    <row r="54" spans="1:24" ht="39" customHeight="1">
      <c r="A54" s="154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6" activePane="bottomRight" state="frozen"/>
      <selection pane="bottomRight" activeCell="H20" sqref="H2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44378</v>
      </c>
      <c r="B9" s="116">
        <v>2559</v>
      </c>
      <c r="C9" s="115">
        <v>0</v>
      </c>
      <c r="D9" s="57">
        <v>113929.60000000001</v>
      </c>
      <c r="E9" s="50">
        <v>106.70000000001164</v>
      </c>
      <c r="F9" s="51">
        <v>10695332</v>
      </c>
      <c r="G9" s="50">
        <v>2905</v>
      </c>
      <c r="H9" s="51">
        <v>18050934</v>
      </c>
      <c r="I9" s="50">
        <v>7908</v>
      </c>
      <c r="J9" s="51">
        <v>7972266</v>
      </c>
      <c r="K9" s="50">
        <v>2680</v>
      </c>
    </row>
    <row r="10" spans="1:12" ht="19.5">
      <c r="A10" s="59">
        <v>44379</v>
      </c>
      <c r="B10" s="116">
        <v>2559</v>
      </c>
      <c r="C10" s="115">
        <f>B10-B9</f>
        <v>0</v>
      </c>
      <c r="D10" s="57">
        <v>114041.9</v>
      </c>
      <c r="E10" s="50">
        <f>D10-D9</f>
        <v>112.29999999998836</v>
      </c>
      <c r="F10" s="51">
        <v>10698726</v>
      </c>
      <c r="G10" s="50">
        <f>F10-F9</f>
        <v>3394</v>
      </c>
      <c r="H10" s="51">
        <v>18057682</v>
      </c>
      <c r="I10" s="50">
        <f>H10-H9</f>
        <v>6748</v>
      </c>
      <c r="J10" s="51">
        <v>7975206</v>
      </c>
      <c r="K10" s="50">
        <f>J10-J9</f>
        <v>2940</v>
      </c>
    </row>
    <row r="11" spans="1:12" ht="19.5">
      <c r="A11" s="59">
        <v>44380</v>
      </c>
      <c r="B11" s="116">
        <v>2559</v>
      </c>
      <c r="C11" s="115">
        <f t="shared" ref="C11:D20" si="0">B11-B10</f>
        <v>0</v>
      </c>
      <c r="D11" s="57">
        <v>114155.8</v>
      </c>
      <c r="E11" s="50">
        <f t="shared" ref="E11:E20" si="1">D11-D10</f>
        <v>113.90000000000873</v>
      </c>
      <c r="F11" s="51">
        <v>10701863</v>
      </c>
      <c r="G11" s="50">
        <f t="shared" ref="G11:G20" si="2">F11-F10</f>
        <v>3137</v>
      </c>
      <c r="H11" s="51">
        <v>18064878</v>
      </c>
      <c r="I11" s="50">
        <f t="shared" ref="I11:I20" si="3">H11-H10</f>
        <v>7196</v>
      </c>
      <c r="J11" s="51">
        <v>7978215</v>
      </c>
      <c r="K11" s="50">
        <f t="shared" ref="K11:K20" si="4">J11-J10</f>
        <v>3009</v>
      </c>
    </row>
    <row r="12" spans="1:12" ht="19.5">
      <c r="A12" s="59">
        <v>44381</v>
      </c>
      <c r="B12" s="116">
        <v>2559</v>
      </c>
      <c r="C12" s="115">
        <f t="shared" si="0"/>
        <v>0</v>
      </c>
      <c r="D12" s="57">
        <v>114269</v>
      </c>
      <c r="E12" s="50">
        <f t="shared" si="1"/>
        <v>113.19999999999709</v>
      </c>
      <c r="F12" s="51">
        <v>10705464</v>
      </c>
      <c r="G12" s="50">
        <f t="shared" si="2"/>
        <v>3601</v>
      </c>
      <c r="H12" s="51">
        <v>18072240</v>
      </c>
      <c r="I12" s="50">
        <f t="shared" si="3"/>
        <v>7362</v>
      </c>
      <c r="J12" s="51">
        <v>7981093</v>
      </c>
      <c r="K12" s="50">
        <f t="shared" si="4"/>
        <v>2878</v>
      </c>
    </row>
    <row r="13" spans="1:12" ht="19.5">
      <c r="A13" s="59">
        <v>44382</v>
      </c>
      <c r="B13" s="116">
        <v>2559</v>
      </c>
      <c r="C13" s="115">
        <f t="shared" si="0"/>
        <v>0</v>
      </c>
      <c r="D13" s="57">
        <v>114367</v>
      </c>
      <c r="E13" s="50">
        <f t="shared" si="1"/>
        <v>98</v>
      </c>
      <c r="F13" s="51">
        <v>10708852</v>
      </c>
      <c r="G13" s="50">
        <f t="shared" si="2"/>
        <v>3388</v>
      </c>
      <c r="H13" s="51">
        <v>18079872</v>
      </c>
      <c r="I13" s="50">
        <f t="shared" si="3"/>
        <v>7632</v>
      </c>
      <c r="J13" s="51">
        <v>7983770</v>
      </c>
      <c r="K13" s="50">
        <f t="shared" si="4"/>
        <v>2677</v>
      </c>
    </row>
    <row r="14" spans="1:12" ht="19.5">
      <c r="A14" s="59">
        <v>44383</v>
      </c>
      <c r="B14" s="116">
        <v>2559</v>
      </c>
      <c r="C14" s="115">
        <f t="shared" si="0"/>
        <v>0</v>
      </c>
      <c r="D14" s="57">
        <v>114448.8</v>
      </c>
      <c r="E14" s="50">
        <f t="shared" si="1"/>
        <v>81.80000000000291</v>
      </c>
      <c r="F14" s="51">
        <v>10711866</v>
      </c>
      <c r="G14" s="50">
        <f t="shared" si="2"/>
        <v>3014</v>
      </c>
      <c r="H14" s="51">
        <v>18088323</v>
      </c>
      <c r="I14" s="50">
        <f t="shared" si="3"/>
        <v>8451</v>
      </c>
      <c r="J14" s="51">
        <v>7986638</v>
      </c>
      <c r="K14" s="50">
        <f t="shared" si="4"/>
        <v>2868</v>
      </c>
    </row>
    <row r="15" spans="1:12" ht="19.5">
      <c r="A15" s="59">
        <v>44384</v>
      </c>
      <c r="B15" s="116">
        <v>2559</v>
      </c>
      <c r="C15" s="115">
        <f t="shared" si="0"/>
        <v>0</v>
      </c>
      <c r="D15" s="57">
        <v>114577.8</v>
      </c>
      <c r="E15" s="50">
        <f t="shared" si="1"/>
        <v>129</v>
      </c>
      <c r="F15" s="51">
        <v>10714797</v>
      </c>
      <c r="G15" s="50">
        <f t="shared" si="2"/>
        <v>2931</v>
      </c>
      <c r="H15" s="51">
        <v>18095669</v>
      </c>
      <c r="I15" s="50">
        <f t="shared" si="3"/>
        <v>7346</v>
      </c>
      <c r="J15" s="51">
        <v>7989379</v>
      </c>
      <c r="K15" s="50">
        <f t="shared" si="4"/>
        <v>2741</v>
      </c>
    </row>
    <row r="16" spans="1:12" ht="19.5">
      <c r="A16" s="59">
        <v>44385</v>
      </c>
      <c r="B16" s="116">
        <v>2559</v>
      </c>
      <c r="C16" s="115">
        <f t="shared" si="0"/>
        <v>0</v>
      </c>
      <c r="D16" s="57">
        <v>114679</v>
      </c>
      <c r="E16" s="50">
        <f t="shared" si="1"/>
        <v>101.19999999999709</v>
      </c>
      <c r="F16" s="51">
        <v>10718151</v>
      </c>
      <c r="G16" s="50">
        <f t="shared" si="2"/>
        <v>3354</v>
      </c>
      <c r="H16" s="51">
        <v>18103614</v>
      </c>
      <c r="I16" s="50">
        <f t="shared" si="3"/>
        <v>7945</v>
      </c>
      <c r="J16" s="51">
        <v>7992262</v>
      </c>
      <c r="K16" s="50">
        <f t="shared" si="4"/>
        <v>2883</v>
      </c>
    </row>
    <row r="17" spans="1:29" ht="19.5">
      <c r="A17" s="59">
        <v>44386</v>
      </c>
      <c r="B17" s="116">
        <v>2559</v>
      </c>
      <c r="C17" s="115">
        <f t="shared" si="0"/>
        <v>0</v>
      </c>
      <c r="D17" s="57">
        <v>114793.60000000001</v>
      </c>
      <c r="E17" s="50">
        <f t="shared" si="1"/>
        <v>114.60000000000582</v>
      </c>
      <c r="F17" s="51">
        <v>10721378</v>
      </c>
      <c r="G17" s="50">
        <f t="shared" si="2"/>
        <v>3227</v>
      </c>
      <c r="H17" s="51">
        <v>18111137</v>
      </c>
      <c r="I17" s="50">
        <f t="shared" si="3"/>
        <v>7523</v>
      </c>
      <c r="J17" s="51">
        <v>7995240</v>
      </c>
      <c r="K17" s="50">
        <f t="shared" si="4"/>
        <v>2978</v>
      </c>
    </row>
    <row r="18" spans="1:29" ht="19.5">
      <c r="A18" s="59">
        <v>44387</v>
      </c>
      <c r="B18" s="116">
        <v>2559</v>
      </c>
      <c r="C18" s="115">
        <f t="shared" si="0"/>
        <v>0</v>
      </c>
      <c r="D18" s="57">
        <v>114912.7</v>
      </c>
      <c r="E18" s="50">
        <f t="shared" si="1"/>
        <v>119.09999999999127</v>
      </c>
      <c r="F18" s="51">
        <v>10725071</v>
      </c>
      <c r="G18" s="50">
        <f t="shared" si="2"/>
        <v>3693</v>
      </c>
      <c r="H18" s="51">
        <v>18119535</v>
      </c>
      <c r="I18" s="50">
        <f t="shared" si="3"/>
        <v>8398</v>
      </c>
      <c r="J18" s="51">
        <v>7999091</v>
      </c>
      <c r="K18" s="50">
        <f t="shared" si="4"/>
        <v>3851</v>
      </c>
    </row>
    <row r="19" spans="1:29" ht="19.5">
      <c r="A19" s="59">
        <v>44388</v>
      </c>
      <c r="B19" s="116">
        <v>2559</v>
      </c>
      <c r="C19" s="115">
        <f t="shared" si="0"/>
        <v>0</v>
      </c>
      <c r="D19" s="57">
        <v>115050</v>
      </c>
      <c r="E19" s="50">
        <f t="shared" si="1"/>
        <v>137.30000000000291</v>
      </c>
      <c r="F19" s="51">
        <v>10729175</v>
      </c>
      <c r="G19" s="50">
        <f t="shared" si="2"/>
        <v>4104</v>
      </c>
      <c r="H19" s="51">
        <v>18129143</v>
      </c>
      <c r="I19" s="50">
        <f t="shared" si="3"/>
        <v>9608</v>
      </c>
      <c r="J19" s="51">
        <v>8002681</v>
      </c>
      <c r="K19" s="50">
        <f t="shared" si="4"/>
        <v>3590</v>
      </c>
    </row>
    <row r="20" spans="1:29" ht="25.5">
      <c r="A20" s="59">
        <v>44389</v>
      </c>
      <c r="B20" s="116">
        <v>2559</v>
      </c>
      <c r="C20" s="115">
        <f t="shared" si="0"/>
        <v>0</v>
      </c>
      <c r="D20" s="57">
        <v>115154</v>
      </c>
      <c r="E20" s="50">
        <f t="shared" si="1"/>
        <v>104</v>
      </c>
      <c r="F20" s="51">
        <v>10733542</v>
      </c>
      <c r="G20" s="50">
        <f t="shared" si="2"/>
        <v>4367</v>
      </c>
      <c r="H20" s="51">
        <v>18139896</v>
      </c>
      <c r="I20" s="50">
        <f t="shared" si="3"/>
        <v>10753</v>
      </c>
      <c r="J20" s="51">
        <v>8007175</v>
      </c>
      <c r="K20" s="50">
        <f t="shared" si="4"/>
        <v>4494</v>
      </c>
      <c r="L20" s="117" t="s">
        <v>18</v>
      </c>
      <c r="AC20" t="s">
        <v>56</v>
      </c>
    </row>
    <row r="21" spans="1:29" ht="19.5">
      <c r="A21" s="59">
        <v>44390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44391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44392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44393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44394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44395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44396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44397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44398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44399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44400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44401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44402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44403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44404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44405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44406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44407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44408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21:E39">
    <cfRule type="cellIs" dxfId="3" priority="22" stopIfTrue="1" operator="lessThanOrEqual">
      <formula>0</formula>
    </cfRule>
  </conditionalFormatting>
  <conditionalFormatting sqref="E21:E39">
    <cfRule type="cellIs" dxfId="2" priority="17" stopIfTrue="1" operator="lessThanOrEqual">
      <formula>0</formula>
    </cfRule>
  </conditionalFormatting>
  <conditionalFormatting sqref="E9:E20">
    <cfRule type="cellIs" dxfId="1" priority="2" stopIfTrue="1" operator="lessThanOrEqual">
      <formula>0</formula>
    </cfRule>
  </conditionalFormatting>
  <conditionalFormatting sqref="E9:E2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0" activePane="bottomRight" state="frozen"/>
      <selection pane="bottomRight" activeCell="I15" sqref="I1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44378</v>
      </c>
      <c r="B4" s="41">
        <v>65</v>
      </c>
      <c r="C4" s="39">
        <f t="shared" ref="C4:C35" si="0">IF(AC4&gt;0,((B4-R4)+(S4-B5)),IF(B5=0, ,(B4-B5)))</f>
        <v>1</v>
      </c>
      <c r="D4" s="41">
        <v>64</v>
      </c>
      <c r="E4" s="39">
        <f t="shared" ref="E4:E35" si="1">IF(AC4&gt;0,((D4-U4)+(V4-D5)),IF(D5=0, ,(D4-D5)))</f>
        <v>4</v>
      </c>
      <c r="F4" s="41">
        <v>64</v>
      </c>
      <c r="G4" s="39">
        <f t="shared" ref="G4:G35" si="2">IF(AC4&gt;0,((F4-X4)+(Y4-F5)),IF(F5=0, ,(F4-F5)))</f>
        <v>4</v>
      </c>
      <c r="H4" s="41">
        <v>61</v>
      </c>
      <c r="I4" s="39">
        <f>IF(AC4&gt;0,((H4-AA4)+(AB4-H5)),IF(H5=0, ,(H4-H5)))</f>
        <v>1</v>
      </c>
      <c r="J4" s="39">
        <f>B4+D4+F4+H4</f>
        <v>254</v>
      </c>
      <c r="K4" s="39">
        <f>J4/4</f>
        <v>63.5</v>
      </c>
      <c r="L4" s="39">
        <f>IF(AC4&gt;0,((K4-AD4)+(AE4-K5)),IF(K5=0, ,(K4-K5)))</f>
        <v>2.5</v>
      </c>
      <c r="M4" s="150">
        <f>7000*4</f>
        <v>28000</v>
      </c>
      <c r="N4" s="39">
        <f>L4*M4/100</f>
        <v>700</v>
      </c>
      <c r="O4" s="39">
        <f>N4*0.529</f>
        <v>370.3</v>
      </c>
      <c r="P4" s="42">
        <f>O4*8.41</f>
        <v>3114.223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44379</v>
      </c>
      <c r="B5" s="41">
        <v>64</v>
      </c>
      <c r="C5" s="39">
        <f t="shared" si="0"/>
        <v>3</v>
      </c>
      <c r="D5" s="41">
        <v>60</v>
      </c>
      <c r="E5" s="39">
        <f t="shared" si="1"/>
        <v>0</v>
      </c>
      <c r="F5" s="41">
        <v>60</v>
      </c>
      <c r="G5" s="39">
        <f t="shared" si="2"/>
        <v>0</v>
      </c>
      <c r="H5" s="41">
        <v>60</v>
      </c>
      <c r="I5" s="39">
        <f>IF(AC5&gt;0,((H5-AA5)+(AB5-H6)),IF(H6=0, ,(H5-H6)))</f>
        <v>1</v>
      </c>
      <c r="J5" s="39">
        <f>B5+D5+F5+H5</f>
        <v>244</v>
      </c>
      <c r="K5" s="39">
        <f>J5/4</f>
        <v>61</v>
      </c>
      <c r="L5" s="39">
        <f>IF(AC5&gt;0,((K5-AD5)+(AE5-K6)),IF(K6=0, ,(K5-K6)))</f>
        <v>1</v>
      </c>
      <c r="M5" s="150">
        <f t="shared" ref="M5:M42" si="6">7000*4</f>
        <v>28000</v>
      </c>
      <c r="N5" s="39">
        <f>L5*M5/100</f>
        <v>280</v>
      </c>
      <c r="O5" s="39">
        <f>N5*0.529</f>
        <v>148.12</v>
      </c>
      <c r="P5" s="42">
        <f t="shared" ref="P5:P42" si="7">O5*8.41</f>
        <v>1245.6892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44380</v>
      </c>
      <c r="B6" s="41">
        <v>61</v>
      </c>
      <c r="C6" s="39">
        <f t="shared" si="0"/>
        <v>4</v>
      </c>
      <c r="D6" s="41">
        <v>60</v>
      </c>
      <c r="E6" s="39">
        <f t="shared" si="1"/>
        <v>5</v>
      </c>
      <c r="F6" s="41">
        <v>60</v>
      </c>
      <c r="G6" s="39">
        <f t="shared" si="2"/>
        <v>5</v>
      </c>
      <c r="H6" s="41">
        <v>59</v>
      </c>
      <c r="I6" s="39">
        <f t="shared" ref="I6:I36" si="8">IF(AC6&gt;0,((H6-AA6)+(AB6-H7)),IF(H7=0, ,(H6-H7)))</f>
        <v>5</v>
      </c>
      <c r="J6" s="39">
        <f t="shared" ref="J6:J42" si="9">B6+D6+F6+H6</f>
        <v>240</v>
      </c>
      <c r="K6" s="39">
        <f t="shared" ref="K6:K42" si="10">J6/4</f>
        <v>60</v>
      </c>
      <c r="L6" s="39">
        <f t="shared" ref="L6:L19" si="11">IF(AC6&gt;0,((K6-AD6)+(AE6-K7)),IF(K7=0, ,(K6-K7)))</f>
        <v>4.75</v>
      </c>
      <c r="M6" s="150">
        <f t="shared" si="6"/>
        <v>28000</v>
      </c>
      <c r="N6" s="39">
        <f t="shared" ref="N6:N42" si="12">L6*M6/100</f>
        <v>1330</v>
      </c>
      <c r="O6" s="39">
        <f>N6*0.529</f>
        <v>703.57</v>
      </c>
      <c r="P6" s="42">
        <f t="shared" si="7"/>
        <v>5917.0237000000006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44381</v>
      </c>
      <c r="B7" s="41">
        <v>57</v>
      </c>
      <c r="C7" s="39">
        <f t="shared" si="0"/>
        <v>3</v>
      </c>
      <c r="D7" s="41">
        <v>55</v>
      </c>
      <c r="E7" s="39">
        <f t="shared" si="1"/>
        <v>0</v>
      </c>
      <c r="F7" s="41">
        <v>55</v>
      </c>
      <c r="G7" s="39">
        <f t="shared" si="2"/>
        <v>1</v>
      </c>
      <c r="H7" s="41">
        <v>54</v>
      </c>
      <c r="I7" s="39">
        <f t="shared" si="8"/>
        <v>0</v>
      </c>
      <c r="J7" s="39">
        <f t="shared" si="9"/>
        <v>221</v>
      </c>
      <c r="K7" s="39">
        <f t="shared" si="10"/>
        <v>55.25</v>
      </c>
      <c r="L7" s="39">
        <f t="shared" si="11"/>
        <v>1</v>
      </c>
      <c r="M7" s="150">
        <f t="shared" si="6"/>
        <v>28000</v>
      </c>
      <c r="N7" s="39">
        <f t="shared" si="12"/>
        <v>280</v>
      </c>
      <c r="O7" s="39">
        <f>N7*0.53</f>
        <v>148.4</v>
      </c>
      <c r="P7" s="42">
        <f t="shared" si="7"/>
        <v>1248.0440000000001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44382</v>
      </c>
      <c r="B8" s="41">
        <v>54</v>
      </c>
      <c r="C8" s="39">
        <f t="shared" si="0"/>
        <v>2</v>
      </c>
      <c r="D8" s="41">
        <v>55</v>
      </c>
      <c r="E8" s="39">
        <f t="shared" si="1"/>
        <v>3</v>
      </c>
      <c r="F8" s="41">
        <v>54</v>
      </c>
      <c r="G8" s="39">
        <f t="shared" si="2"/>
        <v>0</v>
      </c>
      <c r="H8" s="41">
        <v>54</v>
      </c>
      <c r="I8" s="39">
        <f t="shared" si="8"/>
        <v>3</v>
      </c>
      <c r="J8" s="39">
        <f t="shared" si="9"/>
        <v>217</v>
      </c>
      <c r="K8" s="39">
        <f t="shared" si="10"/>
        <v>54.25</v>
      </c>
      <c r="L8" s="39">
        <f t="shared" si="11"/>
        <v>2</v>
      </c>
      <c r="M8" s="150">
        <f>6049*4</f>
        <v>24196</v>
      </c>
      <c r="N8" s="39">
        <f t="shared" si="12"/>
        <v>483.92</v>
      </c>
      <c r="O8" s="149">
        <f t="shared" ref="O8:O37" si="13">N8*0.529</f>
        <v>255.99368000000001</v>
      </c>
      <c r="P8" s="42">
        <f t="shared" si="7"/>
        <v>2152.9068488000003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44383</v>
      </c>
      <c r="B9" s="41">
        <v>52</v>
      </c>
      <c r="C9" s="39">
        <f t="shared" si="0"/>
        <v>1</v>
      </c>
      <c r="D9" s="41">
        <v>52</v>
      </c>
      <c r="E9" s="39">
        <f t="shared" si="1"/>
        <v>2</v>
      </c>
      <c r="F9" s="41">
        <v>54</v>
      </c>
      <c r="G9" s="39">
        <f t="shared" si="2"/>
        <v>4</v>
      </c>
      <c r="H9" s="41">
        <v>51</v>
      </c>
      <c r="I9" s="39">
        <f t="shared" si="8"/>
        <v>1</v>
      </c>
      <c r="J9" s="39">
        <f t="shared" si="9"/>
        <v>209</v>
      </c>
      <c r="K9" s="39">
        <f t="shared" si="10"/>
        <v>52.25</v>
      </c>
      <c r="L9" s="39">
        <f t="shared" si="11"/>
        <v>2</v>
      </c>
      <c r="M9" s="150">
        <f t="shared" ref="M9:M42" si="14">6049*4</f>
        <v>24196</v>
      </c>
      <c r="N9" s="39">
        <f t="shared" si="12"/>
        <v>483.92</v>
      </c>
      <c r="O9" s="39">
        <f t="shared" si="13"/>
        <v>255.99368000000001</v>
      </c>
      <c r="P9" s="42">
        <f t="shared" si="7"/>
        <v>2152.9068488000003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44384</v>
      </c>
      <c r="B10" s="41">
        <v>51</v>
      </c>
      <c r="C10" s="39">
        <f t="shared" si="0"/>
        <v>1</v>
      </c>
      <c r="D10" s="41">
        <v>50</v>
      </c>
      <c r="E10" s="39">
        <f t="shared" si="1"/>
        <v>0</v>
      </c>
      <c r="F10" s="41">
        <v>50</v>
      </c>
      <c r="G10" s="39">
        <f t="shared" si="2"/>
        <v>0</v>
      </c>
      <c r="H10" s="41">
        <v>50</v>
      </c>
      <c r="I10" s="39">
        <f t="shared" si="8"/>
        <v>0</v>
      </c>
      <c r="J10" s="39">
        <f t="shared" si="9"/>
        <v>201</v>
      </c>
      <c r="K10" s="39">
        <f t="shared" si="10"/>
        <v>50.25</v>
      </c>
      <c r="L10" s="39">
        <f t="shared" si="11"/>
        <v>0.25</v>
      </c>
      <c r="M10" s="150">
        <f t="shared" si="14"/>
        <v>24196</v>
      </c>
      <c r="N10" s="39">
        <f t="shared" si="12"/>
        <v>60.49</v>
      </c>
      <c r="O10" s="149">
        <f t="shared" si="13"/>
        <v>31.999210000000001</v>
      </c>
      <c r="P10" s="42">
        <f t="shared" si="7"/>
        <v>269.11335610000003</v>
      </c>
      <c r="Q10" s="39">
        <v>2865</v>
      </c>
      <c r="R10" s="39">
        <v>50</v>
      </c>
      <c r="S10" s="39">
        <v>85</v>
      </c>
      <c r="T10" s="39">
        <v>2559</v>
      </c>
      <c r="U10" s="39">
        <v>50</v>
      </c>
      <c r="V10" s="39">
        <v>85</v>
      </c>
      <c r="W10" s="39">
        <v>2742</v>
      </c>
      <c r="X10" s="39">
        <v>50</v>
      </c>
      <c r="Y10" s="39">
        <v>85</v>
      </c>
      <c r="Z10" s="39">
        <v>2720</v>
      </c>
      <c r="AA10" s="39">
        <v>50</v>
      </c>
      <c r="AB10" s="39">
        <v>85</v>
      </c>
      <c r="AC10" s="39">
        <f t="shared" si="3"/>
        <v>10886</v>
      </c>
      <c r="AD10" s="38">
        <f t="shared" si="4"/>
        <v>50</v>
      </c>
      <c r="AE10" s="38">
        <f t="shared" si="5"/>
        <v>85</v>
      </c>
    </row>
    <row r="11" spans="1:31" ht="32.25" customHeight="1">
      <c r="A11" s="40">
        <v>44385</v>
      </c>
      <c r="B11" s="41">
        <v>85</v>
      </c>
      <c r="C11" s="39">
        <f t="shared" si="0"/>
        <v>1</v>
      </c>
      <c r="D11" s="41">
        <v>85</v>
      </c>
      <c r="E11" s="39">
        <f t="shared" si="1"/>
        <v>0</v>
      </c>
      <c r="F11" s="41">
        <v>85</v>
      </c>
      <c r="G11" s="39">
        <f t="shared" si="2"/>
        <v>1</v>
      </c>
      <c r="H11" s="41">
        <v>85</v>
      </c>
      <c r="I11" s="39">
        <f t="shared" si="8"/>
        <v>1</v>
      </c>
      <c r="J11" s="39">
        <f t="shared" si="9"/>
        <v>340</v>
      </c>
      <c r="K11" s="39">
        <f t="shared" si="10"/>
        <v>85</v>
      </c>
      <c r="L11" s="39">
        <f t="shared" si="11"/>
        <v>0.75</v>
      </c>
      <c r="M11" s="150">
        <f t="shared" si="14"/>
        <v>24196</v>
      </c>
      <c r="N11" s="39">
        <f t="shared" si="12"/>
        <v>181.47</v>
      </c>
      <c r="O11" s="39">
        <f t="shared" si="13"/>
        <v>95.997630000000001</v>
      </c>
      <c r="P11" s="42">
        <f t="shared" si="7"/>
        <v>807.34006829999998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44386</v>
      </c>
      <c r="B12" s="41">
        <v>84</v>
      </c>
      <c r="C12" s="39">
        <f t="shared" si="0"/>
        <v>2</v>
      </c>
      <c r="D12" s="41">
        <v>85</v>
      </c>
      <c r="E12" s="39">
        <f t="shared" si="1"/>
        <v>2</v>
      </c>
      <c r="F12" s="41">
        <v>84</v>
      </c>
      <c r="G12" s="39">
        <f t="shared" si="2"/>
        <v>2</v>
      </c>
      <c r="H12" s="41">
        <v>84</v>
      </c>
      <c r="I12" s="39">
        <f t="shared" si="8"/>
        <v>1</v>
      </c>
      <c r="J12" s="39">
        <f t="shared" si="9"/>
        <v>337</v>
      </c>
      <c r="K12" s="39">
        <f t="shared" si="10"/>
        <v>84.25</v>
      </c>
      <c r="L12" s="39">
        <f t="shared" si="11"/>
        <v>1.75</v>
      </c>
      <c r="M12" s="150">
        <f t="shared" si="14"/>
        <v>24196</v>
      </c>
      <c r="N12" s="39">
        <f t="shared" si="12"/>
        <v>423.43</v>
      </c>
      <c r="O12" s="39">
        <f t="shared" si="13"/>
        <v>223.99447000000001</v>
      </c>
      <c r="P12" s="42">
        <f t="shared" si="7"/>
        <v>1883.7934927000001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44387</v>
      </c>
      <c r="B13" s="41">
        <v>82</v>
      </c>
      <c r="C13" s="39">
        <f t="shared" si="0"/>
        <v>2</v>
      </c>
      <c r="D13" s="41">
        <v>83</v>
      </c>
      <c r="E13" s="39">
        <f t="shared" si="1"/>
        <v>2</v>
      </c>
      <c r="F13" s="41">
        <v>82</v>
      </c>
      <c r="G13" s="39">
        <f t="shared" si="2"/>
        <v>2</v>
      </c>
      <c r="H13" s="41">
        <v>83</v>
      </c>
      <c r="I13" s="39">
        <f t="shared" si="8"/>
        <v>1</v>
      </c>
      <c r="J13" s="39">
        <f t="shared" si="9"/>
        <v>330</v>
      </c>
      <c r="K13" s="39">
        <f t="shared" si="10"/>
        <v>82.5</v>
      </c>
      <c r="L13" s="39">
        <f t="shared" si="11"/>
        <v>1.75</v>
      </c>
      <c r="M13" s="150">
        <f t="shared" si="14"/>
        <v>24196</v>
      </c>
      <c r="N13" s="39">
        <f t="shared" si="12"/>
        <v>423.43</v>
      </c>
      <c r="O13" s="39">
        <f t="shared" si="13"/>
        <v>223.99447000000001</v>
      </c>
      <c r="P13" s="42">
        <f t="shared" si="7"/>
        <v>1883.7934927000001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44388</v>
      </c>
      <c r="B14" s="41">
        <v>80</v>
      </c>
      <c r="C14" s="39">
        <f t="shared" si="0"/>
        <v>2</v>
      </c>
      <c r="D14" s="41">
        <v>81</v>
      </c>
      <c r="E14" s="39">
        <f t="shared" si="1"/>
        <v>2</v>
      </c>
      <c r="F14" s="41">
        <v>80</v>
      </c>
      <c r="G14" s="39">
        <f t="shared" si="2"/>
        <v>2</v>
      </c>
      <c r="H14" s="41">
        <v>82</v>
      </c>
      <c r="I14" s="39">
        <f>IF(AC14&gt;0,((H14-AA14)+(AB14-H15)),IF(H15=0, ,(H14-H15)))</f>
        <v>2</v>
      </c>
      <c r="J14" s="39">
        <f t="shared" si="9"/>
        <v>323</v>
      </c>
      <c r="K14" s="39">
        <f t="shared" si="10"/>
        <v>80.75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2152.9068488000003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44389</v>
      </c>
      <c r="B15" s="41">
        <v>78</v>
      </c>
      <c r="C15" s="39">
        <f t="shared" si="0"/>
        <v>0</v>
      </c>
      <c r="D15" s="41">
        <v>79</v>
      </c>
      <c r="E15" s="39">
        <f t="shared" si="1"/>
        <v>0</v>
      </c>
      <c r="F15" s="41">
        <v>78</v>
      </c>
      <c r="G15" s="39">
        <f t="shared" si="2"/>
        <v>0</v>
      </c>
      <c r="H15" s="41">
        <v>80</v>
      </c>
      <c r="I15" s="39">
        <f>IF(AC15&gt;0,((H15-AA15)+(AB15-H16)),IF(H16=0, ,(H15-H16)))</f>
        <v>0</v>
      </c>
      <c r="J15" s="39">
        <f t="shared" si="9"/>
        <v>315</v>
      </c>
      <c r="K15" s="39">
        <f t="shared" si="10"/>
        <v>78.75</v>
      </c>
      <c r="L15" s="39">
        <f t="shared" si="11"/>
        <v>0</v>
      </c>
      <c r="M15" s="150">
        <f t="shared" si="14"/>
        <v>24196</v>
      </c>
      <c r="N15" s="39">
        <f t="shared" si="12"/>
        <v>0</v>
      </c>
      <c r="O15" s="39">
        <f t="shared" si="13"/>
        <v>0</v>
      </c>
      <c r="P15" s="42">
        <f t="shared" si="7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44390</v>
      </c>
      <c r="B16" s="41"/>
      <c r="C16" s="39">
        <f t="shared" si="0"/>
        <v>0</v>
      </c>
      <c r="D16" s="41"/>
      <c r="E16" s="39">
        <f t="shared" si="1"/>
        <v>0</v>
      </c>
      <c r="F16" s="41"/>
      <c r="G16" s="39">
        <f t="shared" si="2"/>
        <v>0</v>
      </c>
      <c r="H16" s="41"/>
      <c r="I16" s="39">
        <f t="shared" si="8"/>
        <v>0</v>
      </c>
      <c r="J16" s="39">
        <f t="shared" si="9"/>
        <v>0</v>
      </c>
      <c r="K16" s="39">
        <f t="shared" si="10"/>
        <v>0</v>
      </c>
      <c r="L16" s="39">
        <f t="shared" si="11"/>
        <v>0</v>
      </c>
      <c r="M16" s="150">
        <f t="shared" si="14"/>
        <v>24196</v>
      </c>
      <c r="N16" s="39">
        <f t="shared" si="12"/>
        <v>0</v>
      </c>
      <c r="O16" s="39">
        <f t="shared" si="13"/>
        <v>0</v>
      </c>
      <c r="P16" s="42">
        <f t="shared" si="7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44391</v>
      </c>
      <c r="B17" s="41"/>
      <c r="C17" s="39">
        <f t="shared" si="0"/>
        <v>0</v>
      </c>
      <c r="D17" s="41"/>
      <c r="E17" s="39">
        <f t="shared" si="1"/>
        <v>0</v>
      </c>
      <c r="F17" s="41"/>
      <c r="G17" s="39">
        <f t="shared" si="2"/>
        <v>0</v>
      </c>
      <c r="H17" s="41"/>
      <c r="I17" s="39">
        <f t="shared" si="8"/>
        <v>0</v>
      </c>
      <c r="J17" s="39">
        <f t="shared" si="9"/>
        <v>0</v>
      </c>
      <c r="K17" s="39">
        <f t="shared" si="10"/>
        <v>0</v>
      </c>
      <c r="L17" s="39">
        <f t="shared" si="11"/>
        <v>0</v>
      </c>
      <c r="M17" s="150">
        <f t="shared" si="14"/>
        <v>24196</v>
      </c>
      <c r="N17" s="39">
        <f t="shared" si="12"/>
        <v>0</v>
      </c>
      <c r="O17" s="39">
        <f t="shared" si="13"/>
        <v>0</v>
      </c>
      <c r="P17" s="42">
        <f t="shared" si="7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44392</v>
      </c>
      <c r="B18" s="41"/>
      <c r="C18" s="39">
        <f t="shared" si="0"/>
        <v>0</v>
      </c>
      <c r="D18" s="41"/>
      <c r="E18" s="39">
        <f t="shared" si="1"/>
        <v>0</v>
      </c>
      <c r="F18" s="41"/>
      <c r="G18" s="39">
        <f t="shared" si="2"/>
        <v>0</v>
      </c>
      <c r="H18" s="41"/>
      <c r="I18" s="39">
        <f t="shared" si="8"/>
        <v>0</v>
      </c>
      <c r="J18" s="39">
        <f t="shared" si="9"/>
        <v>0</v>
      </c>
      <c r="K18" s="39">
        <f t="shared" si="10"/>
        <v>0</v>
      </c>
      <c r="L18" s="39">
        <f t="shared" si="11"/>
        <v>0</v>
      </c>
      <c r="M18" s="150">
        <f t="shared" si="14"/>
        <v>24196</v>
      </c>
      <c r="N18" s="39">
        <f t="shared" si="12"/>
        <v>0</v>
      </c>
      <c r="O18" s="39">
        <f t="shared" si="13"/>
        <v>0</v>
      </c>
      <c r="P18" s="42">
        <f t="shared" si="7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44393</v>
      </c>
      <c r="B19" s="41"/>
      <c r="C19" s="39">
        <f t="shared" si="0"/>
        <v>0</v>
      </c>
      <c r="D19" s="41"/>
      <c r="E19" s="39">
        <f t="shared" si="1"/>
        <v>0</v>
      </c>
      <c r="F19" s="41"/>
      <c r="G19" s="39">
        <f t="shared" si="2"/>
        <v>0</v>
      </c>
      <c r="H19" s="41"/>
      <c r="I19" s="39">
        <f t="shared" si="8"/>
        <v>0</v>
      </c>
      <c r="J19" s="39">
        <f t="shared" si="9"/>
        <v>0</v>
      </c>
      <c r="K19" s="39">
        <f t="shared" si="10"/>
        <v>0</v>
      </c>
      <c r="L19" s="39">
        <f t="shared" si="11"/>
        <v>0</v>
      </c>
      <c r="M19" s="150">
        <f t="shared" si="14"/>
        <v>24196</v>
      </c>
      <c r="N19" s="39">
        <f t="shared" si="12"/>
        <v>0</v>
      </c>
      <c r="O19" s="39">
        <f t="shared" si="13"/>
        <v>0</v>
      </c>
      <c r="P19" s="42">
        <f t="shared" si="7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44394</v>
      </c>
      <c r="B20" s="41"/>
      <c r="C20" s="39">
        <f t="shared" si="0"/>
        <v>0</v>
      </c>
      <c r="D20" s="41"/>
      <c r="E20" s="39">
        <f t="shared" si="1"/>
        <v>0</v>
      </c>
      <c r="F20" s="41"/>
      <c r="G20" s="39">
        <f t="shared" si="2"/>
        <v>0</v>
      </c>
      <c r="H20" s="41"/>
      <c r="I20" s="39">
        <f t="shared" si="8"/>
        <v>0</v>
      </c>
      <c r="J20" s="39">
        <f t="shared" si="9"/>
        <v>0</v>
      </c>
      <c r="K20" s="39">
        <f t="shared" si="10"/>
        <v>0</v>
      </c>
      <c r="L20" s="39">
        <f t="shared" ref="L20:L42" si="15">IF(AC20&gt;0,((K20-AD20)+(AE20-K21)),IF(K21=0, ,(K20-K21)))</f>
        <v>0</v>
      </c>
      <c r="M20" s="150">
        <f t="shared" si="14"/>
        <v>24196</v>
      </c>
      <c r="N20" s="39">
        <f t="shared" si="12"/>
        <v>0</v>
      </c>
      <c r="O20" s="39">
        <f t="shared" si="13"/>
        <v>0</v>
      </c>
      <c r="P20" s="42">
        <f t="shared" si="7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44395</v>
      </c>
      <c r="B21" s="41"/>
      <c r="C21" s="39">
        <f t="shared" si="0"/>
        <v>0</v>
      </c>
      <c r="D21" s="41"/>
      <c r="E21" s="39">
        <f t="shared" si="1"/>
        <v>0</v>
      </c>
      <c r="F21" s="41"/>
      <c r="G21" s="39">
        <f t="shared" si="2"/>
        <v>0</v>
      </c>
      <c r="H21" s="41"/>
      <c r="I21" s="39">
        <f t="shared" si="8"/>
        <v>0</v>
      </c>
      <c r="J21" s="39">
        <f t="shared" si="9"/>
        <v>0</v>
      </c>
      <c r="K21" s="39">
        <f t="shared" si="10"/>
        <v>0</v>
      </c>
      <c r="L21" s="39">
        <f>IF(AC21&gt;0,((K21-AD21)+(AE21-K22)),IF(K22=0, ,(K21-K22)))</f>
        <v>0</v>
      </c>
      <c r="M21" s="150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44396</v>
      </c>
      <c r="B22" s="41"/>
      <c r="C22" s="39">
        <f t="shared" si="0"/>
        <v>0</v>
      </c>
      <c r="D22" s="41"/>
      <c r="E22" s="39">
        <f t="shared" si="1"/>
        <v>0</v>
      </c>
      <c r="F22" s="41"/>
      <c r="G22" s="39">
        <f t="shared" si="2"/>
        <v>0</v>
      </c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50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44397</v>
      </c>
      <c r="B23" s="41"/>
      <c r="C23" s="39">
        <f t="shared" si="0"/>
        <v>0</v>
      </c>
      <c r="D23" s="41"/>
      <c r="E23" s="39">
        <f t="shared" si="1"/>
        <v>0</v>
      </c>
      <c r="F23" s="41"/>
      <c r="G23" s="39">
        <f t="shared" si="2"/>
        <v>0</v>
      </c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50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44398</v>
      </c>
      <c r="B24" s="41"/>
      <c r="C24" s="39">
        <f t="shared" si="0"/>
        <v>0</v>
      </c>
      <c r="D24" s="41"/>
      <c r="E24" s="39">
        <f t="shared" si="1"/>
        <v>0</v>
      </c>
      <c r="F24" s="41"/>
      <c r="G24" s="39">
        <f t="shared" si="2"/>
        <v>0</v>
      </c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50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44399</v>
      </c>
      <c r="B25" s="41"/>
      <c r="C25" s="39">
        <f t="shared" si="0"/>
        <v>0</v>
      </c>
      <c r="D25" s="41"/>
      <c r="E25" s="39">
        <f t="shared" si="1"/>
        <v>0</v>
      </c>
      <c r="F25" s="41"/>
      <c r="G25" s="39">
        <f t="shared" si="2"/>
        <v>0</v>
      </c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50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44400</v>
      </c>
      <c r="B26" s="41"/>
      <c r="C26" s="39">
        <f t="shared" si="0"/>
        <v>0</v>
      </c>
      <c r="D26" s="41"/>
      <c r="E26" s="39">
        <f t="shared" si="1"/>
        <v>0</v>
      </c>
      <c r="F26" s="41"/>
      <c r="G26" s="39">
        <f t="shared" si="2"/>
        <v>0</v>
      </c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44401</v>
      </c>
      <c r="B27" s="41"/>
      <c r="C27" s="39">
        <f t="shared" si="0"/>
        <v>0</v>
      </c>
      <c r="D27" s="41"/>
      <c r="E27" s="39">
        <f t="shared" si="1"/>
        <v>0</v>
      </c>
      <c r="F27" s="41"/>
      <c r="G27" s="39">
        <f t="shared" si="2"/>
        <v>0</v>
      </c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44402</v>
      </c>
      <c r="B28" s="41"/>
      <c r="C28" s="39">
        <f t="shared" si="0"/>
        <v>0</v>
      </c>
      <c r="D28" s="41"/>
      <c r="E28" s="39">
        <f t="shared" si="1"/>
        <v>0</v>
      </c>
      <c r="F28" s="41"/>
      <c r="G28" s="39">
        <f t="shared" si="2"/>
        <v>0</v>
      </c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44403</v>
      </c>
      <c r="B29" s="41"/>
      <c r="C29" s="39">
        <f t="shared" si="0"/>
        <v>0</v>
      </c>
      <c r="D29" s="41"/>
      <c r="E29" s="39">
        <f t="shared" si="1"/>
        <v>0</v>
      </c>
      <c r="F29" s="41"/>
      <c r="G29" s="39">
        <f t="shared" si="2"/>
        <v>0</v>
      </c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44404</v>
      </c>
      <c r="B30" s="41"/>
      <c r="C30" s="39">
        <f t="shared" si="0"/>
        <v>0</v>
      </c>
      <c r="D30" s="41"/>
      <c r="E30" s="39">
        <f t="shared" si="1"/>
        <v>0</v>
      </c>
      <c r="F30" s="41"/>
      <c r="G30" s="39">
        <f t="shared" si="2"/>
        <v>0</v>
      </c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44405</v>
      </c>
      <c r="B31" s="41"/>
      <c r="C31" s="39">
        <f t="shared" si="0"/>
        <v>0</v>
      </c>
      <c r="D31" s="41"/>
      <c r="E31" s="39">
        <f t="shared" si="1"/>
        <v>0</v>
      </c>
      <c r="F31" s="41"/>
      <c r="G31" s="39">
        <f t="shared" si="2"/>
        <v>0</v>
      </c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44406</v>
      </c>
      <c r="B32" s="41"/>
      <c r="C32" s="39">
        <f t="shared" si="0"/>
        <v>0</v>
      </c>
      <c r="D32" s="41"/>
      <c r="E32" s="39">
        <f t="shared" si="1"/>
        <v>0</v>
      </c>
      <c r="F32" s="41"/>
      <c r="G32" s="39">
        <f t="shared" si="2"/>
        <v>0</v>
      </c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44407</v>
      </c>
      <c r="B33" s="41"/>
      <c r="C33" s="39">
        <f t="shared" si="0"/>
        <v>0</v>
      </c>
      <c r="D33" s="41"/>
      <c r="E33" s="39">
        <f t="shared" si="1"/>
        <v>0</v>
      </c>
      <c r="F33" s="41"/>
      <c r="G33" s="39">
        <f t="shared" si="2"/>
        <v>0</v>
      </c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44408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44409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5130.58</v>
      </c>
      <c r="O43" s="39">
        <f>N43*0.529</f>
        <v>2714.0768200000002</v>
      </c>
      <c r="P43" s="42">
        <f>O43*8.41</f>
        <v>22825.386056200001</v>
      </c>
      <c r="Q43" s="288">
        <f>SUM(Q4:Q42)</f>
        <v>2865</v>
      </c>
      <c r="R43" s="289"/>
      <c r="S43" s="290"/>
      <c r="T43" s="291">
        <f>SUM(T4:T42)</f>
        <v>2559</v>
      </c>
      <c r="U43" s="289"/>
      <c r="V43" s="290"/>
      <c r="W43" s="291">
        <f>SUM(W4:W42)</f>
        <v>2742</v>
      </c>
      <c r="X43" s="289"/>
      <c r="Y43" s="290"/>
      <c r="Z43" s="291">
        <f>SUM(Z4:Z42)</f>
        <v>2720</v>
      </c>
      <c r="AA43" s="289"/>
      <c r="AB43" s="290"/>
      <c r="AC43" s="39">
        <f t="shared" si="17"/>
        <v>10886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10886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10886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5130.58</v>
      </c>
      <c r="L47" s="46">
        <f>O43</f>
        <v>2714.0768200000002</v>
      </c>
      <c r="M47" s="46">
        <f>P43</f>
        <v>22825.386056200001</v>
      </c>
    </row>
    <row r="48" spans="1:31" ht="54.75" customHeight="1" thickBot="1">
      <c r="H48" s="284" t="s">
        <v>86</v>
      </c>
      <c r="I48" s="285"/>
      <c r="J48" s="286"/>
      <c r="K48" s="43">
        <f>AC44</f>
        <v>10886</v>
      </c>
      <c r="L48" s="44">
        <f>K48*0.529</f>
        <v>5758.6940000000004</v>
      </c>
      <c r="M48" s="44">
        <f>L48*8.41</f>
        <v>48430.616540000003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1" sqref="C1:G4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44344</v>
      </c>
      <c r="D8" s="328"/>
      <c r="E8" s="113">
        <v>44375</v>
      </c>
      <c r="F8" s="168" t="s">
        <v>97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909</v>
      </c>
      <c r="H12" s="338"/>
      <c r="I12" s="339"/>
      <c r="J12" s="339"/>
    </row>
    <row r="13" spans="1:10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2" t="s">
        <v>110</v>
      </c>
      <c r="B17" s="343"/>
      <c r="C17" s="66">
        <v>18027836</v>
      </c>
      <c r="D17" s="66">
        <v>17830411</v>
      </c>
      <c r="E17" s="67">
        <f>MIN(C17-D17)</f>
        <v>197425</v>
      </c>
      <c r="F17" s="67">
        <f>+E17</f>
        <v>197425</v>
      </c>
      <c r="G17" s="344"/>
      <c r="H17" s="345"/>
      <c r="I17" s="344">
        <f>+E17</f>
        <v>197425</v>
      </c>
      <c r="J17" s="345"/>
    </row>
    <row r="18" spans="1:10">
      <c r="A18" s="342" t="s">
        <v>111</v>
      </c>
      <c r="B18" s="343"/>
      <c r="C18" s="66">
        <v>10683972</v>
      </c>
      <c r="D18" s="66">
        <v>10592993</v>
      </c>
      <c r="E18" s="67">
        <f>MIN(C18-D18)</f>
        <v>90979</v>
      </c>
      <c r="F18" s="67">
        <f>+E18</f>
        <v>90979</v>
      </c>
      <c r="G18" s="344"/>
      <c r="H18" s="345"/>
      <c r="I18" s="344">
        <f>+E18</f>
        <v>90979</v>
      </c>
      <c r="J18" s="345"/>
    </row>
    <row r="19" spans="1:10">
      <c r="A19" s="342" t="s">
        <v>112</v>
      </c>
      <c r="B19" s="343"/>
      <c r="C19" s="66">
        <v>7964067</v>
      </c>
      <c r="D19" s="66">
        <v>7889662</v>
      </c>
      <c r="E19" s="67">
        <f>AVERAGE(C19-D19)</f>
        <v>74405</v>
      </c>
      <c r="F19" s="67">
        <f>+E19</f>
        <v>74405</v>
      </c>
      <c r="G19" s="344"/>
      <c r="H19" s="345"/>
      <c r="I19" s="344">
        <f>+E19</f>
        <v>74405</v>
      </c>
      <c r="J19" s="345"/>
    </row>
    <row r="20" spans="1:10" ht="15">
      <c r="A20" s="346" t="s">
        <v>113</v>
      </c>
      <c r="B20" s="347"/>
      <c r="C20" s="68"/>
      <c r="D20" s="69"/>
      <c r="E20" s="68">
        <f>SUM(E17:E19)</f>
        <v>362809</v>
      </c>
      <c r="F20" s="70"/>
      <c r="G20" s="348"/>
      <c r="H20" s="349"/>
      <c r="I20" s="348"/>
      <c r="J20" s="349"/>
    </row>
    <row r="21" spans="1:10">
      <c r="C21" s="110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>
      <c r="A25" s="363" t="s">
        <v>123</v>
      </c>
      <c r="B25" s="364"/>
      <c r="C25" s="365"/>
      <c r="D25" s="67">
        <f>+E17</f>
        <v>197425</v>
      </c>
      <c r="E25" s="72">
        <v>0.95140000000000002</v>
      </c>
      <c r="F25" s="73">
        <f>PRODUCT(D25*E25)</f>
        <v>187830.14500000002</v>
      </c>
      <c r="G25" s="152">
        <v>14</v>
      </c>
      <c r="H25" s="65">
        <f>PRODUCT(0.14,F25)</f>
        <v>26296.220300000004</v>
      </c>
      <c r="I25" s="366">
        <f>SUM(H25,F25)</f>
        <v>214126.36530000003</v>
      </c>
      <c r="J25" s="367"/>
    </row>
    <row r="26" spans="1:10" ht="15">
      <c r="A26" s="368" t="s">
        <v>124</v>
      </c>
      <c r="B26" s="369"/>
      <c r="C26" s="370"/>
      <c r="D26" s="67">
        <f>+E18</f>
        <v>90979</v>
      </c>
      <c r="E26" s="74">
        <v>0.69850000000000001</v>
      </c>
      <c r="F26" s="73">
        <f>PRODUCT(D26*E26)</f>
        <v>63548.8315</v>
      </c>
      <c r="G26">
        <v>14</v>
      </c>
      <c r="H26" s="67">
        <f>PRODUCT(0.14,F26)</f>
        <v>8896.8364100000017</v>
      </c>
      <c r="I26" s="366">
        <f t="shared" ref="I26:I31" si="0">SUM(H26,F26)</f>
        <v>72445.667910000004</v>
      </c>
      <c r="J26" s="367"/>
    </row>
    <row r="27" spans="1:10" ht="15">
      <c r="A27" s="368" t="s">
        <v>125</v>
      </c>
      <c r="B27" s="369"/>
      <c r="C27" s="370"/>
      <c r="D27" s="67">
        <f>+E19</f>
        <v>74405</v>
      </c>
      <c r="E27" s="74">
        <v>1.3304</v>
      </c>
      <c r="F27" s="73">
        <f>PRODUCT(D27*E27)</f>
        <v>98988.411999999997</v>
      </c>
      <c r="G27">
        <v>14</v>
      </c>
      <c r="H27" s="67">
        <f>PRODUCT(0.14,F27)</f>
        <v>13858.377680000001</v>
      </c>
      <c r="I27" s="366">
        <f>SUM(H27,F27)</f>
        <v>112846.78968</v>
      </c>
      <c r="J27" s="367"/>
    </row>
    <row r="28" spans="1:10" ht="1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>
      <c r="A29" s="379" t="s">
        <v>127</v>
      </c>
      <c r="B29" s="380"/>
      <c r="C29" s="381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>
      <c r="A32" s="374" t="s">
        <v>130</v>
      </c>
      <c r="B32" s="375"/>
      <c r="C32" s="375"/>
      <c r="D32" s="375"/>
      <c r="E32" s="375"/>
      <c r="F32" s="84">
        <f>SUM(F25:F31)</f>
        <v>396582.05849999998</v>
      </c>
      <c r="G32" s="85"/>
      <c r="H32" s="86"/>
      <c r="I32" s="378">
        <f>SUM(I25:J31)</f>
        <v>452049.56669000001</v>
      </c>
      <c r="J32" s="378"/>
    </row>
    <row r="33" spans="1:10" ht="21.75" thickBot="1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/>
    <row r="7" spans="1:10" ht="36.75" thickTop="1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>
      <c r="A8" s="326">
        <v>95670781</v>
      </c>
      <c r="B8" s="326"/>
      <c r="C8" s="327">
        <v>44293</v>
      </c>
      <c r="D8" s="328"/>
      <c r="E8" s="113">
        <v>44323</v>
      </c>
      <c r="F8" s="168" t="s">
        <v>131</v>
      </c>
      <c r="G8" s="62"/>
      <c r="H8" s="62"/>
      <c r="I8" s="329"/>
      <c r="J8" s="330"/>
    </row>
    <row r="10" spans="1:10" ht="23.25" customHeight="1" thickBot="1"/>
    <row r="11" spans="1:10" ht="24.75" customHeight="1" thickTop="1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712</v>
      </c>
      <c r="H12" s="338"/>
      <c r="I12" s="339"/>
      <c r="J12" s="339"/>
    </row>
    <row r="13" spans="1:10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>
      <c r="A17" s="342" t="s">
        <v>110</v>
      </c>
      <c r="B17" s="343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4"/>
      <c r="H17" s="345"/>
      <c r="I17" s="344">
        <f>+E17</f>
        <v>7632</v>
      </c>
      <c r="J17" s="345"/>
    </row>
    <row r="18" spans="1:10">
      <c r="A18" s="342" t="s">
        <v>111</v>
      </c>
      <c r="B18" s="343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4"/>
      <c r="H18" s="345"/>
      <c r="I18" s="344">
        <f>+E18</f>
        <v>3388</v>
      </c>
      <c r="J18" s="345"/>
    </row>
    <row r="19" spans="1:10">
      <c r="A19" s="342" t="s">
        <v>112</v>
      </c>
      <c r="B19" s="343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4"/>
      <c r="H19" s="345"/>
      <c r="I19" s="344">
        <f>+E19</f>
        <v>2677</v>
      </c>
      <c r="J19" s="345"/>
    </row>
    <row r="20" spans="1:10" ht="15">
      <c r="A20" s="346" t="s">
        <v>113</v>
      </c>
      <c r="B20" s="347"/>
      <c r="C20" s="68"/>
      <c r="D20" s="69"/>
      <c r="E20" s="68">
        <f>SUM(E17:E19)</f>
        <v>13697</v>
      </c>
      <c r="F20" s="70"/>
      <c r="G20" s="348"/>
      <c r="H20" s="349"/>
      <c r="I20" s="348"/>
      <c r="J20" s="349"/>
    </row>
    <row r="21" spans="1:10">
      <c r="C21" s="110" t="s">
        <v>18</v>
      </c>
      <c r="D21" t="s">
        <v>114</v>
      </c>
      <c r="G21" s="350"/>
      <c r="H21" s="350"/>
    </row>
    <row r="22" spans="1:10" ht="13.5" thickBot="1">
      <c r="G22" s="351"/>
      <c r="H22" s="351"/>
    </row>
    <row r="23" spans="1:10" ht="13.5" thickTop="1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>
      <c r="A25" s="363" t="s">
        <v>123</v>
      </c>
      <c r="B25" s="364"/>
      <c r="C25" s="365"/>
      <c r="D25" s="67">
        <f>+E17</f>
        <v>7632</v>
      </c>
      <c r="E25" s="72">
        <v>0.95140000000000002</v>
      </c>
      <c r="F25" s="73">
        <f>PRODUCT(D25*E25)</f>
        <v>7261.0848000000005</v>
      </c>
      <c r="G25" s="152">
        <v>14</v>
      </c>
      <c r="H25" s="65">
        <f>PRODUCT(0.14,F25)</f>
        <v>1016.5518720000001</v>
      </c>
      <c r="I25" s="366">
        <f>SUM(H25,F25)</f>
        <v>8277.6366720000005</v>
      </c>
      <c r="J25" s="367"/>
    </row>
    <row r="26" spans="1:10" ht="15">
      <c r="A26" s="368" t="s">
        <v>124</v>
      </c>
      <c r="B26" s="369"/>
      <c r="C26" s="370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6">
        <f t="shared" ref="I26:I31" si="0">SUM(H26,F26)</f>
        <v>2697.83052</v>
      </c>
      <c r="J26" s="367"/>
    </row>
    <row r="27" spans="1:10" ht="15">
      <c r="A27" s="368" t="s">
        <v>125</v>
      </c>
      <c r="B27" s="369"/>
      <c r="C27" s="370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6">
        <f>SUM(H27,F27)</f>
        <v>4060.0881120000004</v>
      </c>
      <c r="J27" s="367"/>
    </row>
    <row r="28" spans="1:10" ht="1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>
      <c r="A29" s="379" t="s">
        <v>127</v>
      </c>
      <c r="B29" s="380"/>
      <c r="C29" s="381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>
      <c r="A32" s="374" t="s">
        <v>130</v>
      </c>
      <c r="B32" s="375"/>
      <c r="C32" s="375"/>
      <c r="D32" s="375"/>
      <c r="E32" s="375"/>
      <c r="F32" s="84">
        <f>SUM(F25:F31)</f>
        <v>59403.753599999996</v>
      </c>
      <c r="G32" s="85"/>
      <c r="H32" s="86"/>
      <c r="I32" s="378">
        <f>SUM(I25:J31)</f>
        <v>67666.299104000005</v>
      </c>
      <c r="J32" s="378"/>
    </row>
    <row r="33" spans="1:10" ht="21.75" thickBot="1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132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111004.4</v>
      </c>
      <c r="D8" s="97">
        <v>43983</v>
      </c>
      <c r="E8" s="96">
        <v>113929.60000000001</v>
      </c>
      <c r="F8" s="97">
        <v>44378</v>
      </c>
      <c r="G8" s="98">
        <f>E8-C8</f>
        <v>2925.2000000000116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142</v>
      </c>
      <c r="B13" s="400">
        <f>G8</f>
        <v>2925.2000000000116</v>
      </c>
      <c r="C13" s="400"/>
      <c r="D13" s="400">
        <v>8.7899999999999991</v>
      </c>
      <c r="E13" s="400"/>
      <c r="F13" s="402">
        <f>PRODUCT(D13,B13)</f>
        <v>25712.5080000001</v>
      </c>
      <c r="G13" s="402"/>
      <c r="H13" s="402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>
      <c r="A19" s="103" t="s">
        <v>147</v>
      </c>
      <c r="B19" s="400">
        <f>G8</f>
        <v>2925.2000000000116</v>
      </c>
      <c r="C19" s="400"/>
      <c r="D19" s="400">
        <v>2.61</v>
      </c>
      <c r="E19" s="400"/>
      <c r="F19" s="400">
        <f>PRODUCT(D19,B19)</f>
        <v>7634.7720000000299</v>
      </c>
      <c r="G19" s="400"/>
      <c r="H19" s="400"/>
    </row>
    <row r="20" spans="1:8" ht="18.75">
      <c r="A20" s="416" t="s">
        <v>148</v>
      </c>
      <c r="B20" s="417"/>
      <c r="C20" s="417"/>
      <c r="D20" s="417"/>
      <c r="E20" s="418"/>
      <c r="F20" s="419">
        <f>SUM(F11+F13+F16+F17+F18+F19)</f>
        <v>33370.28000000013</v>
      </c>
      <c r="G20" s="419"/>
      <c r="H20" s="419"/>
    </row>
    <row r="21" spans="1:8" ht="15">
      <c r="A21" s="405" t="s">
        <v>149</v>
      </c>
      <c r="B21" s="406"/>
      <c r="C21" s="406"/>
      <c r="D21" s="406"/>
      <c r="E21" s="407"/>
      <c r="F21" s="400">
        <f>PRODUCT(F20,0.07)</f>
        <v>2335.9196000000093</v>
      </c>
      <c r="G21" s="400"/>
      <c r="H21" s="400"/>
    </row>
    <row r="22" spans="1:8" ht="15">
      <c r="A22" s="420" t="s">
        <v>150</v>
      </c>
      <c r="B22" s="421"/>
      <c r="C22" s="421"/>
      <c r="D22" s="421"/>
      <c r="E22" s="422"/>
      <c r="F22" s="400">
        <v>208.26</v>
      </c>
      <c r="G22" s="400"/>
      <c r="H22" s="400"/>
    </row>
    <row r="23" spans="1:8" ht="15.75">
      <c r="A23" s="405" t="s">
        <v>151</v>
      </c>
      <c r="B23" s="406"/>
      <c r="C23" s="406"/>
      <c r="D23" s="406"/>
      <c r="E23" s="407"/>
      <c r="F23" s="408">
        <f>SUM(F21:H22)</f>
        <v>2544.1796000000095</v>
      </c>
      <c r="G23" s="408"/>
      <c r="H23" s="408"/>
    </row>
    <row r="24" spans="1:8">
      <c r="A24" s="409" t="s">
        <v>152</v>
      </c>
      <c r="B24" s="410"/>
      <c r="C24" s="410"/>
      <c r="D24" s="410"/>
      <c r="E24" s="411"/>
      <c r="F24" s="415">
        <f>SUM(F20,F23)</f>
        <v>35914.45960000014</v>
      </c>
      <c r="G24" s="415"/>
      <c r="H24" s="415"/>
    </row>
    <row r="25" spans="1:8">
      <c r="A25" s="412"/>
      <c r="B25" s="413"/>
      <c r="C25" s="413"/>
      <c r="D25" s="413"/>
      <c r="E25" s="414"/>
      <c r="F25" s="415"/>
      <c r="G25" s="415"/>
      <c r="H25" s="415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132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142</v>
      </c>
      <c r="B13" s="400">
        <f>G8</f>
        <v>98</v>
      </c>
      <c r="C13" s="400"/>
      <c r="D13" s="400">
        <v>8.5</v>
      </c>
      <c r="E13" s="400"/>
      <c r="F13" s="402">
        <f>PRODUCT(D13,B13)</f>
        <v>833</v>
      </c>
      <c r="G13" s="402"/>
      <c r="H13" s="402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>
      <c r="A19" s="103" t="s">
        <v>147</v>
      </c>
      <c r="B19" s="400">
        <v>0</v>
      </c>
      <c r="C19" s="400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400">
        <f>G8</f>
        <v>98</v>
      </c>
      <c r="C20" s="400"/>
      <c r="D20" s="400">
        <v>2.54</v>
      </c>
      <c r="E20" s="400"/>
      <c r="F20" s="400">
        <f>PRODUCT(D20,B20)</f>
        <v>248.92000000000002</v>
      </c>
      <c r="G20" s="400"/>
      <c r="H20" s="400"/>
    </row>
    <row r="21" spans="1:8" ht="18.75">
      <c r="A21" s="416" t="s">
        <v>148</v>
      </c>
      <c r="B21" s="417"/>
      <c r="C21" s="417"/>
      <c r="D21" s="417"/>
      <c r="E21" s="418"/>
      <c r="F21" s="419">
        <f>SUM(F11+F13+F16+F17+F18+F20)</f>
        <v>1104.92</v>
      </c>
      <c r="G21" s="419"/>
      <c r="H21" s="419"/>
    </row>
    <row r="22" spans="1:8" ht="15">
      <c r="A22" s="405" t="s">
        <v>149</v>
      </c>
      <c r="B22" s="406"/>
      <c r="C22" s="406"/>
      <c r="D22" s="406"/>
      <c r="E22" s="407"/>
      <c r="F22" s="400">
        <f>PRODUCT(F21,0.07)</f>
        <v>77.344400000000007</v>
      </c>
      <c r="G22" s="400"/>
      <c r="H22" s="400"/>
    </row>
    <row r="23" spans="1:8" ht="15">
      <c r="A23" s="420" t="s">
        <v>150</v>
      </c>
      <c r="B23" s="421"/>
      <c r="C23" s="421"/>
      <c r="D23" s="421"/>
      <c r="E23" s="422"/>
      <c r="F23" s="400">
        <v>208.26</v>
      </c>
      <c r="G23" s="400"/>
      <c r="H23" s="400"/>
    </row>
    <row r="24" spans="1:8" ht="15.75">
      <c r="A24" s="405" t="s">
        <v>151</v>
      </c>
      <c r="B24" s="406"/>
      <c r="C24" s="406"/>
      <c r="D24" s="406"/>
      <c r="E24" s="407"/>
      <c r="F24" s="408">
        <f>SUM(F22:H23)</f>
        <v>285.6044</v>
      </c>
      <c r="G24" s="408"/>
      <c r="H24" s="408"/>
    </row>
    <row r="25" spans="1:8">
      <c r="A25" s="409" t="s">
        <v>152</v>
      </c>
      <c r="B25" s="410"/>
      <c r="C25" s="410"/>
      <c r="D25" s="410"/>
      <c r="E25" s="411"/>
      <c r="F25" s="415">
        <f>SUM(F21,F24)</f>
        <v>1390.5244</v>
      </c>
      <c r="G25" s="415"/>
      <c r="H25" s="415"/>
    </row>
    <row r="26" spans="1:8">
      <c r="A26" s="412"/>
      <c r="B26" s="413"/>
      <c r="C26" s="413"/>
      <c r="D26" s="413"/>
      <c r="E26" s="414"/>
      <c r="F26" s="415"/>
      <c r="G26" s="415"/>
      <c r="H26" s="415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4"/>
      <c r="B1" s="303" t="s">
        <v>154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>
      <c r="A2" s="385"/>
      <c r="B2" s="305"/>
      <c r="C2" s="306"/>
      <c r="D2" s="306"/>
      <c r="E2" s="306"/>
      <c r="F2" s="390"/>
      <c r="G2" s="391"/>
      <c r="H2" s="392"/>
    </row>
    <row r="3" spans="1:8" ht="15" customHeight="1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>
      <c r="A4" s="386"/>
      <c r="B4" s="307"/>
      <c r="C4" s="308"/>
      <c r="D4" s="308"/>
      <c r="E4" s="308"/>
      <c r="F4" s="393"/>
      <c r="G4" s="394"/>
      <c r="H4" s="395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44348</v>
      </c>
      <c r="E8" s="96">
        <v>2559</v>
      </c>
      <c r="F8" s="97">
        <v>44378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6" t="s">
        <v>116</v>
      </c>
      <c r="C10" s="397"/>
      <c r="D10" s="398" t="s">
        <v>138</v>
      </c>
      <c r="E10" s="398"/>
      <c r="F10" s="396" t="s">
        <v>139</v>
      </c>
      <c r="G10" s="399"/>
      <c r="H10" s="397"/>
    </row>
    <row r="11" spans="1:8" ht="15">
      <c r="A11" s="102" t="s">
        <v>140</v>
      </c>
      <c r="B11" s="400"/>
      <c r="C11" s="400"/>
      <c r="D11" s="400"/>
      <c r="E11" s="400"/>
      <c r="F11" s="400">
        <v>15</v>
      </c>
      <c r="G11" s="400"/>
      <c r="H11" s="400"/>
    </row>
    <row r="12" spans="1:8" ht="21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>
      <c r="A13" s="102" t="s">
        <v>155</v>
      </c>
      <c r="B13" s="400">
        <f>G8</f>
        <v>0</v>
      </c>
      <c r="C13" s="400"/>
      <c r="D13" s="400">
        <v>16.48</v>
      </c>
      <c r="E13" s="400"/>
      <c r="F13" s="402">
        <f>PRODUCT(D13,B13)</f>
        <v>0</v>
      </c>
      <c r="G13" s="402"/>
      <c r="H13" s="402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400">
        <v>0</v>
      </c>
      <c r="C20" s="400"/>
      <c r="D20" s="400">
        <v>0</v>
      </c>
      <c r="E20" s="400"/>
      <c r="F20" s="400">
        <f>PRODUCT(D20,B20)</f>
        <v>0</v>
      </c>
      <c r="G20" s="400"/>
      <c r="H20" s="400"/>
    </row>
    <row r="21" spans="1:8" ht="15">
      <c r="A21" s="103" t="s">
        <v>145</v>
      </c>
      <c r="B21" s="400">
        <v>0</v>
      </c>
      <c r="C21" s="400"/>
      <c r="D21" s="400">
        <v>0</v>
      </c>
      <c r="E21" s="400"/>
      <c r="F21" s="400">
        <f>PRODUCT(D21,B21)</f>
        <v>0</v>
      </c>
      <c r="G21" s="400"/>
      <c r="H21" s="400"/>
    </row>
    <row r="22" spans="1:8" ht="15">
      <c r="A22" s="103" t="s">
        <v>146</v>
      </c>
      <c r="B22" s="400">
        <v>0</v>
      </c>
      <c r="C22" s="400"/>
      <c r="D22" s="400">
        <v>0</v>
      </c>
      <c r="E22" s="400"/>
      <c r="F22" s="400">
        <f>PRODUCT(D22,B22)</f>
        <v>0</v>
      </c>
      <c r="G22" s="400"/>
      <c r="H22" s="400"/>
    </row>
    <row r="23" spans="1:8" ht="15">
      <c r="A23" s="103" t="s">
        <v>147</v>
      </c>
      <c r="B23" s="400">
        <f>G8</f>
        <v>0</v>
      </c>
      <c r="C23" s="400"/>
      <c r="D23" s="400">
        <v>0</v>
      </c>
      <c r="E23" s="400"/>
      <c r="F23" s="400">
        <f>PRODUCT(D23,B23)</f>
        <v>0</v>
      </c>
      <c r="G23" s="400"/>
      <c r="H23" s="400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416" t="s">
        <v>148</v>
      </c>
      <c r="B25" s="417"/>
      <c r="C25" s="417"/>
      <c r="D25" s="417"/>
      <c r="E25" s="418"/>
      <c r="F25" s="425">
        <f>SUM(F11+F13+F20+F21+F22+F23)</f>
        <v>15</v>
      </c>
      <c r="G25" s="419"/>
      <c r="H25" s="419"/>
    </row>
    <row r="26" spans="1:8" ht="15">
      <c r="A26" s="405" t="s">
        <v>149</v>
      </c>
      <c r="B26" s="406"/>
      <c r="C26" s="406"/>
      <c r="D26" s="406"/>
      <c r="E26" s="407"/>
      <c r="F26" s="400">
        <v>63.63</v>
      </c>
      <c r="G26" s="400"/>
      <c r="H26" s="400"/>
    </row>
    <row r="27" spans="1:8" ht="15">
      <c r="A27" s="420" t="s">
        <v>150</v>
      </c>
      <c r="B27" s="421"/>
      <c r="C27" s="421"/>
      <c r="D27" s="421"/>
      <c r="E27" s="422"/>
      <c r="F27" s="400">
        <v>2.4300000000000002</v>
      </c>
      <c r="G27" s="400"/>
      <c r="H27" s="400"/>
    </row>
    <row r="28" spans="1:8" ht="15.75">
      <c r="A28" s="405" t="s">
        <v>151</v>
      </c>
      <c r="B28" s="406"/>
      <c r="C28" s="406"/>
      <c r="D28" s="406"/>
      <c r="E28" s="407"/>
      <c r="F28" s="408">
        <f>SUM(F26:H27)</f>
        <v>66.06</v>
      </c>
      <c r="G28" s="408"/>
      <c r="H28" s="408"/>
    </row>
    <row r="29" spans="1:8">
      <c r="A29" s="409" t="s">
        <v>152</v>
      </c>
      <c r="B29" s="410"/>
      <c r="C29" s="410"/>
      <c r="D29" s="410"/>
      <c r="E29" s="411"/>
      <c r="F29" s="415">
        <f>SUM(F25,F28)</f>
        <v>81.06</v>
      </c>
      <c r="G29" s="415"/>
      <c r="H29" s="415"/>
    </row>
    <row r="30" spans="1:8">
      <c r="A30" s="412"/>
      <c r="B30" s="413"/>
      <c r="C30" s="413"/>
      <c r="D30" s="413"/>
      <c r="E30" s="414"/>
      <c r="F30" s="415"/>
      <c r="G30" s="415"/>
      <c r="H30" s="415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H24" sqref="H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H24" sqref="H24: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H24" sqref="H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2021-07-12T08:49:09Z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