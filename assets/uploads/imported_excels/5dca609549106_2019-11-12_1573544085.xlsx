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7" i="6" l="1"/>
  <c r="E27" i="6"/>
  <c r="C27" i="6"/>
  <c r="G22" i="4"/>
  <c r="E22" i="4"/>
  <c r="C22" i="4"/>
  <c r="G26" i="6" l="1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 s="1"/>
  <c r="M19" i="4"/>
  <c r="J19" i="4"/>
  <c r="K19" i="4" s="1"/>
  <c r="M18" i="4"/>
  <c r="J18" i="4"/>
  <c r="K18" i="4" s="1"/>
  <c r="G23" i="6" l="1"/>
  <c r="E23" i="6"/>
  <c r="C23" i="6"/>
  <c r="G22" i="6" l="1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 l="1"/>
  <c r="E19" i="6"/>
  <c r="C19" i="6"/>
  <c r="G14" i="4"/>
  <c r="E14" i="4"/>
  <c r="C14" i="4"/>
  <c r="C11" i="4" l="1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W22" i="1" l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U22" i="1" l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E48" i="6"/>
  <c r="C48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23" i="4"/>
  <c r="E23" i="4"/>
  <c r="G23" i="4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 l="1"/>
  <c r="J41" i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25" i="4" l="1"/>
  <c r="J25" i="4"/>
  <c r="K25" i="4" s="1"/>
  <c r="M24" i="4"/>
  <c r="J24" i="4"/>
  <c r="K24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F15" i="1"/>
  <c r="F13" i="1"/>
  <c r="K17" i="10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L13" i="1" s="1"/>
  <c r="I20" i="6"/>
  <c r="L14" i="1" s="1"/>
  <c r="I21" i="6"/>
  <c r="L15" i="1" s="1"/>
  <c r="I22" i="6"/>
  <c r="L16" i="1" s="1"/>
  <c r="I23" i="6"/>
  <c r="L17" i="1" s="1"/>
  <c r="I24" i="6"/>
  <c r="L18" i="1" s="1"/>
  <c r="I25" i="6"/>
  <c r="L19" i="1" s="1"/>
  <c r="I26" i="6"/>
  <c r="L20" i="1" s="1"/>
  <c r="I27" i="6"/>
  <c r="I28" i="6"/>
  <c r="I29" i="6"/>
  <c r="I30" i="6"/>
  <c r="I31" i="6"/>
  <c r="M26" i="1" s="1"/>
  <c r="I32" i="6"/>
  <c r="I33" i="6"/>
  <c r="I34" i="6"/>
  <c r="I35" i="6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M22" i="1" l="1"/>
  <c r="E14" i="10" s="1"/>
  <c r="L21" i="1"/>
  <c r="E18" i="4"/>
  <c r="C18" i="4"/>
  <c r="I18" i="4"/>
  <c r="L18" i="4"/>
  <c r="N18" i="4" s="1"/>
  <c r="O18" i="4" s="1"/>
  <c r="P18" i="4" s="1"/>
  <c r="G18" i="4"/>
  <c r="AC43" i="4"/>
  <c r="K48" i="4" s="1"/>
  <c r="L48" i="4" s="1"/>
  <c r="M48" i="4" s="1"/>
  <c r="L19" i="4"/>
  <c r="N19" i="4" s="1"/>
  <c r="O19" i="4" s="1"/>
  <c r="G19" i="4"/>
  <c r="E19" i="4"/>
  <c r="C19" i="4"/>
  <c r="I19" i="4"/>
  <c r="I20" i="4"/>
  <c r="L20" i="4"/>
  <c r="N20" i="4" s="1"/>
  <c r="O20" i="4" s="1"/>
  <c r="G20" i="4"/>
  <c r="E20" i="4"/>
  <c r="C20" i="4"/>
  <c r="C21" i="4"/>
  <c r="I21" i="4"/>
  <c r="L21" i="4"/>
  <c r="N21" i="4" s="1"/>
  <c r="O21" i="4" s="1"/>
  <c r="G21" i="4"/>
  <c r="E21" i="4"/>
  <c r="Z12" i="1"/>
  <c r="I48" i="6"/>
  <c r="L10" i="1"/>
  <c r="L41" i="1" s="1"/>
  <c r="O11" i="4"/>
  <c r="U10" i="1" s="1"/>
  <c r="I2" i="10"/>
  <c r="Y41" i="1"/>
  <c r="G40" i="4"/>
  <c r="C40" i="4"/>
  <c r="E40" i="4"/>
  <c r="G32" i="4"/>
  <c r="C32" i="4"/>
  <c r="E32" i="4"/>
  <c r="G28" i="4"/>
  <c r="C28" i="4"/>
  <c r="E28" i="4"/>
  <c r="C37" i="4"/>
  <c r="E37" i="4"/>
  <c r="G37" i="4"/>
  <c r="I29" i="4"/>
  <c r="C29" i="4"/>
  <c r="E29" i="4"/>
  <c r="G29" i="4"/>
  <c r="C38" i="4"/>
  <c r="E38" i="4"/>
  <c r="G38" i="4"/>
  <c r="C34" i="4"/>
  <c r="E34" i="4"/>
  <c r="G34" i="4"/>
  <c r="C30" i="4"/>
  <c r="E30" i="4"/>
  <c r="G30" i="4"/>
  <c r="C26" i="4"/>
  <c r="E26" i="4"/>
  <c r="G26" i="4"/>
  <c r="G36" i="4"/>
  <c r="C36" i="4"/>
  <c r="E36" i="4"/>
  <c r="G24" i="4"/>
  <c r="C24" i="4"/>
  <c r="E24" i="4"/>
  <c r="I36" i="4"/>
  <c r="C41" i="4"/>
  <c r="E41" i="4"/>
  <c r="G41" i="4"/>
  <c r="C33" i="4"/>
  <c r="E33" i="4"/>
  <c r="G33" i="4"/>
  <c r="C25" i="4"/>
  <c r="E25" i="4"/>
  <c r="G25" i="4"/>
  <c r="E39" i="4"/>
  <c r="G39" i="4"/>
  <c r="C39" i="4"/>
  <c r="E35" i="4"/>
  <c r="G35" i="4"/>
  <c r="C35" i="4"/>
  <c r="E31" i="4"/>
  <c r="G31" i="4"/>
  <c r="C31" i="4"/>
  <c r="E27" i="4"/>
  <c r="G27" i="4"/>
  <c r="C27" i="4"/>
  <c r="E5" i="4"/>
  <c r="C5" i="4"/>
  <c r="G5" i="4"/>
  <c r="G10" i="4"/>
  <c r="E10" i="4"/>
  <c r="C10" i="4"/>
  <c r="L6" i="4"/>
  <c r="N6" i="4" s="1"/>
  <c r="O6" i="4" s="1"/>
  <c r="P6" i="4" s="1"/>
  <c r="I17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I24" i="4"/>
  <c r="L24" i="4"/>
  <c r="N24" i="4" s="1"/>
  <c r="O24" i="4" s="1"/>
  <c r="P24" i="4" s="1"/>
  <c r="L25" i="4"/>
  <c r="N25" i="4" s="1"/>
  <c r="O25" i="4" s="1"/>
  <c r="P25" i="4" s="1"/>
  <c r="I25" i="4"/>
  <c r="Z25" i="1"/>
  <c r="Z23" i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U13" i="1" s="1"/>
  <c r="W13" i="1" s="1"/>
  <c r="I12" i="4"/>
  <c r="L12" i="4"/>
  <c r="N12" i="4" s="1"/>
  <c r="O12" i="4" s="1"/>
  <c r="I5" i="10"/>
  <c r="M11" i="1"/>
  <c r="E3" i="10" s="1"/>
  <c r="Z11" i="1"/>
  <c r="K2" i="10"/>
  <c r="E26" i="10"/>
  <c r="O34" i="1"/>
  <c r="O32" i="1"/>
  <c r="E24" i="10"/>
  <c r="F40" i="1"/>
  <c r="M24" i="1"/>
  <c r="M18" i="1"/>
  <c r="K19" i="10"/>
  <c r="F33" i="1"/>
  <c r="O22" i="1"/>
  <c r="F11" i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I8" i="4"/>
  <c r="L27" i="4"/>
  <c r="N27" i="4" s="1"/>
  <c r="O27" i="4" s="1"/>
  <c r="P27" i="4" s="1"/>
  <c r="I16" i="4"/>
  <c r="L22" i="4"/>
  <c r="N22" i="4" s="1"/>
  <c r="O22" i="4" s="1"/>
  <c r="L37" i="4"/>
  <c r="N37" i="4" s="1"/>
  <c r="O37" i="4" s="1"/>
  <c r="L28" i="4"/>
  <c r="N28" i="4" s="1"/>
  <c r="O28" i="4" s="1"/>
  <c r="I7" i="4"/>
  <c r="I31" i="4"/>
  <c r="I27" i="4"/>
  <c r="I30" i="4"/>
  <c r="Q44" i="4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L26" i="4"/>
  <c r="N26" i="4" s="1"/>
  <c r="O26" i="4" s="1"/>
  <c r="I26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6" i="1" s="1"/>
  <c r="W16" i="1" s="1"/>
  <c r="L9" i="4"/>
  <c r="N9" i="4" s="1"/>
  <c r="O9" i="4" s="1"/>
  <c r="P9" i="4" s="1"/>
  <c r="U17" i="1"/>
  <c r="W17" i="1" s="1"/>
  <c r="K30" i="10"/>
  <c r="F38" i="1"/>
  <c r="F32" i="1"/>
  <c r="Z10" i="1"/>
  <c r="I9" i="4"/>
  <c r="F30" i="1"/>
  <c r="I35" i="4"/>
  <c r="I7" i="10"/>
  <c r="Z15" i="1"/>
  <c r="I38" i="4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4" i="1" s="1"/>
  <c r="W14" i="1" s="1"/>
  <c r="G43" i="1"/>
  <c r="J43" i="1" s="1"/>
  <c r="L16" i="4"/>
  <c r="N16" i="4" s="1"/>
  <c r="O16" i="4" s="1"/>
  <c r="U15" i="1" s="1"/>
  <c r="W15" i="1" s="1"/>
  <c r="I42" i="4"/>
  <c r="L36" i="4"/>
  <c r="N36" i="4" s="1"/>
  <c r="O36" i="4" s="1"/>
  <c r="L30" i="4"/>
  <c r="N30" i="4" s="1"/>
  <c r="O30" i="4" s="1"/>
  <c r="P22" i="4" l="1"/>
  <c r="U21" i="1"/>
  <c r="W21" i="1" s="1"/>
  <c r="O19" i="1"/>
  <c r="P21" i="4"/>
  <c r="U20" i="1"/>
  <c r="W20" i="1" s="1"/>
  <c r="P19" i="4"/>
  <c r="U18" i="1"/>
  <c r="W18" i="1" s="1"/>
  <c r="C43" i="4"/>
  <c r="P20" i="4"/>
  <c r="U19" i="1"/>
  <c r="W19" i="1" s="1"/>
  <c r="G43" i="4"/>
  <c r="E43" i="4"/>
  <c r="Z41" i="1"/>
  <c r="I43" i="4"/>
  <c r="O13" i="1"/>
  <c r="M41" i="1"/>
  <c r="P12" i="4"/>
  <c r="U11" i="1"/>
  <c r="W11" i="1" s="1"/>
  <c r="N43" i="4"/>
  <c r="W10" i="1"/>
  <c r="U41" i="1"/>
  <c r="O37" i="1"/>
  <c r="E8" i="10"/>
  <c r="E19" i="10"/>
  <c r="E15" i="10"/>
  <c r="O11" i="1"/>
  <c r="P32" i="4"/>
  <c r="P29" i="4"/>
  <c r="P23" i="4"/>
  <c r="G18" i="10"/>
  <c r="O18" i="10" s="1"/>
  <c r="P26" i="4"/>
  <c r="P30" i="4"/>
  <c r="G11" i="10"/>
  <c r="O11" i="10" s="1"/>
  <c r="P28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F41" i="1" s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O30" i="1"/>
  <c r="E22" i="10"/>
  <c r="W41" i="1" l="1"/>
  <c r="G12" i="10"/>
  <c r="O12" i="10" s="1"/>
  <c r="O41" i="1"/>
  <c r="O19" i="10"/>
  <c r="G14" i="10"/>
  <c r="O14" i="10" s="1"/>
  <c r="P10" i="4"/>
  <c r="G22" i="10"/>
  <c r="O22" i="10" s="1"/>
  <c r="G28" i="10"/>
  <c r="O28" i="10" s="1"/>
  <c r="G23" i="10"/>
  <c r="O23" i="10" s="1"/>
  <c r="G47" i="1"/>
  <c r="J47" i="1" s="1"/>
  <c r="L47" i="1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<sst xmlns="http://schemas.openxmlformats.org/spreadsheetml/2006/main" count="124" uniqueCount="82">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</sst>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5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66944"/>
        <c:axId val="91308032"/>
      </c:lineChart>
      <c:dateAx>
        <c:axId val="684669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08032"/>
        <c:crosses val="autoZero"/>
        <c:auto val="1"/>
        <c:lblOffset val="100"/>
        <c:baseTimeUnit val="days"/>
      </c:dateAx>
      <c:valAx>
        <c:axId val="91308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46694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39008"/>
        <c:axId val="91348992"/>
      </c:lineChart>
      <c:dateAx>
        <c:axId val="91339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48992"/>
        <c:crosses val="autoZero"/>
        <c:auto val="1"/>
        <c:lblOffset val="100"/>
        <c:baseTimeUnit val="days"/>
      </c:dateAx>
      <c:valAx>
        <c:axId val="913489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3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24096"/>
        <c:axId val="94725632"/>
      </c:lineChart>
      <c:dateAx>
        <c:axId val="9472409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5632"/>
        <c:crosses val="autoZero"/>
        <c:auto val="1"/>
        <c:lblOffset val="100"/>
        <c:baseTimeUnit val="days"/>
      </c:dateAx>
      <c:valAx>
        <c:axId val="947256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2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2" sqref="A12:XFD12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0</v>
      </c>
      <c r="F13" s="112">
        <v>1.002</v>
      </c>
      <c r="G13" s="112">
        <f>'Consommation du 01.11 au 30.11'!U21</f>
        <v>0</v>
      </c>
      <c r="H13" s="112">
        <v>8.0277999999999992</v>
      </c>
      <c r="I13" s="112">
        <f>'Consommation du 01.11 au 30.11'!Y21*1000</f>
        <v>0</v>
      </c>
      <c r="J13" s="112">
        <v>0.84</v>
      </c>
      <c r="K13" s="112">
        <f>'Consommation du 01.11 au 30.11'!D21</f>
        <v>0</v>
      </c>
      <c r="L13" s="112">
        <v>12.67</v>
      </c>
      <c r="M13" s="126">
        <f>'Consommation du 01.11 au 30.11'!AC21</f>
        <v>0</v>
      </c>
      <c r="N13" s="126"/>
      <c r="O13" s="112">
        <f t="shared" si="0"/>
        <v>0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0</v>
      </c>
      <c r="F14" s="112">
        <v>1.002</v>
      </c>
      <c r="G14" s="112">
        <f>'Consommation du 01.11 au 30.11'!U22</f>
        <v>0</v>
      </c>
      <c r="H14" s="112">
        <v>8.0277999999999992</v>
      </c>
      <c r="I14" s="112">
        <f>'Consommation du 01.11 au 30.11'!Y22*1000</f>
        <v>0</v>
      </c>
      <c r="J14" s="112">
        <v>0.84</v>
      </c>
      <c r="K14" s="112">
        <f>'Consommation du 01.11 au 30.11'!D22</f>
        <v>0</v>
      </c>
      <c r="L14" s="112">
        <v>12.67</v>
      </c>
      <c r="M14" s="126">
        <f>'Consommation du 01.11 au 30.11'!AC22</f>
        <v>0</v>
      </c>
      <c r="N14" s="126"/>
      <c r="O14" s="112">
        <f t="shared" si="0"/>
        <v>0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0</v>
      </c>
      <c r="F15" s="112">
        <v>1.002</v>
      </c>
      <c r="G15" s="112">
        <f>'Consommation du 01.11 au 30.11'!U23</f>
        <v>0</v>
      </c>
      <c r="H15" s="112">
        <v>8.0277999999999992</v>
      </c>
      <c r="I15" s="112">
        <f>'Consommation du 01.11 au 30.11'!Y23*1000</f>
        <v>0</v>
      </c>
      <c r="J15" s="112">
        <v>0.84</v>
      </c>
      <c r="K15" s="112">
        <f>'Consommation du 01.11 au 30.11'!D23</f>
        <v>0</v>
      </c>
      <c r="L15" s="112">
        <v>12.67</v>
      </c>
      <c r="M15" s="126">
        <f>'Consommation du 01.11 au 30.11'!AC23</f>
        <v>0</v>
      </c>
      <c r="N15" s="126"/>
      <c r="O15" s="112">
        <f t="shared" si="0"/>
        <v>0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0</v>
      </c>
      <c r="F16" s="112">
        <v>1.002</v>
      </c>
      <c r="G16" s="112">
        <f>'Consommation du 01.11 au 30.11'!U24</f>
        <v>0</v>
      </c>
      <c r="H16" s="112">
        <v>8.0277999999999992</v>
      </c>
      <c r="I16" s="112">
        <f>'Consommation du 01.11 au 30.11'!Y24*1000</f>
        <v>0</v>
      </c>
      <c r="J16" s="112">
        <v>0.84</v>
      </c>
      <c r="K16" s="112">
        <f>'Consommation du 01.11 au 30.11'!D24</f>
        <v>0</v>
      </c>
      <c r="L16" s="112">
        <v>12.67</v>
      </c>
      <c r="M16" s="126">
        <f>'Consommation du 01.11 au 30.11'!AC24</f>
        <v>0</v>
      </c>
      <c r="N16" s="126"/>
      <c r="O16" s="112">
        <f t="shared" si="0"/>
        <v>0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0</v>
      </c>
      <c r="F17" s="112">
        <v>1.002</v>
      </c>
      <c r="G17" s="112">
        <f>'Consommation du 01.11 au 30.11'!U25</f>
        <v>0</v>
      </c>
      <c r="H17" s="112">
        <v>8.0277999999999992</v>
      </c>
      <c r="I17" s="112">
        <f>'Consommation du 01.11 au 30.11'!Y25*1000</f>
        <v>0</v>
      </c>
      <c r="J17" s="112">
        <v>0.84</v>
      </c>
      <c r="K17" s="112">
        <f>'Consommation du 01.11 au 30.11'!D25</f>
        <v>0</v>
      </c>
      <c r="L17" s="112">
        <v>12.67</v>
      </c>
      <c r="M17" s="126">
        <f>'Consommation du 01.11 au 30.11'!AC25</f>
        <v>0</v>
      </c>
      <c r="N17" s="126"/>
      <c r="O17" s="112">
        <f t="shared" si="0"/>
        <v>0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0</v>
      </c>
      <c r="F18" s="112">
        <v>1.002</v>
      </c>
      <c r="G18" s="112">
        <f>'Consommation du 01.11 au 30.11'!U26</f>
        <v>0</v>
      </c>
      <c r="H18" s="112">
        <v>8.0277999999999992</v>
      </c>
      <c r="I18" s="112">
        <f>'Consommation du 01.11 au 30.11'!Y26*1000</f>
        <v>0</v>
      </c>
      <c r="J18" s="112">
        <v>0.84</v>
      </c>
      <c r="K18" s="112">
        <f>'Consommation du 01.11 au 30.11'!D26</f>
        <v>0</v>
      </c>
      <c r="L18" s="112">
        <v>12.67</v>
      </c>
      <c r="M18" s="126">
        <f>'Consommation du 01.11 au 30.11'!AC26</f>
        <v>0</v>
      </c>
      <c r="N18" s="126"/>
      <c r="O18" s="112">
        <f t="shared" si="0"/>
        <v>0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0</v>
      </c>
      <c r="F19" s="112">
        <v>1.002</v>
      </c>
      <c r="G19" s="112">
        <f>'Consommation du 01.11 au 30.11'!U27</f>
        <v>0</v>
      </c>
      <c r="H19" s="112">
        <v>8.0277999999999992</v>
      </c>
      <c r="I19" s="112">
        <f>'Consommation du 01.11 au 30.11'!Y27*1000</f>
        <v>0</v>
      </c>
      <c r="J19" s="112">
        <v>0.84</v>
      </c>
      <c r="K19" s="112">
        <f>'Consommation du 01.11 au 30.11'!D27</f>
        <v>0</v>
      </c>
      <c r="L19" s="112">
        <v>12.67</v>
      </c>
      <c r="M19" s="126">
        <f>'Consommation du 01.11 au 30.11'!AC27</f>
        <v>0</v>
      </c>
      <c r="N19" s="126"/>
      <c r="O19" s="112">
        <f t="shared" si="0"/>
        <v>0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0</v>
      </c>
      <c r="F20" s="112">
        <v>1.002</v>
      </c>
      <c r="G20" s="112">
        <f>'Consommation du 01.11 au 30.11'!U28</f>
        <v>0</v>
      </c>
      <c r="H20" s="112">
        <v>8.0277999999999992</v>
      </c>
      <c r="I20" s="112">
        <f>'Consommation du 01.11 au 30.11'!Y28*1000</f>
        <v>0</v>
      </c>
      <c r="J20" s="112">
        <v>0.84</v>
      </c>
      <c r="K20" s="112">
        <f>'Consommation du 01.11 au 30.11'!D28</f>
        <v>0</v>
      </c>
      <c r="L20" s="112">
        <v>12.67</v>
      </c>
      <c r="M20" s="126">
        <f>'Consommation du 01.11 au 30.11'!AC28</f>
        <v>0</v>
      </c>
      <c r="N20" s="126"/>
      <c r="O20" s="112">
        <f t="shared" si="0"/>
        <v>0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9" zoomScale="55" zoomScaleNormal="55" zoomScaleSheetLayoutView="50" workbookViewId="0">
      <selection activeCell="X21" sqref="X21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35"/>
      <c r="B2" s="236"/>
      <c r="C2" s="236"/>
      <c r="D2" s="236"/>
      <c r="E2" s="236"/>
      <c r="F2" s="237"/>
      <c r="G2" s="226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8"/>
      <c r="AD2" s="211"/>
      <c r="AE2" s="211"/>
      <c r="AF2" s="211"/>
      <c r="AJ2" s="66"/>
    </row>
    <row r="3" spans="1:37" ht="1.5" customHeight="1" x14ac:dyDescent="0.2"/>
    <row r="4" spans="1:37" ht="39" hidden="1" customHeight="1" x14ac:dyDescent="0.2">
      <c r="A4" s="238"/>
      <c r="B4" s="238"/>
      <c r="C4" s="23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38"/>
      <c r="B5" s="238"/>
      <c r="C5" s="238"/>
      <c r="D5" s="6"/>
      <c r="E5" s="6"/>
      <c r="F5" s="6"/>
      <c r="G5" s="6"/>
      <c r="H5" s="6"/>
      <c r="I5" s="6"/>
      <c r="J5" s="6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6"/>
      <c r="E7" s="176"/>
      <c r="F7" s="176"/>
      <c r="G7" s="176"/>
      <c r="H7" s="176"/>
      <c r="I7" s="176"/>
      <c r="J7" s="176"/>
      <c r="K7" s="176"/>
      <c r="L7" s="177"/>
      <c r="M7" s="177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4"/>
      <c r="AC7" s="14"/>
      <c r="AI7" s="6"/>
      <c r="AJ7" s="6"/>
      <c r="AK7" s="6"/>
    </row>
    <row r="8" spans="1:37" ht="2.25" customHeight="1" thickBot="1" x14ac:dyDescent="0.25">
      <c r="A8" s="176"/>
      <c r="B8" s="240" t="s">
        <v>1</v>
      </c>
      <c r="C8" s="4"/>
      <c r="D8" s="241" t="s">
        <v>4</v>
      </c>
      <c r="E8" s="5"/>
      <c r="F8" s="229" t="s">
        <v>12</v>
      </c>
      <c r="G8" s="230"/>
      <c r="H8" s="231"/>
      <c r="I8" s="5"/>
      <c r="J8" s="180" t="s">
        <v>3</v>
      </c>
      <c r="K8" s="180"/>
      <c r="L8" s="180"/>
      <c r="M8" s="180" t="s">
        <v>2</v>
      </c>
      <c r="N8" s="5"/>
      <c r="O8" s="182" t="s">
        <v>12</v>
      </c>
      <c r="P8" s="5"/>
      <c r="Q8" s="182" t="s">
        <v>5</v>
      </c>
      <c r="R8" s="5"/>
      <c r="S8" s="182" t="s">
        <v>6</v>
      </c>
      <c r="T8" s="5"/>
      <c r="U8" s="178" t="s">
        <v>39</v>
      </c>
      <c r="V8" s="5"/>
      <c r="W8" s="182" t="s">
        <v>12</v>
      </c>
      <c r="X8" s="74"/>
      <c r="Y8" s="74"/>
      <c r="Z8" s="74"/>
      <c r="AA8" s="181"/>
      <c r="AB8" s="243" t="s">
        <v>80</v>
      </c>
      <c r="AC8" s="182" t="s">
        <v>75</v>
      </c>
      <c r="AD8" s="249" t="s">
        <v>54</v>
      </c>
      <c r="AE8" s="247" t="s">
        <v>59</v>
      </c>
      <c r="AF8" s="247" t="s">
        <v>60</v>
      </c>
      <c r="AG8" s="245" t="s">
        <v>61</v>
      </c>
      <c r="AH8" s="245" t="s">
        <v>62</v>
      </c>
      <c r="AI8" s="78"/>
      <c r="AJ8" s="78"/>
      <c r="AK8" s="78"/>
    </row>
    <row r="9" spans="1:37" ht="116.25" customHeight="1" thickBot="1" x14ac:dyDescent="0.25">
      <c r="A9" s="176"/>
      <c r="B9" s="240"/>
      <c r="C9" s="4"/>
      <c r="D9" s="242"/>
      <c r="E9" s="5"/>
      <c r="F9" s="232"/>
      <c r="G9" s="233"/>
      <c r="H9" s="234"/>
      <c r="I9" s="5"/>
      <c r="J9" s="90" t="s">
        <v>7</v>
      </c>
      <c r="K9" s="90" t="s">
        <v>8</v>
      </c>
      <c r="L9" s="90" t="s">
        <v>9</v>
      </c>
      <c r="M9" s="180"/>
      <c r="N9" s="5"/>
      <c r="O9" s="183"/>
      <c r="P9" s="5"/>
      <c r="Q9" s="183"/>
      <c r="R9" s="5"/>
      <c r="S9" s="183"/>
      <c r="T9" s="5"/>
      <c r="U9" s="179"/>
      <c r="V9" s="5"/>
      <c r="W9" s="183"/>
      <c r="X9" s="140" t="s">
        <v>81</v>
      </c>
      <c r="Y9" s="105" t="s">
        <v>55</v>
      </c>
      <c r="Z9" s="106" t="s">
        <v>56</v>
      </c>
      <c r="AA9" s="181"/>
      <c r="AB9" s="244"/>
      <c r="AC9" s="239"/>
      <c r="AD9" s="250"/>
      <c r="AE9" s="248"/>
      <c r="AF9" s="248"/>
      <c r="AG9" s="246"/>
      <c r="AH9" s="246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173">
        <f>D10*12.67</f>
        <v>8235.5</v>
      </c>
      <c r="G10" s="173"/>
      <c r="H10" s="174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173">
        <f t="shared" ref="F11:F40" si="0">D11*12.67</f>
        <v>6208.3</v>
      </c>
      <c r="G11" s="173"/>
      <c r="H11" s="174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173">
        <f t="shared" si="0"/>
        <v>6715.1</v>
      </c>
      <c r="G12" s="173"/>
      <c r="H12" s="174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173">
        <f t="shared" si="0"/>
        <v>6715.1</v>
      </c>
      <c r="G13" s="173"/>
      <c r="H13" s="174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173">
        <f t="shared" si="0"/>
        <v>10389.4</v>
      </c>
      <c r="G14" s="173"/>
      <c r="H14" s="174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173">
        <f t="shared" si="0"/>
        <v>7221.9</v>
      </c>
      <c r="G15" s="173"/>
      <c r="H15" s="174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173">
        <f t="shared" si="0"/>
        <v>6715.1</v>
      </c>
      <c r="G16" s="173"/>
      <c r="H16" s="174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173">
        <f t="shared" si="0"/>
        <v>6588.4</v>
      </c>
      <c r="G17" s="173"/>
      <c r="H17" s="174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173">
        <f t="shared" si="0"/>
        <v>5448.1</v>
      </c>
      <c r="G18" s="173"/>
      <c r="H18" s="174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173">
        <f t="shared" si="0"/>
        <v>5828.2</v>
      </c>
      <c r="G19" s="173"/>
      <c r="H19" s="174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173">
        <f t="shared" si="0"/>
        <v>6081.6</v>
      </c>
      <c r="G20" s="173"/>
      <c r="H20" s="174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0</v>
      </c>
      <c r="E21" s="116"/>
      <c r="F21" s="173">
        <f t="shared" si="0"/>
        <v>0</v>
      </c>
      <c r="G21" s="173"/>
      <c r="H21" s="174"/>
      <c r="I21" s="97"/>
      <c r="J21" s="121">
        <f>'Suivi EAU-ELEC'!E27</f>
        <v>0</v>
      </c>
      <c r="K21" s="122">
        <f>'Suivi EAU-ELEC'!G27</f>
        <v>0</v>
      </c>
      <c r="L21" s="122">
        <f>'Suivi EAU-ELEC'!I27</f>
        <v>0</v>
      </c>
      <c r="M21" s="123">
        <f t="shared" si="1"/>
        <v>0</v>
      </c>
      <c r="N21" s="96"/>
      <c r="O21" s="99">
        <f t="shared" si="2"/>
        <v>0</v>
      </c>
      <c r="P21" s="95"/>
      <c r="Q21" s="94"/>
      <c r="R21" s="93"/>
      <c r="S21" s="94"/>
      <c r="T21" s="101"/>
      <c r="U21" s="100">
        <f>'Suvi Gaz'!O22</f>
        <v>0</v>
      </c>
      <c r="V21" s="97"/>
      <c r="W21" s="99">
        <f t="shared" si="3"/>
        <v>0</v>
      </c>
      <c r="X21" s="161">
        <v>15259.42</v>
      </c>
      <c r="Y21" s="103">
        <f t="shared" si="4"/>
        <v>0</v>
      </c>
      <c r="Z21" s="104">
        <f t="shared" si="5"/>
        <v>0</v>
      </c>
      <c r="AA21" s="102">
        <v>14</v>
      </c>
      <c r="AB21" s="119"/>
      <c r="AC21" s="133"/>
      <c r="AD21" s="129"/>
      <c r="AE21" s="136"/>
      <c r="AF21" s="137"/>
      <c r="AG21" s="134"/>
      <c r="AH21" s="135"/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0</v>
      </c>
      <c r="E22" s="116"/>
      <c r="F22" s="173">
        <f t="shared" si="0"/>
        <v>0</v>
      </c>
      <c r="G22" s="173"/>
      <c r="H22" s="174"/>
      <c r="I22" s="97"/>
      <c r="J22" s="121">
        <f>'Suivi EAU-ELEC'!E28</f>
        <v>0</v>
      </c>
      <c r="K22" s="122">
        <f>'Suivi EAU-ELEC'!G28</f>
        <v>0</v>
      </c>
      <c r="L22" s="122">
        <f>'Suivi EAU-ELEC'!I28</f>
        <v>0</v>
      </c>
      <c r="M22" s="123">
        <f t="shared" si="1"/>
        <v>0</v>
      </c>
      <c r="N22" s="96"/>
      <c r="O22" s="99">
        <f t="shared" si="2"/>
        <v>0</v>
      </c>
      <c r="P22" s="95"/>
      <c r="Q22" s="94"/>
      <c r="R22" s="93"/>
      <c r="S22" s="94"/>
      <c r="T22" s="101"/>
      <c r="U22" s="100">
        <f>'Suvi Gaz'!O23</f>
        <v>0</v>
      </c>
      <c r="V22" s="97"/>
      <c r="W22" s="99">
        <f t="shared" si="3"/>
        <v>0</v>
      </c>
      <c r="X22" s="138"/>
      <c r="Y22" s="103">
        <f t="shared" si="4"/>
        <v>0</v>
      </c>
      <c r="Z22" s="104">
        <f t="shared" si="5"/>
        <v>0</v>
      </c>
      <c r="AA22" s="97"/>
      <c r="AB22" s="119"/>
      <c r="AC22" s="133"/>
      <c r="AD22" s="129"/>
      <c r="AE22" s="136"/>
      <c r="AF22" s="137"/>
      <c r="AG22" s="134"/>
      <c r="AH22" s="135"/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0</v>
      </c>
      <c r="E23" s="116"/>
      <c r="F23" s="173">
        <f t="shared" si="0"/>
        <v>0</v>
      </c>
      <c r="G23" s="173"/>
      <c r="H23" s="174"/>
      <c r="I23" s="97"/>
      <c r="J23" s="121">
        <f>'Suivi EAU-ELEC'!E29</f>
        <v>0</v>
      </c>
      <c r="K23" s="122">
        <f>'Suivi EAU-ELEC'!G29</f>
        <v>0</v>
      </c>
      <c r="L23" s="122">
        <f>'Suivi EAU-ELEC'!I29</f>
        <v>0</v>
      </c>
      <c r="M23" s="123">
        <f t="shared" si="1"/>
        <v>0</v>
      </c>
      <c r="N23" s="96"/>
      <c r="O23" s="99">
        <f t="shared" si="2"/>
        <v>0</v>
      </c>
      <c r="P23" s="95"/>
      <c r="Q23" s="94"/>
      <c r="R23" s="93"/>
      <c r="S23" s="94"/>
      <c r="T23" s="101"/>
      <c r="U23" s="100">
        <f>'Suvi Gaz'!O24</f>
        <v>0</v>
      </c>
      <c r="V23" s="97"/>
      <c r="W23" s="99">
        <f t="shared" si="3"/>
        <v>0</v>
      </c>
      <c r="X23" s="138"/>
      <c r="Y23" s="103">
        <f t="shared" si="4"/>
        <v>0</v>
      </c>
      <c r="Z23" s="104">
        <f t="shared" si="5"/>
        <v>0</v>
      </c>
      <c r="AA23" s="97"/>
      <c r="AB23" s="119"/>
      <c r="AC23" s="133"/>
      <c r="AD23" s="129"/>
      <c r="AE23" s="136"/>
      <c r="AF23" s="137"/>
      <c r="AG23" s="134"/>
      <c r="AH23" s="135"/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0</v>
      </c>
      <c r="E24" s="116"/>
      <c r="F24" s="173">
        <f t="shared" si="0"/>
        <v>0</v>
      </c>
      <c r="G24" s="173"/>
      <c r="H24" s="174"/>
      <c r="I24" s="97"/>
      <c r="J24" s="121">
        <f>'Suivi EAU-ELEC'!E30</f>
        <v>0</v>
      </c>
      <c r="K24" s="122">
        <f>'Suivi EAU-ELEC'!G30</f>
        <v>0</v>
      </c>
      <c r="L24" s="122">
        <f>'Suivi EAU-ELEC'!I30</f>
        <v>0</v>
      </c>
      <c r="M24" s="123">
        <f t="shared" si="1"/>
        <v>0</v>
      </c>
      <c r="N24" s="96"/>
      <c r="O24" s="99">
        <f t="shared" si="2"/>
        <v>0</v>
      </c>
      <c r="P24" s="95"/>
      <c r="Q24" s="94"/>
      <c r="R24" s="93"/>
      <c r="S24" s="94"/>
      <c r="T24" s="101"/>
      <c r="U24" s="100">
        <f>'Suvi Gaz'!O25</f>
        <v>0</v>
      </c>
      <c r="V24" s="97"/>
      <c r="W24" s="99">
        <f t="shared" si="3"/>
        <v>0</v>
      </c>
      <c r="X24" s="138"/>
      <c r="Y24" s="103">
        <f t="shared" si="4"/>
        <v>0</v>
      </c>
      <c r="Z24" s="104">
        <f t="shared" si="5"/>
        <v>0</v>
      </c>
      <c r="AA24" s="97"/>
      <c r="AB24" s="119"/>
      <c r="AC24" s="133"/>
      <c r="AD24" s="129"/>
      <c r="AE24" s="136"/>
      <c r="AF24" s="137"/>
      <c r="AG24" s="134"/>
      <c r="AH24" s="135"/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0</v>
      </c>
      <c r="E25" s="116"/>
      <c r="F25" s="173">
        <f t="shared" si="0"/>
        <v>0</v>
      </c>
      <c r="G25" s="173"/>
      <c r="H25" s="174"/>
      <c r="I25" s="97"/>
      <c r="J25" s="121">
        <f>'Suivi EAU-ELEC'!E31</f>
        <v>0</v>
      </c>
      <c r="K25" s="122">
        <f>'Suivi EAU-ELEC'!G31</f>
        <v>0</v>
      </c>
      <c r="L25" s="122">
        <f>'Suivi EAU-ELEC'!I31</f>
        <v>0</v>
      </c>
      <c r="M25" s="123">
        <f t="shared" si="1"/>
        <v>0</v>
      </c>
      <c r="N25" s="96"/>
      <c r="O25" s="99">
        <f t="shared" si="2"/>
        <v>0</v>
      </c>
      <c r="P25" s="95"/>
      <c r="Q25" s="94"/>
      <c r="R25" s="93"/>
      <c r="S25" s="94"/>
      <c r="T25" s="101"/>
      <c r="U25" s="100">
        <f>'Suvi Gaz'!O26</f>
        <v>0</v>
      </c>
      <c r="V25" s="97"/>
      <c r="W25" s="99">
        <f t="shared" si="3"/>
        <v>0</v>
      </c>
      <c r="X25" s="138"/>
      <c r="Y25" s="103">
        <f t="shared" si="4"/>
        <v>0</v>
      </c>
      <c r="Z25" s="104">
        <f t="shared" si="5"/>
        <v>0</v>
      </c>
      <c r="AA25" s="97"/>
      <c r="AB25" s="119"/>
      <c r="AC25" s="133"/>
      <c r="AD25" s="129"/>
      <c r="AE25" s="136"/>
      <c r="AF25" s="137"/>
      <c r="AG25" s="134"/>
      <c r="AH25" s="135"/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0</v>
      </c>
      <c r="E26" s="117"/>
      <c r="F26" s="173">
        <f t="shared" si="0"/>
        <v>0</v>
      </c>
      <c r="G26" s="173"/>
      <c r="H26" s="174"/>
      <c r="I26" s="97"/>
      <c r="J26" s="121">
        <f>'Suivi EAU-ELEC'!E32</f>
        <v>0</v>
      </c>
      <c r="K26" s="122">
        <f>'Suivi EAU-ELEC'!G32</f>
        <v>0</v>
      </c>
      <c r="L26" s="122">
        <f>'Suivi EAU-ELEC'!I32</f>
        <v>0</v>
      </c>
      <c r="M26" s="123">
        <f t="shared" si="1"/>
        <v>0</v>
      </c>
      <c r="N26" s="96"/>
      <c r="O26" s="99">
        <f t="shared" si="2"/>
        <v>0</v>
      </c>
      <c r="P26" s="95"/>
      <c r="Q26" s="94"/>
      <c r="R26" s="93"/>
      <c r="S26" s="94"/>
      <c r="T26" s="101"/>
      <c r="U26" s="100">
        <f>'Suvi Gaz'!O27</f>
        <v>0</v>
      </c>
      <c r="V26" s="98"/>
      <c r="W26" s="99">
        <f t="shared" si="3"/>
        <v>0</v>
      </c>
      <c r="X26" s="138"/>
      <c r="Y26" s="103">
        <f t="shared" si="4"/>
        <v>0</v>
      </c>
      <c r="Z26" s="104">
        <f t="shared" si="5"/>
        <v>0</v>
      </c>
      <c r="AA26" s="98"/>
      <c r="AB26" s="119"/>
      <c r="AC26" s="133"/>
      <c r="AD26" s="129"/>
      <c r="AE26" s="136"/>
      <c r="AF26" s="137"/>
      <c r="AG26" s="134"/>
      <c r="AH26" s="135"/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0</v>
      </c>
      <c r="E27" s="117"/>
      <c r="F27" s="173">
        <f t="shared" si="0"/>
        <v>0</v>
      </c>
      <c r="G27" s="173"/>
      <c r="H27" s="174"/>
      <c r="I27" s="97"/>
      <c r="J27" s="121">
        <f>'Suivi EAU-ELEC'!E33</f>
        <v>0</v>
      </c>
      <c r="K27" s="122">
        <f>'Suivi EAU-ELEC'!G33</f>
        <v>0</v>
      </c>
      <c r="L27" s="122">
        <f>'Suivi EAU-ELEC'!I33</f>
        <v>0</v>
      </c>
      <c r="M27" s="123">
        <f t="shared" si="1"/>
        <v>0</v>
      </c>
      <c r="N27" s="96"/>
      <c r="O27" s="99">
        <f>M27*1.002</f>
        <v>0</v>
      </c>
      <c r="P27" s="95"/>
      <c r="Q27" s="94"/>
      <c r="R27" s="93"/>
      <c r="S27" s="94"/>
      <c r="T27" s="101"/>
      <c r="U27" s="100">
        <f>'Suvi Gaz'!O28</f>
        <v>0</v>
      </c>
      <c r="V27" s="98"/>
      <c r="W27" s="99">
        <f t="shared" si="3"/>
        <v>0</v>
      </c>
      <c r="X27" s="138"/>
      <c r="Y27" s="103">
        <f t="shared" si="4"/>
        <v>0</v>
      </c>
      <c r="Z27" s="104">
        <f t="shared" si="5"/>
        <v>0</v>
      </c>
      <c r="AA27" s="98"/>
      <c r="AB27" s="119"/>
      <c r="AC27" s="133"/>
      <c r="AD27" s="129"/>
      <c r="AE27" s="136"/>
      <c r="AF27" s="137"/>
      <c r="AG27" s="134"/>
      <c r="AH27" s="135"/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0</v>
      </c>
      <c r="E28" s="117"/>
      <c r="F28" s="173">
        <f t="shared" si="0"/>
        <v>0</v>
      </c>
      <c r="G28" s="173"/>
      <c r="H28" s="174"/>
      <c r="I28" s="98"/>
      <c r="J28" s="121">
        <f>'Suivi EAU-ELEC'!E34</f>
        <v>0</v>
      </c>
      <c r="K28" s="122">
        <f>'Suivi EAU-ELEC'!G34</f>
        <v>0</v>
      </c>
      <c r="L28" s="122">
        <f>'Suivi EAU-ELEC'!I34</f>
        <v>0</v>
      </c>
      <c r="M28" s="123">
        <f t="shared" si="1"/>
        <v>0</v>
      </c>
      <c r="N28" s="96"/>
      <c r="O28" s="99">
        <f t="shared" si="2"/>
        <v>0</v>
      </c>
      <c r="P28" s="95"/>
      <c r="Q28" s="94"/>
      <c r="R28" s="93"/>
      <c r="S28" s="94"/>
      <c r="T28" s="101"/>
      <c r="U28" s="100">
        <f>'Suvi Gaz'!O29</f>
        <v>0</v>
      </c>
      <c r="V28" s="98"/>
      <c r="W28" s="99">
        <f t="shared" si="3"/>
        <v>0</v>
      </c>
      <c r="X28" s="138"/>
      <c r="Y28" s="103">
        <f t="shared" si="4"/>
        <v>0</v>
      </c>
      <c r="Z28" s="104">
        <f t="shared" si="5"/>
        <v>0</v>
      </c>
      <c r="AA28" s="98"/>
      <c r="AB28" s="119"/>
      <c r="AC28" s="133"/>
      <c r="AD28" s="129"/>
      <c r="AE28" s="136"/>
      <c r="AF28" s="137"/>
      <c r="AG28" s="134"/>
      <c r="AH28" s="135"/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173">
        <f t="shared" si="0"/>
        <v>0</v>
      </c>
      <c r="G29" s="173"/>
      <c r="H29" s="174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38"/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173">
        <f t="shared" si="0"/>
        <v>0</v>
      </c>
      <c r="G30" s="173"/>
      <c r="H30" s="174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173">
        <f t="shared" si="0"/>
        <v>0</v>
      </c>
      <c r="G31" s="173"/>
      <c r="H31" s="174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173">
        <f t="shared" si="0"/>
        <v>0</v>
      </c>
      <c r="G32" s="173"/>
      <c r="H32" s="174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173">
        <f t="shared" si="0"/>
        <v>0</v>
      </c>
      <c r="G33" s="173"/>
      <c r="H33" s="174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173">
        <f t="shared" si="0"/>
        <v>0</v>
      </c>
      <c r="G34" s="173"/>
      <c r="H34" s="174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173">
        <f t="shared" si="0"/>
        <v>0</v>
      </c>
      <c r="G35" s="173"/>
      <c r="H35" s="174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173">
        <f t="shared" si="0"/>
        <v>0</v>
      </c>
      <c r="G36" s="173"/>
      <c r="H36" s="174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173">
        <f t="shared" si="0"/>
        <v>0</v>
      </c>
      <c r="G37" s="173"/>
      <c r="H37" s="174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173">
        <f t="shared" si="0"/>
        <v>0</v>
      </c>
      <c r="G38" s="173"/>
      <c r="H38" s="174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173">
        <f t="shared" si="0"/>
        <v>0</v>
      </c>
      <c r="G39" s="173"/>
      <c r="H39" s="174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173">
        <f t="shared" si="0"/>
        <v>0</v>
      </c>
      <c r="G40" s="173"/>
      <c r="H40" s="174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6010</v>
      </c>
      <c r="E41" s="1"/>
      <c r="F41" s="202">
        <f>SUM(F10:H39)</f>
        <v>76146.700000000012</v>
      </c>
      <c r="G41" s="203"/>
      <c r="H41" s="204"/>
      <c r="I41" s="1"/>
      <c r="J41" s="91">
        <f>SUM(J10:J39)</f>
        <v>62396</v>
      </c>
      <c r="K41" s="91">
        <f>SUM(K10:K39)</f>
        <v>91209</v>
      </c>
      <c r="L41" s="91">
        <f>SUM(L10:L39)</f>
        <v>44398</v>
      </c>
      <c r="M41" s="91">
        <f>SUM(M10:M39)</f>
        <v>198003</v>
      </c>
      <c r="N41" s="28"/>
      <c r="O41" s="202">
        <f>SUM(O10:Q39)</f>
        <v>198399.00599999999</v>
      </c>
      <c r="P41" s="203"/>
      <c r="Q41" s="204"/>
      <c r="R41" s="28"/>
      <c r="S41" s="92">
        <f>SUM(S10:S40)</f>
        <v>0</v>
      </c>
      <c r="T41" s="28"/>
      <c r="U41" s="91">
        <f>SUM(U10:U39)</f>
        <v>6529.6</v>
      </c>
      <c r="V41" s="28"/>
      <c r="W41" s="91">
        <f>SUM(W10:W39)</f>
        <v>52418.322879999985</v>
      </c>
      <c r="X41" s="132"/>
      <c r="Y41" s="91">
        <f>SUM(Y10:Y39)</f>
        <v>170.71999999999935</v>
      </c>
      <c r="Z41" s="91">
        <f>SUM(Z10:Z39)</f>
        <v>143404.79999999946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95"/>
      <c r="G42" s="195"/>
      <c r="H42" s="195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205" t="s">
        <v>10</v>
      </c>
      <c r="B43" s="206"/>
      <c r="C43" s="207"/>
      <c r="D43" s="19" t="s">
        <v>7</v>
      </c>
      <c r="E43" s="53"/>
      <c r="F43" s="20">
        <v>1.002</v>
      </c>
      <c r="G43" s="196">
        <f>J41</f>
        <v>62396</v>
      </c>
      <c r="H43" s="197"/>
      <c r="I43" s="198"/>
      <c r="J43" s="193">
        <f>G43*F43</f>
        <v>62520.792000000001</v>
      </c>
      <c r="K43" s="194"/>
      <c r="L43" s="184">
        <f>J43+J44+J45</f>
        <v>198399.00600000002</v>
      </c>
      <c r="M43" s="185"/>
      <c r="N43" s="185"/>
      <c r="O43" s="185"/>
      <c r="P43" s="185"/>
      <c r="Q43" s="185"/>
      <c r="R43" s="185"/>
      <c r="S43" s="185"/>
      <c r="T43" s="185"/>
      <c r="U43" s="186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208"/>
      <c r="B44" s="209"/>
      <c r="C44" s="210"/>
      <c r="D44" s="17" t="s">
        <v>8</v>
      </c>
      <c r="E44" s="53"/>
      <c r="F44" s="20">
        <v>1.002</v>
      </c>
      <c r="G44" s="196">
        <f>K41</f>
        <v>91209</v>
      </c>
      <c r="H44" s="197"/>
      <c r="I44" s="198"/>
      <c r="J44" s="193">
        <f>G44*F44</f>
        <v>91391.418000000005</v>
      </c>
      <c r="K44" s="194"/>
      <c r="L44" s="187"/>
      <c r="M44" s="188"/>
      <c r="N44" s="188"/>
      <c r="O44" s="188"/>
      <c r="P44" s="188"/>
      <c r="Q44" s="188"/>
      <c r="R44" s="188"/>
      <c r="S44" s="188"/>
      <c r="T44" s="188"/>
      <c r="U44" s="189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208"/>
      <c r="B45" s="209"/>
      <c r="C45" s="210"/>
      <c r="D45" s="23" t="s">
        <v>9</v>
      </c>
      <c r="E45" s="54"/>
      <c r="F45" s="20">
        <v>1.002</v>
      </c>
      <c r="G45" s="196">
        <f>L41</f>
        <v>44398</v>
      </c>
      <c r="H45" s="197"/>
      <c r="I45" s="198"/>
      <c r="J45" s="193">
        <f>G45*F45</f>
        <v>44486.796000000002</v>
      </c>
      <c r="K45" s="194"/>
      <c r="L45" s="190"/>
      <c r="M45" s="191"/>
      <c r="N45" s="191"/>
      <c r="O45" s="191"/>
      <c r="P45" s="191"/>
      <c r="Q45" s="191"/>
      <c r="R45" s="191"/>
      <c r="S45" s="191"/>
      <c r="T45" s="191"/>
      <c r="U45" s="192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99" t="s">
        <v>11</v>
      </c>
      <c r="B46" s="200"/>
      <c r="C46" s="200"/>
      <c r="D46" s="201"/>
      <c r="E46" s="53"/>
      <c r="F46" s="24">
        <v>12.67</v>
      </c>
      <c r="G46" s="199">
        <f>D41</f>
        <v>6010</v>
      </c>
      <c r="H46" s="200"/>
      <c r="I46" s="201"/>
      <c r="J46" s="212">
        <f>G46*F46</f>
        <v>76146.7</v>
      </c>
      <c r="K46" s="213"/>
      <c r="L46" s="220">
        <f>J46</f>
        <v>76146.7</v>
      </c>
      <c r="M46" s="221"/>
      <c r="N46" s="221"/>
      <c r="O46" s="221"/>
      <c r="P46" s="221"/>
      <c r="Q46" s="221"/>
      <c r="R46" s="221"/>
      <c r="S46" s="221"/>
      <c r="T46" s="221"/>
      <c r="U46" s="222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17" t="s">
        <v>13</v>
      </c>
      <c r="B47" s="218"/>
      <c r="C47" s="218"/>
      <c r="D47" s="219"/>
      <c r="E47" s="53"/>
      <c r="F47" s="26">
        <v>8.0277999999999992</v>
      </c>
      <c r="G47" s="214">
        <f>U41</f>
        <v>6529.6</v>
      </c>
      <c r="H47" s="215"/>
      <c r="I47" s="216"/>
      <c r="J47" s="214">
        <f>G47*F47</f>
        <v>52418.32288</v>
      </c>
      <c r="K47" s="216"/>
      <c r="L47" s="223">
        <f>J47</f>
        <v>52418.32288</v>
      </c>
      <c r="M47" s="224"/>
      <c r="N47" s="224"/>
      <c r="O47" s="224"/>
      <c r="P47" s="224"/>
      <c r="Q47" s="224"/>
      <c r="R47" s="224"/>
      <c r="S47" s="224"/>
      <c r="T47" s="224"/>
      <c r="U47" s="225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F20:H20"/>
    <mergeCell ref="F34:H34"/>
    <mergeCell ref="F35:H35"/>
    <mergeCell ref="F21:H21"/>
    <mergeCell ref="J43:K43"/>
    <mergeCell ref="J44:K44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AA8:AA9"/>
    <mergeCell ref="M8:M9"/>
    <mergeCell ref="W8:W9"/>
    <mergeCell ref="O8:O9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3" sqref="B23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83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22" si="0">IF(AC4&gt;0,((B4-R4)+(S4-B5)),IF(B5=0, ,(B4-B5)))</f>
        <v>5</v>
      </c>
      <c r="D4" s="37">
        <v>72</v>
      </c>
      <c r="E4" s="35">
        <f t="shared" ref="E4:E22" si="1">IF(AC4&gt;0,((D4-U4)+(V4-D5)),IF(D5=0, ,(D4-D5)))</f>
        <v>4</v>
      </c>
      <c r="F4" s="37">
        <v>70</v>
      </c>
      <c r="G4" s="35">
        <f t="shared" ref="G4:G22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0</v>
      </c>
      <c r="D22" s="163">
        <v>73</v>
      </c>
      <c r="E22" s="164">
        <f t="shared" si="1"/>
        <v>0</v>
      </c>
      <c r="F22" s="163">
        <v>69</v>
      </c>
      <c r="G22" s="164">
        <f t="shared" si="2"/>
        <v>0</v>
      </c>
      <c r="H22" s="163">
        <v>69</v>
      </c>
      <c r="I22" s="35">
        <f t="shared" si="17"/>
        <v>0</v>
      </c>
      <c r="J22" s="35">
        <f t="shared" si="18"/>
        <v>283</v>
      </c>
      <c r="K22" s="35">
        <f t="shared" si="19"/>
        <v>70.75</v>
      </c>
      <c r="L22" s="35">
        <f t="shared" si="20"/>
        <v>0</v>
      </c>
      <c r="M22" s="35">
        <f t="shared" si="21"/>
        <v>28000</v>
      </c>
      <c r="N22" s="35">
        <f t="shared" si="22"/>
        <v>0</v>
      </c>
      <c r="O22" s="35">
        <f t="shared" si="23"/>
        <v>0</v>
      </c>
      <c r="P22" s="38">
        <f t="shared" ref="P22:P43" si="25">O22*8.0278</f>
        <v>0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37"/>
      <c r="C23" s="35">
        <f t="shared" ref="C22:C41" si="26">IF(AC23&gt;0,((B23-R23)+(S23-B24)),IF(B24=0, ,(B23-B24)))</f>
        <v>0</v>
      </c>
      <c r="D23" s="37"/>
      <c r="E23" s="35">
        <f t="shared" ref="E22:E41" si="27">IF(AC23&gt;0,((D23-U23)+(V23-D24)),IF(D24=0, ,(D23-D24)))</f>
        <v>0</v>
      </c>
      <c r="F23" s="37"/>
      <c r="G23" s="35">
        <f t="shared" ref="G22:G41" si="28">IF(AC23&gt;0,((F23-X23)+(Y23-F24)),IF(F24=0, ,(F23-F24)))</f>
        <v>0</v>
      </c>
      <c r="H23" s="37"/>
      <c r="I23" s="35">
        <f t="shared" si="17"/>
        <v>0</v>
      </c>
      <c r="J23" s="35">
        <f t="shared" si="18"/>
        <v>0</v>
      </c>
      <c r="K23" s="35">
        <f t="shared" si="19"/>
        <v>0</v>
      </c>
      <c r="L23" s="35">
        <f t="shared" si="20"/>
        <v>0</v>
      </c>
      <c r="M23" s="35">
        <f t="shared" si="21"/>
        <v>28000</v>
      </c>
      <c r="N23" s="35">
        <f t="shared" si="22"/>
        <v>0</v>
      </c>
      <c r="O23" s="35">
        <f t="shared" si="23"/>
        <v>0</v>
      </c>
      <c r="P23" s="38">
        <f t="shared" si="25"/>
        <v>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37"/>
      <c r="C24" s="35">
        <f t="shared" si="26"/>
        <v>0</v>
      </c>
      <c r="D24" s="37"/>
      <c r="E24" s="35">
        <f t="shared" si="27"/>
        <v>0</v>
      </c>
      <c r="F24" s="37"/>
      <c r="G24" s="35">
        <f t="shared" si="28"/>
        <v>0</v>
      </c>
      <c r="H24" s="37"/>
      <c r="I24" s="35">
        <f t="shared" si="17"/>
        <v>0</v>
      </c>
      <c r="J24" s="35">
        <f t="shared" si="18"/>
        <v>0</v>
      </c>
      <c r="K24" s="35">
        <f t="shared" si="19"/>
        <v>0</v>
      </c>
      <c r="L24" s="35">
        <f t="shared" si="20"/>
        <v>0</v>
      </c>
      <c r="M24" s="35">
        <f t="shared" si="21"/>
        <v>28000</v>
      </c>
      <c r="N24" s="35">
        <f>L24*M24/100</f>
        <v>0</v>
      </c>
      <c r="O24" s="35">
        <f>N24*0.53</f>
        <v>0</v>
      </c>
      <c r="P24" s="38">
        <f t="shared" si="25"/>
        <v>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37"/>
      <c r="C25" s="35">
        <f t="shared" si="26"/>
        <v>0</v>
      </c>
      <c r="D25" s="37"/>
      <c r="E25" s="35">
        <f t="shared" si="27"/>
        <v>0</v>
      </c>
      <c r="F25" s="37"/>
      <c r="G25" s="35">
        <f t="shared" si="28"/>
        <v>0</v>
      </c>
      <c r="H25" s="37"/>
      <c r="I25" s="35">
        <f t="shared" si="17"/>
        <v>0</v>
      </c>
      <c r="J25" s="35">
        <f t="shared" si="18"/>
        <v>0</v>
      </c>
      <c r="K25" s="35">
        <f t="shared" si="19"/>
        <v>0</v>
      </c>
      <c r="L25" s="35">
        <f t="shared" si="20"/>
        <v>0</v>
      </c>
      <c r="M25" s="35">
        <f t="shared" si="21"/>
        <v>28000</v>
      </c>
      <c r="N25" s="35">
        <f>L25*M25/100</f>
        <v>0</v>
      </c>
      <c r="O25" s="35">
        <f>N25*0.53</f>
        <v>0</v>
      </c>
      <c r="P25" s="38">
        <f t="shared" si="25"/>
        <v>0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2"/>
        <v>0</v>
      </c>
      <c r="AD25" s="84">
        <f t="shared" si="13"/>
        <v>0</v>
      </c>
      <c r="AE25" s="84">
        <f t="shared" si="14"/>
        <v>0</v>
      </c>
    </row>
    <row r="26" spans="1:31" ht="32.25" customHeight="1" x14ac:dyDescent="0.3">
      <c r="A26" s="36">
        <v>43785</v>
      </c>
      <c r="B26" s="37"/>
      <c r="C26" s="35">
        <f t="shared" si="26"/>
        <v>0</v>
      </c>
      <c r="D26" s="37"/>
      <c r="E26" s="35">
        <f t="shared" si="27"/>
        <v>0</v>
      </c>
      <c r="F26" s="37"/>
      <c r="G26" s="35">
        <f t="shared" si="28"/>
        <v>0</v>
      </c>
      <c r="H26" s="37"/>
      <c r="I26" s="35">
        <f t="shared" si="17"/>
        <v>0</v>
      </c>
      <c r="J26" s="35">
        <f t="shared" si="18"/>
        <v>0</v>
      </c>
      <c r="K26" s="35">
        <f t="shared" si="19"/>
        <v>0</v>
      </c>
      <c r="L26" s="35">
        <f t="shared" si="20"/>
        <v>0</v>
      </c>
      <c r="M26" s="35">
        <f t="shared" si="21"/>
        <v>28000</v>
      </c>
      <c r="N26" s="35">
        <f>L26*M26/100</f>
        <v>0</v>
      </c>
      <c r="O26" s="35">
        <f>N26*0.53</f>
        <v>0</v>
      </c>
      <c r="P26" s="38">
        <f t="shared" si="25"/>
        <v>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37"/>
      <c r="C27" s="35">
        <f t="shared" si="26"/>
        <v>0</v>
      </c>
      <c r="D27" s="37"/>
      <c r="E27" s="35">
        <f t="shared" si="27"/>
        <v>0</v>
      </c>
      <c r="F27" s="37"/>
      <c r="G27" s="35">
        <f t="shared" si="28"/>
        <v>0</v>
      </c>
      <c r="H27" s="37"/>
      <c r="I27" s="35">
        <f t="shared" si="17"/>
        <v>0</v>
      </c>
      <c r="J27" s="35">
        <f t="shared" si="18"/>
        <v>0</v>
      </c>
      <c r="K27" s="35">
        <f t="shared" si="19"/>
        <v>0</v>
      </c>
      <c r="L27" s="35">
        <f t="shared" si="20"/>
        <v>0</v>
      </c>
      <c r="M27" s="35">
        <v>28000</v>
      </c>
      <c r="N27" s="35">
        <f t="shared" si="22"/>
        <v>0</v>
      </c>
      <c r="O27" s="35">
        <f t="shared" si="23"/>
        <v>0</v>
      </c>
      <c r="P27" s="38">
        <f t="shared" si="25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37"/>
      <c r="C28" s="35">
        <f t="shared" si="26"/>
        <v>0</v>
      </c>
      <c r="D28" s="37"/>
      <c r="E28" s="35">
        <f t="shared" si="27"/>
        <v>0</v>
      </c>
      <c r="F28" s="37"/>
      <c r="G28" s="35">
        <f t="shared" si="28"/>
        <v>0</v>
      </c>
      <c r="H28" s="37"/>
      <c r="I28" s="35">
        <f t="shared" si="17"/>
        <v>0</v>
      </c>
      <c r="J28" s="35">
        <f t="shared" si="18"/>
        <v>0</v>
      </c>
      <c r="K28" s="35">
        <f t="shared" si="19"/>
        <v>0</v>
      </c>
      <c r="L28" s="35">
        <f t="shared" si="20"/>
        <v>0</v>
      </c>
      <c r="M28" s="35">
        <f t="shared" si="21"/>
        <v>28000</v>
      </c>
      <c r="N28" s="35">
        <f t="shared" si="22"/>
        <v>0</v>
      </c>
      <c r="O28" s="35">
        <f t="shared" si="23"/>
        <v>0</v>
      </c>
      <c r="P28" s="38">
        <f t="shared" si="25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37"/>
      <c r="C29" s="35">
        <f t="shared" si="26"/>
        <v>0</v>
      </c>
      <c r="D29" s="37"/>
      <c r="E29" s="35">
        <f t="shared" si="27"/>
        <v>0</v>
      </c>
      <c r="F29" s="37"/>
      <c r="G29" s="35">
        <f t="shared" si="28"/>
        <v>0</v>
      </c>
      <c r="H29" s="37"/>
      <c r="I29" s="35">
        <f t="shared" si="17"/>
        <v>0</v>
      </c>
      <c r="J29" s="35">
        <f t="shared" si="18"/>
        <v>0</v>
      </c>
      <c r="K29" s="35">
        <f t="shared" si="19"/>
        <v>0</v>
      </c>
      <c r="L29" s="35">
        <f t="shared" si="20"/>
        <v>0</v>
      </c>
      <c r="M29" s="35">
        <f t="shared" si="21"/>
        <v>28000</v>
      </c>
      <c r="N29" s="35">
        <f t="shared" si="22"/>
        <v>0</v>
      </c>
      <c r="O29" s="35">
        <f t="shared" si="23"/>
        <v>0</v>
      </c>
      <c r="P29" s="38">
        <f t="shared" si="25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2"/>
        <v>0</v>
      </c>
      <c r="AD29" s="84">
        <f t="shared" si="13"/>
        <v>0</v>
      </c>
      <c r="AE29" s="84">
        <f t="shared" si="14"/>
        <v>0</v>
      </c>
    </row>
    <row r="30" spans="1:31" ht="32.25" customHeight="1" x14ac:dyDescent="0.3">
      <c r="A30" s="36">
        <v>43789</v>
      </c>
      <c r="B30" s="37"/>
      <c r="C30" s="35">
        <f t="shared" si="26"/>
        <v>0</v>
      </c>
      <c r="D30" s="37"/>
      <c r="E30" s="35">
        <f t="shared" si="27"/>
        <v>0</v>
      </c>
      <c r="F30" s="37"/>
      <c r="G30" s="35">
        <f t="shared" si="28"/>
        <v>0</v>
      </c>
      <c r="H30" s="37"/>
      <c r="I30" s="35">
        <f t="shared" si="17"/>
        <v>0</v>
      </c>
      <c r="J30" s="35">
        <f t="shared" si="18"/>
        <v>0</v>
      </c>
      <c r="K30" s="35">
        <f t="shared" si="19"/>
        <v>0</v>
      </c>
      <c r="L30" s="35">
        <f t="shared" si="20"/>
        <v>0</v>
      </c>
      <c r="M30" s="35">
        <f t="shared" si="21"/>
        <v>28000</v>
      </c>
      <c r="N30" s="35">
        <f t="shared" si="22"/>
        <v>0</v>
      </c>
      <c r="O30" s="35">
        <f t="shared" si="23"/>
        <v>0</v>
      </c>
      <c r="P30" s="38">
        <f t="shared" si="25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si="26"/>
        <v>0</v>
      </c>
      <c r="D31" s="37"/>
      <c r="E31" s="35">
        <f t="shared" si="27"/>
        <v>0</v>
      </c>
      <c r="F31" s="37"/>
      <c r="G31" s="35">
        <f t="shared" si="28"/>
        <v>0</v>
      </c>
      <c r="H31" s="37"/>
      <c r="I31" s="35">
        <f t="shared" si="17"/>
        <v>0</v>
      </c>
      <c r="J31" s="35">
        <f t="shared" si="18"/>
        <v>0</v>
      </c>
      <c r="K31" s="35">
        <f t="shared" si="19"/>
        <v>0</v>
      </c>
      <c r="L31" s="35">
        <f t="shared" si="20"/>
        <v>0</v>
      </c>
      <c r="M31" s="35">
        <f t="shared" si="21"/>
        <v>28000</v>
      </c>
      <c r="N31" s="35">
        <f t="shared" si="22"/>
        <v>0</v>
      </c>
      <c r="O31" s="35">
        <f t="shared" si="23"/>
        <v>0</v>
      </c>
      <c r="P31" s="38">
        <f t="shared" si="25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26"/>
        <v>0</v>
      </c>
      <c r="D32" s="37"/>
      <c r="E32" s="35">
        <f t="shared" si="27"/>
        <v>0</v>
      </c>
      <c r="F32" s="37"/>
      <c r="G32" s="35">
        <f t="shared" si="28"/>
        <v>0</v>
      </c>
      <c r="H32" s="37"/>
      <c r="I32" s="35">
        <f t="shared" si="17"/>
        <v>0</v>
      </c>
      <c r="J32" s="35">
        <f t="shared" si="18"/>
        <v>0</v>
      </c>
      <c r="K32" s="35">
        <f t="shared" si="19"/>
        <v>0</v>
      </c>
      <c r="L32" s="35">
        <f t="shared" si="20"/>
        <v>0</v>
      </c>
      <c r="M32" s="35">
        <f t="shared" si="21"/>
        <v>28000</v>
      </c>
      <c r="N32" s="35">
        <f t="shared" si="22"/>
        <v>0</v>
      </c>
      <c r="O32" s="35">
        <f t="shared" si="23"/>
        <v>0</v>
      </c>
      <c r="P32" s="38">
        <f t="shared" si="25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26"/>
        <v>0</v>
      </c>
      <c r="D33" s="37"/>
      <c r="E33" s="35">
        <f t="shared" si="27"/>
        <v>0</v>
      </c>
      <c r="F33" s="37"/>
      <c r="G33" s="35">
        <f t="shared" si="28"/>
        <v>0</v>
      </c>
      <c r="H33" s="37"/>
      <c r="I33" s="35">
        <f t="shared" si="17"/>
        <v>0</v>
      </c>
      <c r="J33" s="35">
        <f t="shared" si="18"/>
        <v>0</v>
      </c>
      <c r="K33" s="35">
        <f t="shared" si="19"/>
        <v>0</v>
      </c>
      <c r="L33" s="35">
        <f t="shared" si="20"/>
        <v>0</v>
      </c>
      <c r="M33" s="35">
        <f t="shared" si="21"/>
        <v>28000</v>
      </c>
      <c r="N33" s="35">
        <f t="shared" si="22"/>
        <v>0</v>
      </c>
      <c r="O33" s="35">
        <f t="shared" si="23"/>
        <v>0</v>
      </c>
      <c r="P33" s="38">
        <f t="shared" si="25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26"/>
        <v>0</v>
      </c>
      <c r="D34" s="37"/>
      <c r="E34" s="35">
        <f t="shared" si="27"/>
        <v>0</v>
      </c>
      <c r="F34" s="37"/>
      <c r="G34" s="35">
        <f t="shared" si="28"/>
        <v>0</v>
      </c>
      <c r="H34" s="37"/>
      <c r="I34" s="35">
        <f t="shared" si="17"/>
        <v>0</v>
      </c>
      <c r="J34" s="35">
        <f t="shared" si="18"/>
        <v>0</v>
      </c>
      <c r="K34" s="35">
        <f t="shared" si="19"/>
        <v>0</v>
      </c>
      <c r="L34" s="35">
        <f t="shared" si="20"/>
        <v>0</v>
      </c>
      <c r="M34" s="35">
        <f t="shared" si="21"/>
        <v>28000</v>
      </c>
      <c r="N34" s="35">
        <f t="shared" si="22"/>
        <v>0</v>
      </c>
      <c r="O34" s="35">
        <f t="shared" si="23"/>
        <v>0</v>
      </c>
      <c r="P34" s="38">
        <f t="shared" si="25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26"/>
        <v>0</v>
      </c>
      <c r="D35" s="37"/>
      <c r="E35" s="35">
        <f t="shared" si="27"/>
        <v>0</v>
      </c>
      <c r="F35" s="37"/>
      <c r="G35" s="35">
        <f t="shared" si="28"/>
        <v>0</v>
      </c>
      <c r="H35" s="37"/>
      <c r="I35" s="35">
        <f t="shared" si="17"/>
        <v>0</v>
      </c>
      <c r="J35" s="35">
        <f t="shared" si="18"/>
        <v>0</v>
      </c>
      <c r="K35" s="35">
        <f t="shared" si="19"/>
        <v>0</v>
      </c>
      <c r="L35" s="35">
        <f t="shared" si="20"/>
        <v>0</v>
      </c>
      <c r="M35" s="35">
        <f t="shared" si="21"/>
        <v>28000</v>
      </c>
      <c r="N35" s="35">
        <f t="shared" si="22"/>
        <v>0</v>
      </c>
      <c r="O35" s="35">
        <f t="shared" si="23"/>
        <v>0</v>
      </c>
      <c r="P35" s="38">
        <f t="shared" si="25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26"/>
        <v>0</v>
      </c>
      <c r="D36" s="37"/>
      <c r="E36" s="35">
        <f t="shared" si="27"/>
        <v>0</v>
      </c>
      <c r="F36" s="37"/>
      <c r="G36" s="35">
        <f t="shared" si="28"/>
        <v>0</v>
      </c>
      <c r="H36" s="37"/>
      <c r="I36" s="35">
        <f t="shared" si="17"/>
        <v>0</v>
      </c>
      <c r="J36" s="35">
        <f t="shared" si="18"/>
        <v>0</v>
      </c>
      <c r="K36" s="35">
        <f t="shared" si="19"/>
        <v>0</v>
      </c>
      <c r="L36" s="35">
        <f t="shared" si="20"/>
        <v>0</v>
      </c>
      <c r="M36" s="35">
        <f t="shared" si="21"/>
        <v>28000</v>
      </c>
      <c r="N36" s="35">
        <f t="shared" si="22"/>
        <v>0</v>
      </c>
      <c r="O36" s="35">
        <f t="shared" si="23"/>
        <v>0</v>
      </c>
      <c r="P36" s="38">
        <f t="shared" si="25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26"/>
        <v>0</v>
      </c>
      <c r="D37" s="37"/>
      <c r="E37" s="35">
        <f t="shared" si="27"/>
        <v>0</v>
      </c>
      <c r="F37" s="37"/>
      <c r="G37" s="35">
        <f t="shared" si="28"/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39</v>
      </c>
      <c r="D43" s="37"/>
      <c r="E43" s="35">
        <f>SUM(E11:E40)</f>
        <v>38</v>
      </c>
      <c r="F43" s="37"/>
      <c r="G43" s="35">
        <f>SUM(G11:G40)</f>
        <v>51</v>
      </c>
      <c r="H43" s="37"/>
      <c r="I43" s="35">
        <f>SUM(I11:I40)</f>
        <v>48</v>
      </c>
      <c r="J43" s="33"/>
      <c r="K43" s="33"/>
      <c r="L43" s="33"/>
      <c r="M43" s="33"/>
      <c r="N43" s="35">
        <f>SUM(N11:N40)</f>
        <v>12320</v>
      </c>
      <c r="O43" s="35">
        <f>N43*0.53</f>
        <v>6529.6</v>
      </c>
      <c r="P43" s="38">
        <f t="shared" si="25"/>
        <v>52418.32288</v>
      </c>
      <c r="Q43" s="266">
        <v>0</v>
      </c>
      <c r="R43" s="266"/>
      <c r="S43" s="267"/>
      <c r="T43" s="266">
        <v>0</v>
      </c>
      <c r="U43" s="266"/>
      <c r="V43" s="267"/>
      <c r="W43" s="266">
        <v>0</v>
      </c>
      <c r="X43" s="266"/>
      <c r="Y43" s="267"/>
      <c r="Z43" s="266">
        <v>0</v>
      </c>
      <c r="AA43" s="266"/>
      <c r="AB43" s="267"/>
      <c r="AC43" s="35">
        <f>SUM(AC11:AC40)</f>
        <v>10639</v>
      </c>
      <c r="AD43" s="33"/>
      <c r="AE43" s="33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33"/>
      <c r="K44" s="33"/>
      <c r="L44" s="33"/>
      <c r="M44" s="33"/>
      <c r="N44" s="33"/>
      <c r="O44" s="33"/>
      <c r="P44" s="33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74" t="s">
        <v>37</v>
      </c>
      <c r="I47" s="275"/>
      <c r="J47" s="276"/>
      <c r="K47" s="45">
        <f>N43</f>
        <v>12320</v>
      </c>
      <c r="L47" s="46">
        <f>O43</f>
        <v>6529.6</v>
      </c>
      <c r="M47" s="46">
        <f>P43</f>
        <v>52418.32288</v>
      </c>
    </row>
    <row r="48" spans="1:31" ht="54.75" customHeight="1" thickBot="1" x14ac:dyDescent="0.35">
      <c r="H48" s="263" t="s">
        <v>38</v>
      </c>
      <c r="I48" s="264"/>
      <c r="J48" s="265"/>
      <c r="K48" s="43">
        <f>AC43</f>
        <v>10639</v>
      </c>
      <c r="L48" s="44">
        <f>K48*0.53</f>
        <v>5638.67</v>
      </c>
      <c r="M48" s="44">
        <f>L48*8.0278</f>
        <v>45266.115025999992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1" activePane="bottomRight" state="frozen"/>
      <selection pane="topRight" activeCell="B1" sqref="B1"/>
      <selection pane="bottomLeft" activeCell="A9" sqref="A9"/>
      <selection pane="bottomRight" activeCell="B28" sqref="B28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27" si="0">IF(B10&lt;B9,0,B10-B9)*10</f>
        <v>690</v>
      </c>
      <c r="D9" s="62">
        <v>17679100</v>
      </c>
      <c r="E9" s="61">
        <f t="shared" ref="E9:E27" si="1">IF(D10&lt;D9,0,D10-D9)</f>
        <v>5571</v>
      </c>
      <c r="F9" s="62">
        <v>32002464</v>
      </c>
      <c r="G9" s="61">
        <f t="shared" ref="G9:G27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0</v>
      </c>
      <c r="D27" s="167">
        <v>17781786</v>
      </c>
      <c r="E27" s="166">
        <f t="shared" si="1"/>
        <v>0</v>
      </c>
      <c r="F27" s="167">
        <v>32159645</v>
      </c>
      <c r="G27" s="166">
        <f t="shared" si="2"/>
        <v>0</v>
      </c>
      <c r="H27" s="167">
        <v>14206526</v>
      </c>
      <c r="I27" s="61">
        <f t="shared" si="3"/>
        <v>0</v>
      </c>
    </row>
    <row r="28" spans="1:9" ht="21" thickTop="1" thickBot="1" x14ac:dyDescent="0.35">
      <c r="A28" s="59">
        <f t="shared" si="4"/>
        <v>43782</v>
      </c>
      <c r="B28" s="60"/>
      <c r="C28" s="61">
        <f t="shared" ref="C27:C46" si="5">IF(B29&lt;B28,0,B29-B28)*10</f>
        <v>0</v>
      </c>
      <c r="D28" s="62"/>
      <c r="E28" s="61">
        <f t="shared" ref="E27:E46" si="6">IF(D29&lt;D28,0,D29-D28)</f>
        <v>0</v>
      </c>
      <c r="F28" s="62"/>
      <c r="G28" s="61">
        <f t="shared" ref="G27:G46" si="7">IF(F29&lt;F28,0,F29-F28)</f>
        <v>0</v>
      </c>
      <c r="H28" s="62"/>
      <c r="I28" s="61">
        <f t="shared" si="3"/>
        <v>0</v>
      </c>
    </row>
    <row r="29" spans="1:9" ht="21" thickTop="1" thickBot="1" x14ac:dyDescent="0.35">
      <c r="A29" s="59">
        <f t="shared" si="4"/>
        <v>43783</v>
      </c>
      <c r="B29" s="60"/>
      <c r="C29" s="61">
        <f t="shared" si="5"/>
        <v>0</v>
      </c>
      <c r="D29" s="62"/>
      <c r="E29" s="61">
        <f t="shared" si="6"/>
        <v>0</v>
      </c>
      <c r="F29" s="62"/>
      <c r="G29" s="61">
        <f t="shared" si="7"/>
        <v>0</v>
      </c>
      <c r="H29" s="62"/>
      <c r="I29" s="61">
        <f t="shared" si="3"/>
        <v>0</v>
      </c>
    </row>
    <row r="30" spans="1:9" ht="21" thickTop="1" thickBot="1" x14ac:dyDescent="0.35">
      <c r="A30" s="59">
        <f t="shared" si="4"/>
        <v>43784</v>
      </c>
      <c r="B30" s="60"/>
      <c r="C30" s="61">
        <f t="shared" si="5"/>
        <v>0</v>
      </c>
      <c r="D30" s="62"/>
      <c r="E30" s="61">
        <f t="shared" si="6"/>
        <v>0</v>
      </c>
      <c r="F30" s="62"/>
      <c r="G30" s="61">
        <f t="shared" si="7"/>
        <v>0</v>
      </c>
      <c r="H30" s="62"/>
      <c r="I30" s="61">
        <f t="shared" si="3"/>
        <v>0</v>
      </c>
    </row>
    <row r="31" spans="1:9" ht="21" thickTop="1" thickBot="1" x14ac:dyDescent="0.35">
      <c r="A31" s="59">
        <f>A30+1</f>
        <v>43785</v>
      </c>
      <c r="B31" s="60"/>
      <c r="C31" s="61">
        <f t="shared" si="5"/>
        <v>0</v>
      </c>
      <c r="D31" s="62"/>
      <c r="E31" s="61">
        <f t="shared" si="6"/>
        <v>0</v>
      </c>
      <c r="F31" s="62"/>
      <c r="G31" s="61">
        <f t="shared" si="7"/>
        <v>0</v>
      </c>
      <c r="H31" s="62"/>
      <c r="I31" s="61">
        <f t="shared" si="3"/>
        <v>0</v>
      </c>
    </row>
    <row r="32" spans="1:9" ht="21" thickTop="1" thickBot="1" x14ac:dyDescent="0.35">
      <c r="A32" s="59">
        <f t="shared" si="4"/>
        <v>43786</v>
      </c>
      <c r="B32" s="60"/>
      <c r="C32" s="61">
        <f t="shared" si="5"/>
        <v>0</v>
      </c>
      <c r="D32" s="62"/>
      <c r="E32" s="61">
        <f t="shared" si="6"/>
        <v>0</v>
      </c>
      <c r="F32" s="62"/>
      <c r="G32" s="61">
        <f t="shared" si="7"/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43787</v>
      </c>
      <c r="B33" s="60"/>
      <c r="C33" s="61">
        <f t="shared" si="5"/>
        <v>0</v>
      </c>
      <c r="D33" s="62"/>
      <c r="E33" s="61">
        <f t="shared" si="6"/>
        <v>0</v>
      </c>
      <c r="F33" s="62"/>
      <c r="G33" s="61">
        <f t="shared" si="7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43788</v>
      </c>
      <c r="B34" s="60"/>
      <c r="C34" s="61">
        <f t="shared" si="5"/>
        <v>0</v>
      </c>
      <c r="D34" s="62"/>
      <c r="E34" s="61">
        <f t="shared" si="6"/>
        <v>0</v>
      </c>
      <c r="F34" s="62"/>
      <c r="G34" s="61">
        <f t="shared" si="7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43789</v>
      </c>
      <c r="B35" s="60"/>
      <c r="C35" s="61">
        <f t="shared" si="5"/>
        <v>0</v>
      </c>
      <c r="D35" s="62"/>
      <c r="E35" s="61">
        <f t="shared" si="6"/>
        <v>0</v>
      </c>
      <c r="F35" s="62"/>
      <c r="G35" s="61">
        <f t="shared" si="7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si="5"/>
        <v>0</v>
      </c>
      <c r="D36" s="62"/>
      <c r="E36" s="61">
        <f t="shared" si="6"/>
        <v>0</v>
      </c>
      <c r="F36" s="62"/>
      <c r="G36" s="61">
        <f t="shared" si="7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6"/>
        <v>0</v>
      </c>
      <c r="F37" s="62"/>
      <c r="G37" s="61">
        <f t="shared" si="7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6"/>
        <v>0</v>
      </c>
      <c r="F38" s="62"/>
      <c r="G38" s="61">
        <f t="shared" si="7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6010</v>
      </c>
      <c r="E48" s="72">
        <f>SUM(E16:E45)</f>
        <v>62396</v>
      </c>
      <c r="F48" s="88"/>
      <c r="G48" s="72">
        <f>SUM(G16:G45)</f>
        <v>91209</v>
      </c>
      <c r="H48" s="88"/>
      <c r="I48" s="72">
        <f>SUM(I16:I45)</f>
        <v>44398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55" priority="2730" stopIfTrue="1" operator="lessThanOrEqual">
      <formula>0</formula>
    </cfRule>
  </conditionalFormatting>
  <conditionalFormatting sqref="C48 E48 G48 I48">
    <cfRule type="cellIs" dxfId="54" priority="2725" stopIfTrue="1" operator="lessThanOrEqual">
      <formula>0</formula>
    </cfRule>
  </conditionalFormatting>
  <conditionalFormatting sqref="C48 E48 G48 I48">
    <cfRule type="cellIs" dxfId="53" priority="2720" stopIfTrue="1" operator="lessThanOrEqual">
      <formula>0</formula>
    </cfRule>
  </conditionalFormatting>
  <conditionalFormatting sqref="C48 E48 G48 I48">
    <cfRule type="cellIs" dxfId="52" priority="2717" stopIfTrue="1" operator="lessThanOrEqual">
      <formula>0</formula>
    </cfRule>
  </conditionalFormatting>
  <conditionalFormatting sqref="C47">
    <cfRule type="cellIs" dxfId="51" priority="288" stopIfTrue="1" operator="lessThanOrEqual">
      <formula>0</formula>
    </cfRule>
  </conditionalFormatting>
  <conditionalFormatting sqref="C47">
    <cfRule type="cellIs" dxfId="50" priority="287" stopIfTrue="1" operator="lessThanOrEqual">
      <formula>0</formula>
    </cfRule>
  </conditionalFormatting>
  <conditionalFormatting sqref="C47">
    <cfRule type="cellIs" dxfId="49" priority="286" stopIfTrue="1" operator="lessThanOrEqual">
      <formula>0</formula>
    </cfRule>
  </conditionalFormatting>
  <conditionalFormatting sqref="C47">
    <cfRule type="cellIs" dxfId="48" priority="285" stopIfTrue="1" operator="lessThanOrEqual">
      <formula>0</formula>
    </cfRule>
  </conditionalFormatting>
  <conditionalFormatting sqref="C28:C46">
    <cfRule type="cellIs" dxfId="47" priority="44" stopIfTrue="1" operator="lessThanOrEqual">
      <formula>0</formula>
    </cfRule>
  </conditionalFormatting>
  <conditionalFormatting sqref="C28:C46">
    <cfRule type="cellIs" dxfId="46" priority="43" stopIfTrue="1" operator="lessThanOrEqual">
      <formula>0</formula>
    </cfRule>
  </conditionalFormatting>
  <conditionalFormatting sqref="C28:C46">
    <cfRule type="cellIs" dxfId="45" priority="42" stopIfTrue="1" operator="lessThanOrEqual">
      <formula>0</formula>
    </cfRule>
  </conditionalFormatting>
  <conditionalFormatting sqref="C28:C46">
    <cfRule type="cellIs" dxfId="44" priority="41" stopIfTrue="1" operator="lessThanOrEqual">
      <formula>0</formula>
    </cfRule>
  </conditionalFormatting>
  <conditionalFormatting sqref="C9">
    <cfRule type="cellIs" dxfId="43" priority="40" stopIfTrue="1" operator="lessThanOrEqual">
      <formula>0</formula>
    </cfRule>
  </conditionalFormatting>
  <conditionalFormatting sqref="C9">
    <cfRule type="cellIs" dxfId="42" priority="39" stopIfTrue="1" operator="lessThanOrEqual">
      <formula>0</formula>
    </cfRule>
  </conditionalFormatting>
  <conditionalFormatting sqref="C9">
    <cfRule type="cellIs" dxfId="41" priority="38" stopIfTrue="1" operator="lessThanOrEqual">
      <formula>0</formula>
    </cfRule>
  </conditionalFormatting>
  <conditionalFormatting sqref="C9">
    <cfRule type="cellIs" dxfId="40" priority="37" stopIfTrue="1" operator="lessThanOrEqual">
      <formula>0</formula>
    </cfRule>
  </conditionalFormatting>
  <conditionalFormatting sqref="C10:C12">
    <cfRule type="cellIs" dxfId="39" priority="36" stopIfTrue="1" operator="lessThanOrEqual">
      <formula>0</formula>
    </cfRule>
  </conditionalFormatting>
  <conditionalFormatting sqref="C10:C12">
    <cfRule type="cellIs" dxfId="38" priority="35" stopIfTrue="1" operator="lessThanOrEqual">
      <formula>0</formula>
    </cfRule>
  </conditionalFormatting>
  <conditionalFormatting sqref="C10:C12">
    <cfRule type="cellIs" dxfId="37" priority="34" stopIfTrue="1" operator="lessThanOrEqual">
      <formula>0</formula>
    </cfRule>
  </conditionalFormatting>
  <conditionalFormatting sqref="C10:C12">
    <cfRule type="cellIs" dxfId="36" priority="33" stopIfTrue="1" operator="lessThanOrEqual">
      <formula>0</formula>
    </cfRule>
  </conditionalFormatting>
  <conditionalFormatting sqref="C13:C14">
    <cfRule type="cellIs" dxfId="35" priority="32" stopIfTrue="1" operator="lessThanOrEqual">
      <formula>0</formula>
    </cfRule>
  </conditionalFormatting>
  <conditionalFormatting sqref="C13:C14">
    <cfRule type="cellIs" dxfId="34" priority="31" stopIfTrue="1" operator="lessThanOrEqual">
      <formula>0</formula>
    </cfRule>
  </conditionalFormatting>
  <conditionalFormatting sqref="C13:C14">
    <cfRule type="cellIs" dxfId="33" priority="30" stopIfTrue="1" operator="lessThanOrEqual">
      <formula>0</formula>
    </cfRule>
  </conditionalFormatting>
  <conditionalFormatting sqref="C13:C14">
    <cfRule type="cellIs" dxfId="32" priority="29" stopIfTrue="1" operator="lessThanOrEqual">
      <formula>0</formula>
    </cfRule>
  </conditionalFormatting>
  <conditionalFormatting sqref="C15:C18">
    <cfRule type="cellIs" dxfId="31" priority="28" stopIfTrue="1" operator="lessThanOrEqual">
      <formula>0</formula>
    </cfRule>
  </conditionalFormatting>
  <conditionalFormatting sqref="C15:C18">
    <cfRule type="cellIs" dxfId="30" priority="27" stopIfTrue="1" operator="lessThanOrEqual">
      <formula>0</formula>
    </cfRule>
  </conditionalFormatting>
  <conditionalFormatting sqref="C15:C18">
    <cfRule type="cellIs" dxfId="29" priority="26" stopIfTrue="1" operator="lessThanOrEqual">
      <formula>0</formula>
    </cfRule>
  </conditionalFormatting>
  <conditionalFormatting sqref="C15:C18">
    <cfRule type="cellIs" dxfId="28" priority="25" stopIfTrue="1" operator="lessThanOrEqual">
      <formula>0</formula>
    </cfRule>
  </conditionalFormatting>
  <conditionalFormatting sqref="C19">
    <cfRule type="cellIs" dxfId="27" priority="24" stopIfTrue="1" operator="lessThanOrEqual">
      <formula>0</formula>
    </cfRule>
  </conditionalFormatting>
  <conditionalFormatting sqref="C19">
    <cfRule type="cellIs" dxfId="26" priority="23" stopIfTrue="1" operator="lessThanOrEqual">
      <formula>0</formula>
    </cfRule>
  </conditionalFormatting>
  <conditionalFormatting sqref="C19">
    <cfRule type="cellIs" dxfId="25" priority="22" stopIfTrue="1" operator="lessThanOrEqual">
      <formula>0</formula>
    </cfRule>
  </conditionalFormatting>
  <conditionalFormatting sqref="C19">
    <cfRule type="cellIs" dxfId="24" priority="21" stopIfTrue="1" operator="lessThanOrEqual">
      <formula>0</formula>
    </cfRule>
  </conditionalFormatting>
  <conditionalFormatting sqref="C20:C22">
    <cfRule type="cellIs" dxfId="23" priority="20" stopIfTrue="1" operator="lessThanOrEqual">
      <formula>0</formula>
    </cfRule>
  </conditionalFormatting>
  <conditionalFormatting sqref="C20:C22">
    <cfRule type="cellIs" dxfId="22" priority="19" stopIfTrue="1" operator="lessThanOrEqual">
      <formula>0</formula>
    </cfRule>
  </conditionalFormatting>
  <conditionalFormatting sqref="C20:C22">
    <cfRule type="cellIs" dxfId="21" priority="18" stopIfTrue="1" operator="lessThanOrEqual">
      <formula>0</formula>
    </cfRule>
  </conditionalFormatting>
  <conditionalFormatting sqref="C20:C22">
    <cfRule type="cellIs" dxfId="20" priority="17" stopIfTrue="1" operator="lessThanOrEqual">
      <formula>0</formula>
    </cfRule>
  </conditionalFormatting>
  <conditionalFormatting sqref="C23">
    <cfRule type="cellIs" dxfId="19" priority="16" stopIfTrue="1" operator="lessThanOrEqual">
      <formula>0</formula>
    </cfRule>
  </conditionalFormatting>
  <conditionalFormatting sqref="C23">
    <cfRule type="cellIs" dxfId="18" priority="15" stopIfTrue="1" operator="lessThanOrEqual">
      <formula>0</formula>
    </cfRule>
  </conditionalFormatting>
  <conditionalFormatting sqref="C23">
    <cfRule type="cellIs" dxfId="17" priority="14" stopIfTrue="1" operator="lessThanOrEqual">
      <formula>0</formula>
    </cfRule>
  </conditionalFormatting>
  <conditionalFormatting sqref="C23">
    <cfRule type="cellIs" dxfId="16" priority="13" stopIfTrue="1" operator="lessThanOrEqual">
      <formula>0</formula>
    </cfRule>
  </conditionalFormatting>
  <conditionalFormatting sqref="C25:C26">
    <cfRule type="cellIs" dxfId="15" priority="12" stopIfTrue="1" operator="lessThanOrEqual">
      <formula>0</formula>
    </cfRule>
  </conditionalFormatting>
  <conditionalFormatting sqref="C25:C26">
    <cfRule type="cellIs" dxfId="14" priority="11" stopIfTrue="1" operator="lessThanOrEqual">
      <formula>0</formula>
    </cfRule>
  </conditionalFormatting>
  <conditionalFormatting sqref="C25:C26">
    <cfRule type="cellIs" dxfId="13" priority="10" stopIfTrue="1" operator="lessThanOrEqual">
      <formula>0</formula>
    </cfRule>
  </conditionalFormatting>
  <conditionalFormatting sqref="C25:C26">
    <cfRule type="cellIs" dxfId="12" priority="9" stopIfTrue="1" operator="lessThanOrEqual">
      <formula>0</formula>
    </cfRule>
  </conditionalFormatting>
  <conditionalFormatting sqref="C24">
    <cfRule type="cellIs" dxfId="11" priority="8" stopIfTrue="1" operator="lessThanOrEqual">
      <formula>0</formula>
    </cfRule>
  </conditionalFormatting>
  <conditionalFormatting sqref="C24">
    <cfRule type="cellIs" dxfId="10" priority="7" stopIfTrue="1" operator="lessThanOrEqual">
      <formula>0</formula>
    </cfRule>
  </conditionalFormatting>
  <conditionalFormatting sqref="C24">
    <cfRule type="cellIs" dxfId="9" priority="6" stopIfTrue="1" operator="lessThanOrEqual">
      <formula>0</formula>
    </cfRule>
  </conditionalFormatting>
  <conditionalFormatting sqref="C24">
    <cfRule type="cellIs" dxfId="8" priority="5" stopIfTrue="1" operator="lessThanOrEqual">
      <formula>0</formula>
    </cfRule>
  </conditionalFormatting>
  <conditionalFormatting sqref="C27">
    <cfRule type="cellIs" dxfId="7" priority="4" stopIfTrue="1" operator="lessThanOrEqual">
      <formula>0</formula>
    </cfRule>
  </conditionalFormatting>
  <conditionalFormatting sqref="C27">
    <cfRule type="cellIs" dxfId="5" priority="3" stopIfTrue="1" operator="lessThanOrEqual">
      <formula>0</formula>
    </cfRule>
  </conditionalFormatting>
  <conditionalFormatting sqref="C27">
    <cfRule type="cellIs" dxfId="3" priority="2" stopIfTrue="1" operator="lessThanOrEqual">
      <formula>0</formula>
    </cfRule>
  </conditionalFormatting>
  <conditionalFormatting sqref="C2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2019-11-12T07:32:15Z</dcterms:modified>
</cp:coreProperties>
</file>