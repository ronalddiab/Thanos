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C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<sst xmlns="http://schemas.openxmlformats.org/spreadsheetml/2006/main" count="108" uniqueCount="33">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</sst>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f>Submetering!D2</f>
        <v>2022</v>
      </c>
      <c r="E2" s="20">
        <f>Submetering!E2</f>
        <v>8278.7999999999993</v>
      </c>
      <c r="F2" s="16">
        <v>0.12</v>
      </c>
      <c r="G2" s="20">
        <f>Submetering!F2+Submetering!G2</f>
        <v>372.39</v>
      </c>
      <c r="H2" s="16">
        <f>0.09793*10.7</f>
        <v>1.0478509999999999</v>
      </c>
      <c r="I2" s="20">
        <f>Submetering!J2+Submetering!I2+Submetering!H2</f>
        <v>97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f>Submetering!D3</f>
        <v>2022</v>
      </c>
      <c r="E3" s="20">
        <f>Submetering!E3</f>
        <v>8239.84</v>
      </c>
      <c r="F3" s="16">
        <v>0.12</v>
      </c>
      <c r="G3" s="20">
        <f>Submetering!F3+Submetering!G3</f>
        <v>265.52</v>
      </c>
      <c r="H3" s="16">
        <f>H2</f>
        <v>1.0478509999999999</v>
      </c>
      <c r="I3" s="20">
        <f>Submetering!J3+Submetering!I3+Submetering!H3</f>
        <v>91.85</v>
      </c>
      <c r="J3" s="16">
        <f>J2</f>
        <v>3.7390400000000001</v>
      </c>
      <c r="K3" s="20">
        <f>Submetering!K3</f>
        <v>79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f>Submetering!D4</f>
        <v>2022</v>
      </c>
      <c r="E4" s="20">
        <f>Submetering!E4</f>
        <v>8079.19</v>
      </c>
      <c r="F4" s="16">
        <v>0.12</v>
      </c>
      <c r="G4" s="20">
        <f>Submetering!F4+Submetering!G4</f>
        <v>283.40000000000003</v>
      </c>
      <c r="H4" s="16">
        <f t="shared" ref="H4:H32" si="2">H3</f>
        <v>1.0478509999999999</v>
      </c>
      <c r="I4" s="20">
        <f>Submetering!J4+Submetering!I4+Submetering!H4</f>
        <v>99.58</v>
      </c>
      <c r="J4" s="16">
        <f t="shared" ref="J4:J32" si="3">J3</f>
        <v>3.7390400000000001</v>
      </c>
      <c r="K4" s="20">
        <f>Submetering!K4</f>
        <v>94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f>Submetering!D5</f>
        <v>2022</v>
      </c>
      <c r="E5" s="20">
        <f>Submetering!E5</f>
        <v>8292.64</v>
      </c>
      <c r="F5" s="16">
        <v>0.12</v>
      </c>
      <c r="G5" s="20">
        <f>Submetering!F5+Submetering!G5</f>
        <v>272.88</v>
      </c>
      <c r="H5" s="16">
        <f t="shared" si="2"/>
        <v>1.0478509999999999</v>
      </c>
      <c r="I5" s="20">
        <f>Submetering!J5+Submetering!I5+Submetering!H5</f>
        <v>95.59</v>
      </c>
      <c r="J5" s="16">
        <f t="shared" si="3"/>
        <v>3.7390400000000001</v>
      </c>
      <c r="K5" s="20">
        <f>Submetering!K5</f>
        <v>82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f>Submetering!D6</f>
        <v>2022</v>
      </c>
      <c r="E6" s="20">
        <f>Submetering!E6</f>
        <v>8531.51</v>
      </c>
      <c r="F6" s="16">
        <v>0.12</v>
      </c>
      <c r="G6" s="20">
        <f>Submetering!F6+Submetering!G6</f>
        <v>222.6</v>
      </c>
      <c r="H6" s="16">
        <f t="shared" si="2"/>
        <v>1.0478509999999999</v>
      </c>
      <c r="I6" s="20">
        <f>Submetering!J6+Submetering!I6+Submetering!H6</f>
        <v>91.8</v>
      </c>
      <c r="J6" s="16">
        <f t="shared" si="3"/>
        <v>3.7390400000000001</v>
      </c>
      <c r="K6" s="20">
        <f>Submetering!K6</f>
        <v>98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f>Submetering!D7</f>
        <v>2022</v>
      </c>
      <c r="E7" s="20">
        <f>Submetering!E7</f>
        <v>8770.7999999999993</v>
      </c>
      <c r="F7" s="16">
        <v>0.12</v>
      </c>
      <c r="G7" s="20">
        <f>Submetering!F7+Submetering!G7</f>
        <v>223.29</v>
      </c>
      <c r="H7" s="16">
        <f t="shared" si="2"/>
        <v>1.0478509999999999</v>
      </c>
      <c r="I7" s="20">
        <f>Submetering!J7+Submetering!I7+Submetering!H7</f>
        <v>93.82</v>
      </c>
      <c r="J7" s="16">
        <f t="shared" si="3"/>
        <v>3.7390400000000001</v>
      </c>
      <c r="K7" s="20">
        <f>Submetering!K7</f>
        <v>98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f>Submetering!D8</f>
        <v>2022</v>
      </c>
      <c r="E8" s="20">
        <f>Submetering!E8</f>
        <v>8562.2999999999993</v>
      </c>
      <c r="F8" s="16">
        <v>0.12</v>
      </c>
      <c r="G8" s="20">
        <f>Submetering!F8+Submetering!G8</f>
        <v>229.48000000000002</v>
      </c>
      <c r="H8" s="16">
        <f t="shared" si="2"/>
        <v>1.0478509999999999</v>
      </c>
      <c r="I8" s="20">
        <f>Submetering!J8+Submetering!I8+Submetering!H8</f>
        <v>95.56</v>
      </c>
      <c r="J8" s="16">
        <f t="shared" si="3"/>
        <v>3.7390400000000001</v>
      </c>
      <c r="K8" s="20">
        <f>Submetering!K8</f>
        <v>100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f>Submetering!D9</f>
        <v>2022</v>
      </c>
      <c r="E9" s="20">
        <f>Submetering!E9</f>
        <v>8562.94</v>
      </c>
      <c r="F9" s="16">
        <v>0.12</v>
      </c>
      <c r="G9" s="20">
        <f>Submetering!F9+Submetering!G9</f>
        <v>238.95999999999998</v>
      </c>
      <c r="H9" s="16">
        <f t="shared" si="2"/>
        <v>1.0478509999999999</v>
      </c>
      <c r="I9" s="20">
        <f>Submetering!J9+Submetering!I9+Submetering!H9</f>
        <v>101.16</v>
      </c>
      <c r="J9" s="16">
        <f t="shared" si="3"/>
        <v>3.7390400000000001</v>
      </c>
      <c r="K9" s="20">
        <f>Submetering!K9</f>
        <v>106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f>Submetering!D10</f>
        <v>2022</v>
      </c>
      <c r="E10" s="20">
        <f>Submetering!E10</f>
        <v>7699.61</v>
      </c>
      <c r="F10" s="16">
        <v>0.12</v>
      </c>
      <c r="G10" s="20">
        <f>Submetering!F10+Submetering!G10</f>
        <v>274.5</v>
      </c>
      <c r="H10" s="16">
        <f t="shared" si="2"/>
        <v>1.0478509999999999</v>
      </c>
      <c r="I10" s="20">
        <f>Submetering!J10+Submetering!I10+Submetering!H10</f>
        <v>7.5</v>
      </c>
      <c r="J10" s="16">
        <f t="shared" si="3"/>
        <v>3.7390400000000001</v>
      </c>
      <c r="K10" s="20">
        <f>Submetering!K10</f>
        <v>95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f t="shared" si="2"/>
        <v>1.0478509999999999</v>
      </c>
      <c r="I11" s="20">
        <f>Submetering!J11+Submetering!I11+Submetering!H11</f>
        <v>0</v>
      </c>
      <c r="J11" s="16">
        <f t="shared" si="3"/>
        <v>3.7390400000000001</v>
      </c>
      <c r="K11" s="20">
        <f>Submetering!K11</f>
        <v>95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f t="shared" si="2"/>
        <v>1.0478509999999999</v>
      </c>
      <c r="I12" s="20">
        <f>Submetering!J12+Submetering!I12+Submetering!H12</f>
        <v>0</v>
      </c>
      <c r="J12" s="16">
        <f t="shared" si="3"/>
        <v>3.7390400000000001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f t="shared" si="2"/>
        <v>1.0478509999999999</v>
      </c>
      <c r="I13" s="20">
        <f>Submetering!J13+Submetering!I13+Submetering!H13</f>
        <v>0</v>
      </c>
      <c r="J13" s="16">
        <f t="shared" si="3"/>
        <v>3.7390400000000001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10</v>
      </c>
      <c r="D2" s="40">
        <v>2022</v>
      </c>
      <c r="E2" s="37">
        <v>8278.7999999999993</v>
      </c>
      <c r="F2" s="37">
        <v>356.94</v>
      </c>
      <c r="G2" s="37">
        <v>15.45</v>
      </c>
      <c r="H2" s="37">
        <v>3.5</v>
      </c>
      <c r="I2" s="37">
        <v>31</v>
      </c>
      <c r="J2" s="43">
        <v>62.5</v>
      </c>
      <c r="K2" s="6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10</v>
      </c>
      <c r="D3" s="40">
        <f>D2</f>
        <v>2022</v>
      </c>
      <c r="E3" s="37">
        <v>8239.84</v>
      </c>
      <c r="F3" s="37">
        <v>251.81</v>
      </c>
      <c r="G3" s="37">
        <v>13.71</v>
      </c>
      <c r="H3" s="37">
        <v>1.97</v>
      </c>
      <c r="I3" s="37">
        <v>38.880000000000003</v>
      </c>
      <c r="J3" s="43">
        <v>51</v>
      </c>
      <c r="K3" s="6">
        <v>79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40">
        <f t="shared" ref="D4:D32" si="2">D3</f>
        <v>2022</v>
      </c>
      <c r="E4" s="37">
        <v>8079.19</v>
      </c>
      <c r="F4" s="37">
        <v>274.18</v>
      </c>
      <c r="G4" s="37">
        <v>9.2200000000000006</v>
      </c>
      <c r="H4" s="37">
        <v>6.08</v>
      </c>
      <c r="I4" s="37">
        <v>38</v>
      </c>
      <c r="J4" s="43">
        <v>55.5</v>
      </c>
      <c r="K4" s="6">
        <v>94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10</v>
      </c>
      <c r="D5" s="40">
        <f t="shared" si="2"/>
        <v>2022</v>
      </c>
      <c r="E5" s="37">
        <v>8292.64</v>
      </c>
      <c r="F5" s="37">
        <v>262.17</v>
      </c>
      <c r="G5" s="37">
        <v>10.71</v>
      </c>
      <c r="H5" s="37">
        <v>4.59</v>
      </c>
      <c r="I5" s="37">
        <v>30.5</v>
      </c>
      <c r="J5" s="43">
        <v>60.5</v>
      </c>
      <c r="K5" s="6">
        <v>82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10</v>
      </c>
      <c r="D6" s="40">
        <f t="shared" si="2"/>
        <v>2022</v>
      </c>
      <c r="E6" s="37">
        <v>8531.51</v>
      </c>
      <c r="F6" s="37">
        <v>213.38</v>
      </c>
      <c r="G6" s="37">
        <v>9.2200000000000006</v>
      </c>
      <c r="H6" s="37">
        <v>2.2999999999999998</v>
      </c>
      <c r="I6" s="37">
        <v>32</v>
      </c>
      <c r="J6" s="43">
        <v>57.5</v>
      </c>
      <c r="K6">
        <v>98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10</v>
      </c>
      <c r="D7" s="40">
        <f t="shared" si="2"/>
        <v>2022</v>
      </c>
      <c r="E7" s="37">
        <v>8770.7999999999993</v>
      </c>
      <c r="F7" s="37">
        <v>214.32</v>
      </c>
      <c r="G7" s="37">
        <v>8.9700000000000006</v>
      </c>
      <c r="H7" s="37">
        <v>1.82</v>
      </c>
      <c r="I7" s="37">
        <v>33</v>
      </c>
      <c r="J7" s="37">
        <v>59</v>
      </c>
      <c r="K7" s="6">
        <v>98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10</v>
      </c>
      <c r="D8" s="40">
        <f t="shared" si="2"/>
        <v>2022</v>
      </c>
      <c r="E8" s="37">
        <v>8562.2999999999993</v>
      </c>
      <c r="F8" s="37">
        <v>216.77</v>
      </c>
      <c r="G8" s="37">
        <v>12.71</v>
      </c>
      <c r="H8" s="37">
        <v>2.06</v>
      </c>
      <c r="I8" s="37">
        <v>32</v>
      </c>
      <c r="J8" s="37">
        <v>61.5</v>
      </c>
      <c r="K8">
        <v>100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10</v>
      </c>
      <c r="D9" s="40">
        <f t="shared" si="2"/>
        <v>2022</v>
      </c>
      <c r="E9" s="37">
        <v>8562.94</v>
      </c>
      <c r="F9" s="37">
        <v>230.98</v>
      </c>
      <c r="G9" s="37">
        <v>7.98</v>
      </c>
      <c r="H9" s="37">
        <v>2.16</v>
      </c>
      <c r="I9" s="37">
        <v>34.5</v>
      </c>
      <c r="J9" s="37">
        <v>64.5</v>
      </c>
      <c r="K9">
        <v>106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10</v>
      </c>
      <c r="D10" s="40">
        <f t="shared" si="2"/>
        <v>2022</v>
      </c>
      <c r="E10" s="37">
        <v>7699.61</v>
      </c>
      <c r="F10" s="37">
        <v>263.57</v>
      </c>
      <c r="G10" s="37">
        <v>10.93</v>
      </c>
      <c r="H10" s="37"/>
      <c r="I10" s="37"/>
      <c r="J10" s="37">
        <v>7.5</v>
      </c>
      <c r="K10">
        <v>95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10</v>
      </c>
      <c r="D11" s="40">
        <f t="shared" si="2"/>
        <v>2022</v>
      </c>
      <c r="E11" s="37"/>
      <c r="F11" s="37"/>
      <c r="G11" s="37"/>
      <c r="H11" s="37"/>
      <c r="I11" s="37"/>
      <c r="J11" s="37"/>
      <c r="K11" s="6">
        <v>95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10</v>
      </c>
      <c r="D12" s="40">
        <f t="shared" si="2"/>
        <v>2022</v>
      </c>
      <c r="E12" s="37"/>
      <c r="F12" s="37"/>
      <c r="G12" s="37"/>
      <c r="H12" s="37"/>
      <c r="I12" s="37"/>
      <c r="J12" s="37"/>
      <c r="K12" s="6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10</v>
      </c>
      <c r="D13" s="40">
        <f t="shared" si="2"/>
        <v>2022</v>
      </c>
      <c r="E13" s="37"/>
      <c r="F13" s="37"/>
      <c r="G13" s="37"/>
      <c r="H13" s="37"/>
      <c r="I13" s="37"/>
      <c r="J13" s="37"/>
      <c r="K13" s="6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10</v>
      </c>
      <c r="D14" s="40">
        <f t="shared" si="2"/>
        <v>2022</v>
      </c>
      <c r="E14" s="37"/>
      <c r="F14" s="37"/>
      <c r="G14" s="37"/>
      <c r="H14" s="37"/>
      <c r="I14" s="37"/>
      <c r="J14" s="37"/>
      <c r="K14" s="6"/>
    </row>
    <row r="15" spans="1:17" x14ac:dyDescent="0.25">
      <c r="A15" s="17" t="s">
        <v>32</v>
      </c>
      <c r="B15" s="6">
        <f t="shared" si="0"/>
        <v>14</v>
      </c>
      <c r="C15" s="6">
        <f t="shared" si="1"/>
        <v>10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/>
    </row>
    <row r="16" spans="1:17" x14ac:dyDescent="0.25">
      <c r="A16" s="17" t="s">
        <v>32</v>
      </c>
      <c r="B16" s="6">
        <f t="shared" si="0"/>
        <v>15</v>
      </c>
      <c r="C16" s="6">
        <f t="shared" si="1"/>
        <v>10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10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10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10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10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10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10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10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10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10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10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f t="shared" si="2"/>
        <v>2022</v>
      </c>
      <c r="E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2022-10-11T06:56:44Z</dcterms:modified>
</cp:coreProperties>
</file>