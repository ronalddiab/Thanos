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B29" i="7" l="1"/>
  <c r="T29" i="7"/>
  <c r="H27" i="7" l="1"/>
  <c r="CD23" i="7" l="1"/>
  <c r="AL23" i="7"/>
  <c r="AB23" i="7"/>
  <c r="AJ21" i="7" l="1"/>
  <c r="F21" i="7"/>
  <c r="V22" i="7" l="1"/>
  <c r="T20" i="7"/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4" i="7" l="1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G25" i="6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19" i="6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Q21" i="6"/>
  <c r="AB24" i="7"/>
  <c r="Q22" i="6" s="1"/>
  <c r="AB25" i="7"/>
  <c r="Q23" i="6" s="1"/>
  <c r="AB26" i="7"/>
  <c r="Q24" i="6" s="1"/>
  <c r="AB27" i="7"/>
  <c r="Q25" i="6" s="1"/>
  <c r="AB28" i="7"/>
  <c r="Q26" i="6" s="1"/>
  <c r="Q27" i="6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M28" i="6"/>
  <c r="R30" i="7"/>
  <c r="L28" i="6" s="1"/>
  <c r="P30" i="7"/>
  <c r="K28" i="6" s="1"/>
  <c r="AH29" i="7"/>
  <c r="T27" i="6" s="1"/>
  <c r="V29" i="7"/>
  <c r="N27" i="6" s="1"/>
  <c r="M27" i="6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M18" i="6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<sst xmlns="http://schemas.openxmlformats.org/spreadsheetml/2006/main" count="296" uniqueCount="138">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</sst>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4" workbookViewId="0">
      <selection activeCell="G19" sqref="G1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3629.9999999997772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4679.9999999998099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39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5039.9999999999163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30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4950.0000000000264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5130.0000000002783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33.799999999999997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4460.0000000001055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4999.9999999996498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16.5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4129.9999999999436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32.9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4219.9999999997199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26.9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4860.0000000008076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30.4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3909.9999999996817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15.3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4779.9999999999463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22.7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4719.9999999998872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24.2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 t="e">
        <f>Submetering!E28+Submetering!F28+Submetering!G28+Submetering!H28-Submetering!AV28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N4"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0.11999999999997613</v>
      </c>
      <c r="W14" s="36">
        <f>'FS Desroches Daily'!AN16</f>
        <v>6.9999999999993179E-2</v>
      </c>
      <c r="X14" s="36">
        <f>'FS Desroches Daily'!AP16</f>
        <v>9.9999999999994316E-2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899.99999999990087</v>
      </c>
      <c r="F15" s="33">
        <f>'FS Desroches Daily'!F17</f>
        <v>599.99999999993395</v>
      </c>
      <c r="G15" s="32">
        <f>'FS Desroches Daily'!H17</f>
        <v>1599.9999999998238</v>
      </c>
      <c r="H15" s="33">
        <f>'FS Desroches Daily'!J17</f>
        <v>900.0000000001229</v>
      </c>
      <c r="I15" s="32">
        <f>'FS Desroches Daily'!L17</f>
        <v>1900.0000000000127</v>
      </c>
      <c r="J15" s="33">
        <f>'FS Desroches Daily'!N17</f>
        <v>599.99999999993395</v>
      </c>
      <c r="K15" s="13">
        <f>'FS Desroches Daily'!P17</f>
        <v>1</v>
      </c>
      <c r="L15" s="32">
        <f>'FS Desroches Daily'!R17</f>
        <v>2</v>
      </c>
      <c r="M15" s="32">
        <f>'FS Desroches Daily'!T17</f>
        <v>148.09999999997672</v>
      </c>
      <c r="N15" s="32">
        <f>'FS Desroches Daily'!V17</f>
        <v>90.900000000023283</v>
      </c>
      <c r="O15" s="32">
        <f>'FS Desroches Daily'!X17</f>
        <v>90.000000000031832</v>
      </c>
      <c r="P15" s="32">
        <f>'FS Desroches Daily'!Z17</f>
        <v>399.99999999995595</v>
      </c>
      <c r="Q15" s="32">
        <f>'FS Desroches Daily'!AB17</f>
        <v>20.000000000038654</v>
      </c>
      <c r="R15" s="32">
        <f>'FS Desroches Daily'!AD17</f>
        <v>150.00000000003411</v>
      </c>
      <c r="S15" s="32">
        <f>'FS Desroches Daily'!AF17</f>
        <v>269.99999999998181</v>
      </c>
      <c r="T15" s="32">
        <f>'FS Desroches Daily'!AH17</f>
        <v>1.0999999999999091</v>
      </c>
      <c r="U15" s="36">
        <f>'FS Desroches Daily'!AJ17</f>
        <v>229.99999999996135</v>
      </c>
      <c r="V15" s="36">
        <f>'FS Desroches Daily'!AL17</f>
        <v>9.0000000000003411E-2</v>
      </c>
      <c r="W15" s="36">
        <f>'FS Desroches Daily'!AN17</f>
        <v>6.0000000000002274E-2</v>
      </c>
      <c r="X15" s="36">
        <f>'FS Desroches Daily'!AP17</f>
        <v>9.9999999999994316E-2</v>
      </c>
      <c r="Y15" s="36">
        <f>'FS Desroches Daily'!AR17</f>
        <v>50.000000000011369</v>
      </c>
      <c r="Z15" s="36">
        <f>'FS Desroches Daily'!AT17</f>
        <v>40.000000000020464</v>
      </c>
      <c r="AA15" s="36">
        <f>'FS Desroches Daily'!AT17</f>
        <v>40.000000000020464</v>
      </c>
      <c r="AB15" s="36">
        <f>'FS Desroches Daily'!AV17</f>
        <v>20.000000000038654</v>
      </c>
      <c r="AC15" s="36">
        <f>'FS Desroches Daily'!AZ17</f>
        <v>40.000000000020464</v>
      </c>
      <c r="AD15" s="36">
        <f>'FS Desroches Daily'!BB17</f>
        <v>29.999999999972715</v>
      </c>
      <c r="AE15" s="36">
        <f>'FS Desroches Daily'!BD17</f>
        <v>10.000000000019327</v>
      </c>
      <c r="AF15" s="32">
        <f>'FS Desroches Daily'!BF17</f>
        <v>21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20.000000000010232</v>
      </c>
      <c r="AK15" s="33">
        <f>'FS Desroches Daily'!BP17</f>
        <v>30.000000000029559</v>
      </c>
      <c r="AL15" s="33">
        <f>'FS Desroches Daily'!BR17</f>
        <v>13</v>
      </c>
      <c r="AM15" s="33">
        <f>'FS Desroches Daily'!BT17</f>
        <v>20.000000000010232</v>
      </c>
      <c r="AN15" s="33">
        <f>'FS Desroches Daily'!BV17</f>
        <v>7</v>
      </c>
      <c r="AO15" s="33">
        <f>'FS Desroches Daily'!BX17</f>
        <v>10.000000000019327</v>
      </c>
      <c r="AP15" s="33">
        <f>'FS Desroches Daily'!BZ17</f>
        <v>23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65.099999999998545</v>
      </c>
      <c r="AU15" s="32">
        <f>'FS Desroches Daily'!CJ17</f>
        <v>229</v>
      </c>
      <c r="AV15" s="32">
        <f>'FS Desroches Daily'!CL17</f>
        <v>370.00000000000455</v>
      </c>
      <c r="AW15" s="32">
        <f>'FS Desroches Daily'!CM17</f>
        <v>22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1300.0000000000789</v>
      </c>
      <c r="F16" s="33">
        <f>'FS Desroches Daily'!F18</f>
        <v>899.99999999967883</v>
      </c>
      <c r="G16" s="32">
        <f>'FS Desroches Daily'!H18</f>
        <v>1800.0000000002458</v>
      </c>
      <c r="H16" s="33">
        <f>'FS Desroches Daily'!J18</f>
        <v>1099.9999999998788</v>
      </c>
      <c r="I16" s="32">
        <f>'FS Desroches Daily'!L18</f>
        <v>2199.9999999999795</v>
      </c>
      <c r="J16" s="33">
        <f>'FS Desroches Daily'!N18</f>
        <v>1000.0000000001119</v>
      </c>
      <c r="K16" s="13">
        <f>'FS Desroches Daily'!P18</f>
        <v>1</v>
      </c>
      <c r="L16" s="32">
        <f>'FS Desroches Daily'!R18</f>
        <v>4</v>
      </c>
      <c r="M16" s="32">
        <f>'FS Desroches Daily'!T18</f>
        <v>181</v>
      </c>
      <c r="N16" s="32">
        <f>'FS Desroches Daily'!V18</f>
        <v>97</v>
      </c>
      <c r="O16" s="32">
        <f>'FS Desroches Daily'!X18</f>
        <v>179.99999999994998</v>
      </c>
      <c r="P16" s="32">
        <f>'FS Desroches Daily'!Z18</f>
        <v>599.99999999993395</v>
      </c>
      <c r="Q16" s="32">
        <f>'FS Desroches Daily'!AB18</f>
        <v>89.999999999974989</v>
      </c>
      <c r="R16" s="32">
        <f>'FS Desroches Daily'!AD18</f>
        <v>310.00000000000227</v>
      </c>
      <c r="S16" s="32">
        <f>'FS Desroches Daily'!AF18</f>
        <v>450.00000000004547</v>
      </c>
      <c r="T16" s="32">
        <f>'FS Desroches Daily'!AH18</f>
        <v>1.3000000000001819</v>
      </c>
      <c r="U16" s="36">
        <f>'FS Desroches Daily'!AJ18</f>
        <v>300.00000000001137</v>
      </c>
      <c r="V16" s="36">
        <f>'FS Desroches Daily'!AL18</f>
        <v>0.15999999999999659</v>
      </c>
      <c r="W16" s="36">
        <f>'FS Desroches Daily'!AN18</f>
        <v>7.00000000000216E-2</v>
      </c>
      <c r="X16" s="36">
        <f>'FS Desroches Daily'!AP18</f>
        <v>0.13000000000002387</v>
      </c>
      <c r="Y16" s="36">
        <f>'FS Desroches Daily'!AR18</f>
        <v>69.999999999993179</v>
      </c>
      <c r="Z16" s="36">
        <f>'FS Desroches Daily'!AT18</f>
        <v>79.999999999984084</v>
      </c>
      <c r="AA16" s="36">
        <f>'FS Desroches Daily'!AT18</f>
        <v>79.999999999984084</v>
      </c>
      <c r="AB16" s="36">
        <f>'FS Desroches Daily'!AV18</f>
        <v>60.000000000002274</v>
      </c>
      <c r="AC16" s="36">
        <f>'FS Desroches Daily'!AZ18</f>
        <v>60.000000000002274</v>
      </c>
      <c r="AD16" s="36">
        <f>'FS Desroches Daily'!BB18</f>
        <v>60.000000000002274</v>
      </c>
      <c r="AE16" s="36">
        <f>'FS Desroches Daily'!BD18</f>
        <v>19.99999999998181</v>
      </c>
      <c r="AF16" s="32">
        <f>'FS Desroches Daily'!BF18</f>
        <v>36</v>
      </c>
      <c r="AG16" s="33">
        <f>'FS Desroches Daily'!BH18</f>
        <v>30.000000000001137</v>
      </c>
      <c r="AH16" s="33">
        <f>'FS Desroches Daily'!BJ18</f>
        <v>20.000000000038654</v>
      </c>
      <c r="AI16" s="33">
        <f>'FS Desroches Daily'!BL18</f>
        <v>30.000000000001137</v>
      </c>
      <c r="AJ16" s="33">
        <f>'FS Desroches Daily'!BN18</f>
        <v>30.000000000001137</v>
      </c>
      <c r="AK16" s="33">
        <f>'FS Desroches Daily'!BP18</f>
        <v>40.000000000020464</v>
      </c>
      <c r="AL16" s="33">
        <f>'FS Desroches Daily'!BR18</f>
        <v>8</v>
      </c>
      <c r="AM16" s="33">
        <f>'FS Desroches Daily'!BT18</f>
        <v>39.999999999992042</v>
      </c>
      <c r="AN16" s="33">
        <f>'FS Desroches Daily'!BV18</f>
        <v>15</v>
      </c>
      <c r="AO16" s="33">
        <f>'FS Desroches Daily'!BX18</f>
        <v>30.000000000001137</v>
      </c>
      <c r="AP16" s="33">
        <f>'FS Desroches Daily'!BZ18</f>
        <v>26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64.099999999998545</v>
      </c>
      <c r="AU16" s="32">
        <f>'FS Desroches Daily'!CJ18</f>
        <v>260</v>
      </c>
      <c r="AV16" s="32">
        <f>'FS Desroches Daily'!CL18</f>
        <v>420.00000000007276</v>
      </c>
      <c r="AW16" s="32">
        <f>'FS Desroches Daily'!CM18</f>
        <v>39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1499.9999999998347</v>
      </c>
      <c r="F17" s="33">
        <f>'FS Desroches Daily'!F19</f>
        <v>900.0000000001229</v>
      </c>
      <c r="G17" s="32">
        <f>'FS Desroches Daily'!H19</f>
        <v>1799.9999999998017</v>
      </c>
      <c r="H17" s="33">
        <f>'FS Desroches Daily'!J19</f>
        <v>1300.0000000000789</v>
      </c>
      <c r="I17" s="32">
        <f>'FS Desroches Daily'!L19</f>
        <v>2400.0000000001796</v>
      </c>
      <c r="J17" s="33">
        <f>'FS Desroches Daily'!N19</f>
        <v>1099.9999999998788</v>
      </c>
      <c r="K17" s="13">
        <f>'FS Desroches Daily'!P19</f>
        <v>0</v>
      </c>
      <c r="L17" s="32">
        <f>'FS Desroches Daily'!R19</f>
        <v>5</v>
      </c>
      <c r="M17" s="32">
        <f>'FS Desroches Daily'!T19</f>
        <v>109</v>
      </c>
      <c r="N17" s="32">
        <f>'FS Desroches Daily'!V19</f>
        <v>90</v>
      </c>
      <c r="O17" s="32">
        <f>'FS Desroches Daily'!X19</f>
        <v>200.00000000004547</v>
      </c>
      <c r="P17" s="32">
        <f>'FS Desroches Daily'!Z19</f>
        <v>599.99999999993395</v>
      </c>
      <c r="Q17" s="32">
        <f>'FS Desroches Daily'!AB19</f>
        <v>89.999999999974989</v>
      </c>
      <c r="R17" s="32">
        <f>'FS Desroches Daily'!AD19</f>
        <v>359.9999999999568</v>
      </c>
      <c r="S17" s="32">
        <f>'FS Desroches Daily'!AF19</f>
        <v>560.00000000000227</v>
      </c>
      <c r="T17" s="32">
        <f>'FS Desroches Daily'!AH19</f>
        <v>1</v>
      </c>
      <c r="U17" s="36">
        <f>'FS Desroches Daily'!AJ19</f>
        <v>360.00000000001364</v>
      </c>
      <c r="V17" s="36">
        <f>'FS Desroches Daily'!AL19</f>
        <v>0.16000000000002501</v>
      </c>
      <c r="W17" s="36">
        <f>'FS Desroches Daily'!AN19</f>
        <v>0.10999999999998522</v>
      </c>
      <c r="X17" s="36">
        <f>'FS Desroches Daily'!AP19</f>
        <v>0.11999999999997613</v>
      </c>
      <c r="Y17" s="36">
        <f>'FS Desroches Daily'!AR19</f>
        <v>99.999999999994316</v>
      </c>
      <c r="Z17" s="36">
        <f>'FS Desroches Daily'!AU20</f>
        <v>264.51</v>
      </c>
      <c r="AA17" s="36">
        <f>'FS Desroches Daily'!AU20</f>
        <v>264.51</v>
      </c>
      <c r="AB17" s="36">
        <f>'FS Desroches Daily'!AV19</f>
        <v>69.999999999993179</v>
      </c>
      <c r="AC17" s="36">
        <f>'FS Desroches Daily'!AZ19</f>
        <v>89.999999999974989</v>
      </c>
      <c r="AD17" s="36">
        <f>'FS Desroches Daily'!BB19</f>
        <v>80.000000000040927</v>
      </c>
      <c r="AE17" s="36">
        <f>'FS Desroches Daily'!BD19</f>
        <v>10.000000000019327</v>
      </c>
      <c r="AF17" s="32">
        <f>'FS Desroches Daily'!BF19</f>
        <v>40</v>
      </c>
      <c r="AG17" s="33">
        <f>'FS Desroches Daily'!BH19</f>
        <v>30.000000000001137</v>
      </c>
      <c r="AH17" s="33">
        <f>'FS Desroches Daily'!BJ19</f>
        <v>39.99999999996362</v>
      </c>
      <c r="AI17" s="33">
        <f>'FS Desroches Daily'!BL19</f>
        <v>30.000000000001137</v>
      </c>
      <c r="AJ17" s="33">
        <f>'FS Desroches Daily'!BN19</f>
        <v>50.000000000011369</v>
      </c>
      <c r="AK17" s="33">
        <f>'FS Desroches Daily'!BP19</f>
        <v>49.999999999954525</v>
      </c>
      <c r="AL17" s="33">
        <f>'FS Desroches Daily'!BR19</f>
        <v>35</v>
      </c>
      <c r="AM17" s="33">
        <f>'FS Desroches Daily'!BT19</f>
        <v>50.000000000011369</v>
      </c>
      <c r="AN17" s="33">
        <f>'FS Desroches Daily'!BV19</f>
        <v>21</v>
      </c>
      <c r="AO17" s="33">
        <f>'FS Desroches Daily'!BX19</f>
        <v>19.99999999998181</v>
      </c>
      <c r="AP17" s="33">
        <f>'FS Desroches Daily'!BZ19</f>
        <v>30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69.100000000005821</v>
      </c>
      <c r="AU17" s="32">
        <f>'FS Desroches Daily'!CJ19</f>
        <v>230</v>
      </c>
      <c r="AV17" s="32">
        <f>'FS Desroches Daily'!CL19</f>
        <v>459.99999999992269</v>
      </c>
      <c r="AW17" s="32">
        <f>'FS Desroches Daily'!CM19</f>
        <v>30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1600.0000000000459</v>
      </c>
      <c r="F18" s="33">
        <f>'FS Desroches Daily'!F20</f>
        <v>999.99999999988984</v>
      </c>
      <c r="G18" s="32">
        <f>'FS Desroches Daily'!H20</f>
        <v>1600.0000000002678</v>
      </c>
      <c r="H18" s="33">
        <f>'FS Desroches Daily'!J20</f>
        <v>1199.9999999998679</v>
      </c>
      <c r="I18" s="32">
        <f>'FS Desroches Daily'!L20</f>
        <v>2399.9999999999577</v>
      </c>
      <c r="J18" s="33">
        <f>'FS Desroches Daily'!N20</f>
        <v>1200.0000000000898</v>
      </c>
      <c r="K18" s="13">
        <f>'FS Desroches Daily'!P20</f>
        <v>0</v>
      </c>
      <c r="L18" s="32">
        <f>'FS Desroches Daily'!R20</f>
        <v>5</v>
      </c>
      <c r="M18" s="32">
        <f>'FS Desroches Daily'!T20</f>
        <v>76</v>
      </c>
      <c r="N18" s="32">
        <f>'FS Desroches Daily'!V20</f>
        <v>44</v>
      </c>
      <c r="O18" s="32">
        <f>'FS Desroches Daily'!X20</f>
        <v>199.99999999998863</v>
      </c>
      <c r="P18" s="32">
        <f>'FS Desroches Daily'!Z20</f>
        <v>500.00000000016701</v>
      </c>
      <c r="Q18" s="32">
        <f>'FS Desroches Daily'!AB20</f>
        <v>100.00000000002274</v>
      </c>
      <c r="R18" s="32">
        <f>'FS Desroches Daily'!AD20</f>
        <v>379.99999999999545</v>
      </c>
      <c r="S18" s="32">
        <f>'FS Desroches Daily'!AF20</f>
        <v>1217.5999999999999</v>
      </c>
      <c r="T18" s="32">
        <f>'FS Desroches Daily'!AH20</f>
        <v>1.1999999999998181</v>
      </c>
      <c r="U18" s="36">
        <f>'FS Desroches Daily'!AJ20</f>
        <v>240.00000000000909</v>
      </c>
      <c r="V18" s="36">
        <f>'FS Desroches Daily'!AL20</f>
        <v>0.1799999999999784</v>
      </c>
      <c r="W18" s="36">
        <f>'FS Desroches Daily'!AN20</f>
        <v>0.12999999999999545</v>
      </c>
      <c r="X18" s="36">
        <f>'FS Desroches Daily'!AP20</f>
        <v>0.10000000000002274</v>
      </c>
      <c r="Y18" s="36">
        <f>'FS Desroches Daily'!AR20</f>
        <v>110.00000000001364</v>
      </c>
      <c r="Z18" s="36">
        <f>'FS Desroches Daily'!AT20</f>
        <v>109.9999999999568</v>
      </c>
      <c r="AA18" s="36">
        <f>'FS Desroches Daily'!AT20</f>
        <v>109.9999999999568</v>
      </c>
      <c r="AB18" s="36">
        <f>'FS Desroches Daily'!AV20</f>
        <v>89.999999999974989</v>
      </c>
      <c r="AC18" s="36">
        <f>'FS Desroches Daily'!AZ20</f>
        <v>89.999999999974989</v>
      </c>
      <c r="AD18" s="36">
        <f>'FS Desroches Daily'!BB20</f>
        <v>89.999999999974989</v>
      </c>
      <c r="AE18" s="36">
        <f>'FS Desroches Daily'!BD20</f>
        <v>0</v>
      </c>
      <c r="AF18" s="32">
        <f>'FS Desroches Daily'!BF20</f>
        <v>21</v>
      </c>
      <c r="AG18" s="33">
        <f>'FS Desroches Daily'!BH20</f>
        <v>39.999999999992042</v>
      </c>
      <c r="AH18" s="33">
        <f>'FS Desroches Daily'!BJ20</f>
        <v>40.000000000020464</v>
      </c>
      <c r="AI18" s="33">
        <f>'FS Desroches Daily'!BL20</f>
        <v>39.999999999992042</v>
      </c>
      <c r="AJ18" s="33">
        <f>'FS Desroches Daily'!BN20</f>
        <v>49.999999999982947</v>
      </c>
      <c r="AK18" s="33">
        <f>'FS Desroches Daily'!BP20</f>
        <v>50.000000000011369</v>
      </c>
      <c r="AL18" s="33">
        <f>'FS Desroches Daily'!BR20</f>
        <v>22</v>
      </c>
      <c r="AM18" s="33">
        <f>'FS Desroches Daily'!BT20</f>
        <v>50.000000000011369</v>
      </c>
      <c r="AN18" s="33">
        <f>'FS Desroches Daily'!BV20</f>
        <v>20</v>
      </c>
      <c r="AO18" s="33">
        <f>'FS Desroches Daily'!BX20</f>
        <v>39.999999999992042</v>
      </c>
      <c r="AP18" s="33">
        <f>'FS Desroches Daily'!BZ20</f>
        <v>31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72.75</v>
      </c>
      <c r="AU18" s="32">
        <f>'FS Desroches Daily'!CJ20</f>
        <v>243</v>
      </c>
      <c r="AV18" s="32">
        <f>'FS Desroches Daily'!CL20</f>
        <v>450.00000000004547</v>
      </c>
      <c r="AW18" s="32">
        <f>'FS Desroches Daily'!CM20</f>
        <v>30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1400.0000000000678</v>
      </c>
      <c r="F19" s="33">
        <f>'FS Desroches Daily'!F21</f>
        <v>1000.000000000334</v>
      </c>
      <c r="G19" s="32">
        <f>'FS Desroches Daily'!H21</f>
        <v>1799.9999999998017</v>
      </c>
      <c r="H19" s="33">
        <f>'FS Desroches Daily'!J21</f>
        <v>1300.0000000000789</v>
      </c>
      <c r="I19" s="32">
        <f>'FS Desroches Daily'!L21</f>
        <v>2199.9999999999795</v>
      </c>
      <c r="J19" s="33">
        <f>'FS Desroches Daily'!N21</f>
        <v>1200.0000000000898</v>
      </c>
      <c r="K19" s="13">
        <f>'FS Desroches Daily'!P21</f>
        <v>2</v>
      </c>
      <c r="L19" s="32">
        <f>'FS Desroches Daily'!R21</f>
        <v>4</v>
      </c>
      <c r="M19" s="32">
        <f>'FS Desroches Daily'!T21</f>
        <v>181</v>
      </c>
      <c r="N19" s="32">
        <f>'FS Desroches Daily'!V21</f>
        <v>91</v>
      </c>
      <c r="O19" s="32">
        <f>'FS Desroches Daily'!X21</f>
        <v>199.99999999998863</v>
      </c>
      <c r="P19" s="32">
        <f>'FS Desroches Daily'!Z21</f>
        <v>799.99999999991189</v>
      </c>
      <c r="Q19" s="32">
        <f>'FS Desroches Daily'!AB21</f>
        <v>110.00000000001364</v>
      </c>
      <c r="R19" s="32">
        <f>'FS Desroches Daily'!AD21</f>
        <v>370.00000000000455</v>
      </c>
      <c r="S19" s="32">
        <f>'FS Desroches Daily'!AF21</f>
        <v>610.00000000001364</v>
      </c>
      <c r="T19" s="32">
        <f>'FS Desroches Daily'!AH21</f>
        <v>1.2000000000000455</v>
      </c>
      <c r="U19" s="36">
        <f>'FS Desroches Daily'!AJ21</f>
        <v>229.99999999996135</v>
      </c>
      <c r="V19" s="36">
        <f>'FS Desroches Daily'!AL21</f>
        <v>0.15999999999999659</v>
      </c>
      <c r="W19" s="36">
        <f>'FS Desroches Daily'!AN21</f>
        <v>0.14000000000001478</v>
      </c>
      <c r="X19" s="36">
        <f>'FS Desroches Daily'!AP21</f>
        <v>0</v>
      </c>
      <c r="Y19" s="36">
        <f>'FS Desroches Daily'!AR21</f>
        <v>99.999999999994316</v>
      </c>
      <c r="Z19" s="36">
        <f>'FS Desroches Daily'!AT21</f>
        <v>110.00000000001364</v>
      </c>
      <c r="AA19" s="36">
        <f>'FS Desroches Daily'!AT21</f>
        <v>110.00000000001364</v>
      </c>
      <c r="AB19" s="36">
        <f>'FS Desroches Daily'!AV21</f>
        <v>79.999999999984084</v>
      </c>
      <c r="AC19" s="36">
        <f>'FS Desroches Daily'!AZ21</f>
        <v>90.000000000031832</v>
      </c>
      <c r="AD19" s="36">
        <f>'FS Desroches Daily'!BB21</f>
        <v>89.999999999974989</v>
      </c>
      <c r="AE19" s="36">
        <f>'FS Desroches Daily'!BD21</f>
        <v>9.9999999999909051</v>
      </c>
      <c r="AF19" s="32">
        <f>'FS Desroches Daily'!BF21</f>
        <v>30</v>
      </c>
      <c r="AG19" s="33">
        <f>'FS Desroches Daily'!BH21</f>
        <v>39.999999999992042</v>
      </c>
      <c r="AH19" s="33">
        <f>'FS Desroches Daily'!BJ21</f>
        <v>40.000000000020464</v>
      </c>
      <c r="AI19" s="33">
        <f>'FS Desroches Daily'!BL21</f>
        <v>20.000000000010232</v>
      </c>
      <c r="AJ19" s="33">
        <f>'FS Desroches Daily'!BN21</f>
        <v>39.999999999992042</v>
      </c>
      <c r="AK19" s="33">
        <f>'FS Desroches Daily'!BP21</f>
        <v>50.000000000011369</v>
      </c>
      <c r="AL19" s="33">
        <f>'FS Desroches Daily'!BR21</f>
        <v>24</v>
      </c>
      <c r="AM19" s="33">
        <f>'FS Desroches Daily'!BT21</f>
        <v>39.999999999992042</v>
      </c>
      <c r="AN19" s="33">
        <f>'FS Desroches Daily'!BV21</f>
        <v>31</v>
      </c>
      <c r="AO19" s="33">
        <f>'FS Desroches Daily'!BX21</f>
        <v>30.000000000001137</v>
      </c>
      <c r="AP19" s="33">
        <f>'FS Desroches Daily'!BZ21</f>
        <v>32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62.94999999999709</v>
      </c>
      <c r="AU19" s="32">
        <f>'FS Desroches Daily'!CJ21</f>
        <v>180</v>
      </c>
      <c r="AV19" s="32">
        <f>'FS Desroches Daily'!CL21</f>
        <v>370.00000000000455</v>
      </c>
      <c r="AW19" s="32">
        <f>'FS Desroches Daily'!CM21</f>
        <v>33.799999999999997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1200.0000000000898</v>
      </c>
      <c r="F20" s="33">
        <f>'FS Desroches Daily'!F22</f>
        <v>799.99999999991189</v>
      </c>
      <c r="G20" s="32">
        <f>'FS Desroches Daily'!H22</f>
        <v>1700.0000000000348</v>
      </c>
      <c r="H20" s="33">
        <f>'FS Desroches Daily'!J22</f>
        <v>1100.000000000101</v>
      </c>
      <c r="I20" s="32">
        <f>'FS Desroches Daily'!L22</f>
        <v>2199.9999999999795</v>
      </c>
      <c r="J20" s="33">
        <f>'FS Desroches Daily'!N22</f>
        <v>1099.9999999998788</v>
      </c>
      <c r="K20" s="13">
        <f>'FS Desroches Daily'!P22</f>
        <v>2</v>
      </c>
      <c r="L20" s="32">
        <f>'FS Desroches Daily'!R22</f>
        <v>6</v>
      </c>
      <c r="M20" s="32">
        <f>'FS Desroches Daily'!T22</f>
        <v>157</v>
      </c>
      <c r="N20" s="32">
        <f>'FS Desroches Daily'!V22</f>
        <v>96</v>
      </c>
      <c r="O20" s="32">
        <f>'FS Desroches Daily'!X22</f>
        <v>170.00000000001592</v>
      </c>
      <c r="P20" s="32">
        <f>'FS Desroches Daily'!Z22</f>
        <v>500.00000000016701</v>
      </c>
      <c r="Q20" s="32">
        <f>'FS Desroches Daily'!AB22</f>
        <v>110.00000000001364</v>
      </c>
      <c r="R20" s="32">
        <f>'FS Desroches Daily'!AD22</f>
        <v>310.00000000000227</v>
      </c>
      <c r="S20" s="32">
        <f>'FS Desroches Daily'!AF22</f>
        <v>560.00000000000227</v>
      </c>
      <c r="T20" s="32">
        <f>'FS Desroches Daily'!AH22</f>
        <v>1</v>
      </c>
      <c r="U20" s="36">
        <f>'FS Desroches Daily'!AJ22</f>
        <v>250</v>
      </c>
      <c r="V20" s="36">
        <f>'FS Desroches Daily'!AL22</f>
        <v>0.12000000000000455</v>
      </c>
      <c r="W20" s="36">
        <f>'FS Desroches Daily'!AN22</f>
        <v>9.9999999999994316E-2</v>
      </c>
      <c r="X20" s="36">
        <f>'FS Desroches Daily'!AP22</f>
        <v>0.21999999999999886</v>
      </c>
      <c r="Y20" s="36">
        <f>'FS Desroches Daily'!AR22</f>
        <v>90.000000000003411</v>
      </c>
      <c r="Z20" s="36">
        <f>'FS Desroches Daily'!AT22</f>
        <v>90.000000000031832</v>
      </c>
      <c r="AA20" s="36">
        <f>'FS Desroches Daily'!AT22</f>
        <v>90.000000000031832</v>
      </c>
      <c r="AB20" s="36">
        <f>'FS Desroches Daily'!AV22</f>
        <v>50.000000000011369</v>
      </c>
      <c r="AC20" s="36">
        <f>'FS Desroches Daily'!AZ22</f>
        <v>79.999999999984084</v>
      </c>
      <c r="AD20" s="36">
        <f>'FS Desroches Daily'!BB22</f>
        <v>60.000000000002274</v>
      </c>
      <c r="AE20" s="36">
        <f>'FS Desroches Daily'!BD22</f>
        <v>19.99999999998181</v>
      </c>
      <c r="AF20" s="32">
        <f>'FS Desroches Daily'!BF22</f>
        <v>24</v>
      </c>
      <c r="AG20" s="33">
        <f>'FS Desroches Daily'!BH22</f>
        <v>40.000000000020464</v>
      </c>
      <c r="AH20" s="33">
        <f>'FS Desroches Daily'!BJ22</f>
        <v>29.999999999972715</v>
      </c>
      <c r="AI20" s="33">
        <f>'FS Desroches Daily'!BL22</f>
        <v>39.999999999992042</v>
      </c>
      <c r="AJ20" s="33">
        <f>'FS Desroches Daily'!BN22</f>
        <v>30.000000000001137</v>
      </c>
      <c r="AK20" s="33">
        <f>'FS Desroches Daily'!BP22</f>
        <v>50.000000000011369</v>
      </c>
      <c r="AL20" s="33">
        <f>'FS Desroches Daily'!BR22</f>
        <v>21</v>
      </c>
      <c r="AM20" s="33">
        <f>'FS Desroches Daily'!BT22</f>
        <v>30.000000000001137</v>
      </c>
      <c r="AN20" s="33">
        <f>'FS Desroches Daily'!BV22</f>
        <v>24</v>
      </c>
      <c r="AO20" s="33">
        <f>'FS Desroches Daily'!BX22</f>
        <v>30.000000000001137</v>
      </c>
      <c r="AP20" s="33">
        <f>'FS Desroches Daily'!BZ22</f>
        <v>29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76.599999999998545</v>
      </c>
      <c r="AU20" s="32">
        <f>'FS Desroches Daily'!CJ22</f>
        <v>208</v>
      </c>
      <c r="AV20" s="32">
        <f>'FS Desroches Daily'!CL22</f>
        <v>340.00000000003183</v>
      </c>
      <c r="AW20" s="32">
        <f>'FS Desroches Daily'!CM22</f>
        <v>23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1499.9999999998347</v>
      </c>
      <c r="F21" s="33">
        <f>'FS Desroches Daily'!F23</f>
        <v>999.99999999988984</v>
      </c>
      <c r="G21" s="32">
        <f>'FS Desroches Daily'!H23</f>
        <v>1700.0000000000348</v>
      </c>
      <c r="H21" s="33">
        <f>'FS Desroches Daily'!J23</f>
        <v>1199.9999999998679</v>
      </c>
      <c r="I21" s="32">
        <f>'FS Desroches Daily'!L23</f>
        <v>2199.9999999999795</v>
      </c>
      <c r="J21" s="33">
        <f>'FS Desroches Daily'!N23</f>
        <v>1100.000000000101</v>
      </c>
      <c r="K21" s="13">
        <f>'FS Desroches Daily'!P23</f>
        <v>2</v>
      </c>
      <c r="L21" s="32">
        <f>'FS Desroches Daily'!R23</f>
        <v>5</v>
      </c>
      <c r="M21" s="32">
        <f>'FS Desroches Daily'!T23</f>
        <v>154</v>
      </c>
      <c r="N21" s="32">
        <f>'FS Desroches Daily'!V23</f>
        <v>84</v>
      </c>
      <c r="O21" s="32">
        <f>'FS Desroches Daily'!X23</f>
        <v>189.99999999999773</v>
      </c>
      <c r="P21" s="32">
        <f>'FS Desroches Daily'!Z23</f>
        <v>700.00000000014495</v>
      </c>
      <c r="Q21" s="32">
        <f>'FS Desroches Daily'!AB23</f>
        <v>69.999999999993179</v>
      </c>
      <c r="R21" s="32">
        <f>'FS Desroches Daily'!AD23</f>
        <v>370.00000000000455</v>
      </c>
      <c r="S21" s="32">
        <f>'FS Desroches Daily'!AF23</f>
        <v>609.9999999999568</v>
      </c>
      <c r="T21" s="32">
        <f>'FS Desroches Daily'!AH23</f>
        <v>1.2000000000000455</v>
      </c>
      <c r="U21" s="36">
        <f>'FS Desroches Daily'!AJ23</f>
        <v>260.00000000004775</v>
      </c>
      <c r="V21" s="36">
        <f>'FS Desroches Daily'!AL23</f>
        <v>0.15000000000000568</v>
      </c>
      <c r="W21" s="36">
        <f>'FS Desroches Daily'!AN23</f>
        <v>0.13999999999998636</v>
      </c>
      <c r="X21" s="36">
        <f>'FS Desroches Daily'!AP23</f>
        <v>0.11999999999997613</v>
      </c>
      <c r="Y21" s="36">
        <f>'FS Desroches Daily'!AR23</f>
        <v>99.999999999994316</v>
      </c>
      <c r="Z21" s="36">
        <f>'FS Desroches Daily'!AT23</f>
        <v>99.999999999965894</v>
      </c>
      <c r="AA21" s="36">
        <f>'FS Desroches Daily'!AT23</f>
        <v>99.999999999965894</v>
      </c>
      <c r="AB21" s="36">
        <f>'FS Desroches Daily'!AV23</f>
        <v>90.000000000031832</v>
      </c>
      <c r="AC21" s="36">
        <f>'FS Desroches Daily'!AZ23</f>
        <v>79.999999999984084</v>
      </c>
      <c r="AD21" s="36">
        <f>'FS Desroches Daily'!BB23</f>
        <v>80.000000000040927</v>
      </c>
      <c r="AE21" s="36">
        <f>'FS Desroches Daily'!BD23</f>
        <v>10.000000000019327</v>
      </c>
      <c r="AF21" s="32">
        <f>'FS Desroches Daily'!BF23</f>
        <v>25</v>
      </c>
      <c r="AG21" s="33">
        <f>'FS Desroches Daily'!BH23</f>
        <v>39.999999999992042</v>
      </c>
      <c r="AH21" s="33">
        <f>'FS Desroches Daily'!BJ23</f>
        <v>40.000000000020464</v>
      </c>
      <c r="AI21" s="33">
        <f>'FS Desroches Daily'!BL23</f>
        <v>30.000000000001137</v>
      </c>
      <c r="AJ21" s="33">
        <f>'FS Desroches Daily'!BN23</f>
        <v>40.000000000020464</v>
      </c>
      <c r="AK21" s="33">
        <f>'FS Desroches Daily'!BP23</f>
        <v>50.000000000011369</v>
      </c>
      <c r="AL21" s="33">
        <f>'FS Desroches Daily'!BR23</f>
        <v>22</v>
      </c>
      <c r="AM21" s="33">
        <f>'FS Desroches Daily'!BT23</f>
        <v>30.000000000001137</v>
      </c>
      <c r="AN21" s="33">
        <f>'FS Desroches Daily'!BV23</f>
        <v>29</v>
      </c>
      <c r="AO21" s="33">
        <f>'FS Desroches Daily'!BX23</f>
        <v>30.000000000001137</v>
      </c>
      <c r="AP21" s="33">
        <f>'FS Desroches Daily'!BZ23</f>
        <v>30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78.400000000001455</v>
      </c>
      <c r="AU21" s="32">
        <f>'FS Desroches Daily'!CJ23</f>
        <v>201</v>
      </c>
      <c r="AV21" s="32">
        <f>'FS Desroches Daily'!CL23</f>
        <v>399.99999999997726</v>
      </c>
      <c r="AW21" s="32">
        <f>'FS Desroches Daily'!CM23</f>
        <v>16.5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1100.000000000101</v>
      </c>
      <c r="F22" s="33">
        <f>'FS Desroches Daily'!F24</f>
        <v>799.99999999991189</v>
      </c>
      <c r="G22" s="32">
        <f>'FS Desroches Daily'!H24</f>
        <v>1599.9999999998238</v>
      </c>
      <c r="H22" s="33">
        <f>'FS Desroches Daily'!J24</f>
        <v>1000.0000000001119</v>
      </c>
      <c r="I22" s="32">
        <f>'FS Desroches Daily'!L24</f>
        <v>2099.9999999999909</v>
      </c>
      <c r="J22" s="33">
        <f>'FS Desroches Daily'!N24</f>
        <v>999.99999999988984</v>
      </c>
      <c r="K22" s="13">
        <f>'FS Desroches Daily'!P24</f>
        <v>1</v>
      </c>
      <c r="L22" s="32">
        <f>'FS Desroches Daily'!R24</f>
        <v>4</v>
      </c>
      <c r="M22" s="32">
        <f>'FS Desroches Daily'!T24</f>
        <v>158</v>
      </c>
      <c r="N22" s="32">
        <f>'FS Desroches Daily'!V24</f>
        <v>80</v>
      </c>
      <c r="O22" s="32">
        <f>'FS Desroches Daily'!X24</f>
        <v>129.99999999999545</v>
      </c>
      <c r="P22" s="32">
        <f>'FS Desroches Daily'!Z24</f>
        <v>599.99999999993395</v>
      </c>
      <c r="Q22" s="32">
        <f>'FS Desroches Daily'!AB24</f>
        <v>79.999999999984084</v>
      </c>
      <c r="R22" s="32">
        <f>'FS Desroches Daily'!AD24</f>
        <v>270.00000000003865</v>
      </c>
      <c r="S22" s="32">
        <f>'FS Desroches Daily'!AF24</f>
        <v>509.99999999999091</v>
      </c>
      <c r="T22" s="32">
        <f>'FS Desroches Daily'!AH24</f>
        <v>1</v>
      </c>
      <c r="U22" s="36">
        <f>'FS Desroches Daily'!AJ24</f>
        <v>289.99999999996362</v>
      </c>
      <c r="V22" s="36">
        <f>'FS Desroches Daily'!AL24</f>
        <v>9.0000000000003411E-2</v>
      </c>
      <c r="W22" s="36">
        <f>'FS Desroches Daily'!AN24</f>
        <v>0.10000000000002274</v>
      </c>
      <c r="X22" s="36">
        <f>'FS Desroches Daily'!AP24</f>
        <v>0.10000000000002274</v>
      </c>
      <c r="Y22" s="36">
        <f>'FS Desroches Daily'!AR24</f>
        <v>69.999999999993179</v>
      </c>
      <c r="Z22" s="36">
        <f>'FS Desroches Daily'!AT24</f>
        <v>69.999999999993179</v>
      </c>
      <c r="AA22" s="36">
        <f>'FS Desroches Daily'!AT24</f>
        <v>69.999999999993179</v>
      </c>
      <c r="AB22" s="36">
        <f>'FS Desroches Daily'!AV24</f>
        <v>49.999999999954525</v>
      </c>
      <c r="AC22" s="36">
        <f>'FS Desroches Daily'!AZ24</f>
        <v>50.000000000011369</v>
      </c>
      <c r="AD22" s="36">
        <f>'FS Desroches Daily'!BB24</f>
        <v>50.000000000011369</v>
      </c>
      <c r="AE22" s="36">
        <f>'FS Desroches Daily'!BD24</f>
        <v>9.9999999999909051</v>
      </c>
      <c r="AF22" s="32">
        <f>'FS Desroches Daily'!BF24</f>
        <v>26</v>
      </c>
      <c r="AG22" s="33">
        <f>'FS Desroches Daily'!BH24</f>
        <v>30.000000000001137</v>
      </c>
      <c r="AH22" s="33">
        <f>'FS Desroches Daily'!BJ24</f>
        <v>29.999999999972715</v>
      </c>
      <c r="AI22" s="33">
        <f>'FS Desroches Daily'!BL24</f>
        <v>30.000000000001137</v>
      </c>
      <c r="AJ22" s="33">
        <f>'FS Desroches Daily'!BN24</f>
        <v>30.000000000001137</v>
      </c>
      <c r="AK22" s="33">
        <f>'FS Desroches Daily'!BP24</f>
        <v>39.99999999996362</v>
      </c>
      <c r="AL22" s="33">
        <f>'FS Desroches Daily'!BR24</f>
        <v>19</v>
      </c>
      <c r="AM22" s="33">
        <f>'FS Desroches Daily'!BT24</f>
        <v>30.000000000001137</v>
      </c>
      <c r="AN22" s="33">
        <f>'FS Desroches Daily'!BV24</f>
        <v>22</v>
      </c>
      <c r="AO22" s="33">
        <f>'FS Desroches Daily'!BX24</f>
        <v>30.000000000001137</v>
      </c>
      <c r="AP22" s="33">
        <f>'FS Desroches Daily'!BZ24</f>
        <v>23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70.69999999999709</v>
      </c>
      <c r="AU22" s="32">
        <f>'FS Desroches Daily'!CJ24</f>
        <v>205</v>
      </c>
      <c r="AV22" s="32">
        <f>'FS Desroches Daily'!CL24</f>
        <v>370.00000000000455</v>
      </c>
      <c r="AW22" s="32">
        <f>'FS Desroches Daily'!CM24</f>
        <v>32.9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1099.9999999998788</v>
      </c>
      <c r="F23" s="33">
        <f>'FS Desroches Daily'!F25</f>
        <v>799.99999999991189</v>
      </c>
      <c r="G23" s="32">
        <f>'FS Desroches Daily'!H25</f>
        <v>1700.0000000000348</v>
      </c>
      <c r="H23" s="33">
        <f>'FS Desroches Daily'!J25</f>
        <v>999.99999999988984</v>
      </c>
      <c r="I23" s="32">
        <f>'FS Desroches Daily'!L25</f>
        <v>2000.0000000000018</v>
      </c>
      <c r="J23" s="33">
        <f>'FS Desroches Daily'!N25</f>
        <v>900.0000000001229</v>
      </c>
      <c r="K23" s="13">
        <f>'FS Desroches Daily'!P25</f>
        <v>2</v>
      </c>
      <c r="L23" s="32">
        <f>'FS Desroches Daily'!R25</f>
        <v>5</v>
      </c>
      <c r="M23" s="32">
        <f>'FS Desroches Daily'!T25</f>
        <v>180</v>
      </c>
      <c r="N23" s="32">
        <f>'FS Desroches Daily'!V25</f>
        <v>103</v>
      </c>
      <c r="O23" s="32">
        <f>'FS Desroches Daily'!X25</f>
        <v>139.99999999998636</v>
      </c>
      <c r="P23" s="32">
        <f>'FS Desroches Daily'!Z25</f>
        <v>499.99999999972289</v>
      </c>
      <c r="Q23" s="32">
        <f>'FS Desroches Daily'!AB25</f>
        <v>60.000000000002274</v>
      </c>
      <c r="R23" s="32">
        <f>'FS Desroches Daily'!AD25</f>
        <v>259.99999999999091</v>
      </c>
      <c r="S23" s="32">
        <f>'FS Desroches Daily'!AF25</f>
        <v>460.00000000003638</v>
      </c>
      <c r="T23" s="32">
        <f>'FS Desroches Daily'!AH25</f>
        <v>0.90000000000009095</v>
      </c>
      <c r="U23" s="36">
        <f>'FS Desroches Daily'!AJ25</f>
        <v>230.00000000001819</v>
      </c>
      <c r="V23" s="36">
        <f>'FS Desroches Daily'!AL25</f>
        <v>9.0000000000003411E-2</v>
      </c>
      <c r="W23" s="36">
        <f>'FS Desroches Daily'!AN25</f>
        <v>9.0000000000003411E-2</v>
      </c>
      <c r="X23" s="36">
        <f>'FS Desroches Daily'!AP25</f>
        <v>9.0000000000003411E-2</v>
      </c>
      <c r="Y23" s="36">
        <f>'FS Desroches Daily'!AR25</f>
        <v>90.000000000003411</v>
      </c>
      <c r="Z23" s="36">
        <f>'FS Desroches Daily'!AT25</f>
        <v>69.999999999993179</v>
      </c>
      <c r="AA23" s="36">
        <f>'FS Desroches Daily'!AT25</f>
        <v>69.999999999993179</v>
      </c>
      <c r="AB23" s="36">
        <f>'FS Desroches Daily'!AV25</f>
        <v>50.000000000011369</v>
      </c>
      <c r="AC23" s="36">
        <f>'FS Desroches Daily'!AZ25</f>
        <v>60.000000000002274</v>
      </c>
      <c r="AD23" s="36">
        <f>'FS Desroches Daily'!BB25</f>
        <v>49.999999999954525</v>
      </c>
      <c r="AE23" s="36">
        <f>'FS Desroches Daily'!BD25</f>
        <v>20.000000000010232</v>
      </c>
      <c r="AF23" s="32">
        <f>'FS Desroches Daily'!BF25</f>
        <v>40</v>
      </c>
      <c r="AG23" s="33">
        <f>'FS Desroches Daily'!BH25</f>
        <v>30.000000000001137</v>
      </c>
      <c r="AH23" s="33">
        <f>'FS Desroches Daily'!BJ25</f>
        <v>19.99999999998181</v>
      </c>
      <c r="AI23" s="33">
        <f>'FS Desroches Daily'!BL25</f>
        <v>30.000000000001137</v>
      </c>
      <c r="AJ23" s="33">
        <f>'FS Desroches Daily'!BN25</f>
        <v>30.000000000001137</v>
      </c>
      <c r="AK23" s="33">
        <f>'FS Desroches Daily'!BP25</f>
        <v>40.000000000020464</v>
      </c>
      <c r="AL23" s="33">
        <f>'FS Desroches Daily'!BR25</f>
        <v>18</v>
      </c>
      <c r="AM23" s="33">
        <f>'FS Desroches Daily'!BT25</f>
        <v>19.99999999998181</v>
      </c>
      <c r="AN23" s="33">
        <f>'FS Desroches Daily'!BV25</f>
        <v>21</v>
      </c>
      <c r="AO23" s="33">
        <f>'FS Desroches Daily'!BX25</f>
        <v>30.000000000001137</v>
      </c>
      <c r="AP23" s="33">
        <f>'FS Desroches Daily'!BZ25</f>
        <v>24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74.100000000005821</v>
      </c>
      <c r="AU23" s="32">
        <f>'FS Desroches Daily'!CJ25</f>
        <v>206</v>
      </c>
      <c r="AV23" s="32">
        <f>'FS Desroches Daily'!CL25</f>
        <v>379.99999999999545</v>
      </c>
      <c r="AW23" s="32">
        <f>'FS Desroches Daily'!CM25</f>
        <v>26.9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1500.0000000000568</v>
      </c>
      <c r="F24" s="33">
        <f>'FS Desroches Daily'!F26</f>
        <v>800.00000000035595</v>
      </c>
      <c r="G24" s="32">
        <f>'FS Desroches Daily'!H26</f>
        <v>1800.0000000002458</v>
      </c>
      <c r="H24" s="33">
        <f>'FS Desroches Daily'!J26</f>
        <v>1200.0000000000898</v>
      </c>
      <c r="I24" s="32">
        <f>'FS Desroches Daily'!L26</f>
        <v>2099.9999999999909</v>
      </c>
      <c r="J24" s="33">
        <f>'FS Desroches Daily'!N26</f>
        <v>1099.9999999998788</v>
      </c>
      <c r="K24" s="13">
        <f>'FS Desroches Daily'!P26</f>
        <v>0</v>
      </c>
      <c r="L24" s="32">
        <f>'FS Desroches Daily'!R26</f>
        <v>0</v>
      </c>
      <c r="M24" s="32">
        <f>'FS Desroches Daily'!T26</f>
        <v>123.90000000002328</v>
      </c>
      <c r="N24" s="32">
        <f>'FS Desroches Daily'!V26</f>
        <v>71</v>
      </c>
      <c r="O24" s="32">
        <f>'FS Desroches Daily'!X26</f>
        <v>189.99999999999773</v>
      </c>
      <c r="P24" s="32">
        <f>'FS Desroches Daily'!Z26</f>
        <v>599.99999999993395</v>
      </c>
      <c r="Q24" s="32">
        <f>'FS Desroches Daily'!AB26</f>
        <v>79.999999999984084</v>
      </c>
      <c r="R24" s="32">
        <f>'FS Desroches Daily'!AD26</f>
        <v>349.99999999996589</v>
      </c>
      <c r="S24" s="32">
        <f>'FS Desroches Daily'!AF26</f>
        <v>569.99999999999318</v>
      </c>
      <c r="T24" s="32">
        <f>'FS Desroches Daily'!AH26</f>
        <v>1.1999999999998181</v>
      </c>
      <c r="U24" s="36">
        <f>'FS Desroches Daily'!AJ26</f>
        <v>230.00000000001819</v>
      </c>
      <c r="V24" s="36">
        <f>'FS Desroches Daily'!AL26</f>
        <v>0.13999999999998636</v>
      </c>
      <c r="W24" s="36">
        <f>'FS Desroches Daily'!AN26</f>
        <v>0.10999999999998522</v>
      </c>
      <c r="X24" s="36">
        <f>'FS Desroches Daily'!AP26</f>
        <v>0.10999999999998522</v>
      </c>
      <c r="Y24" s="36">
        <f>'FS Desroches Daily'!AR26</f>
        <v>120.00000000000455</v>
      </c>
      <c r="Z24" s="36">
        <f>'FS Desroches Daily'!AT26</f>
        <v>100.00000000002274</v>
      </c>
      <c r="AA24" s="36">
        <f>'FS Desroches Daily'!AT26</f>
        <v>100.00000000002274</v>
      </c>
      <c r="AB24" s="36">
        <f>'FS Desroches Daily'!AV26</f>
        <v>69.999999999993179</v>
      </c>
      <c r="AC24" s="36">
        <f>'FS Desroches Daily'!AZ26</f>
        <v>90.000000000031832</v>
      </c>
      <c r="AD24" s="36">
        <f>'FS Desroches Daily'!BB26</f>
        <v>69.999999999993179</v>
      </c>
      <c r="AE24" s="36">
        <f>'FS Desroches Daily'!BD26</f>
        <v>9.9999999999909051</v>
      </c>
      <c r="AF24" s="32">
        <f>'FS Desroches Daily'!BF26</f>
        <v>20</v>
      </c>
      <c r="AG24" s="33">
        <f>'FS Desroches Daily'!BH26</f>
        <v>30.000000000001137</v>
      </c>
      <c r="AH24" s="33">
        <f>'FS Desroches Daily'!BJ26</f>
        <v>40.000000000020464</v>
      </c>
      <c r="AI24" s="33">
        <f>'FS Desroches Daily'!BL26</f>
        <v>39.999999999992042</v>
      </c>
      <c r="AJ24" s="33">
        <f>'FS Desroches Daily'!BN26</f>
        <v>30.000000000001137</v>
      </c>
      <c r="AK24" s="33">
        <f>'FS Desroches Daily'!BP26</f>
        <v>50.000000000011369</v>
      </c>
      <c r="AL24" s="33">
        <f>'FS Desroches Daily'!BR26</f>
        <v>21</v>
      </c>
      <c r="AM24" s="33">
        <f>'FS Desroches Daily'!BT26</f>
        <v>30.000000000001137</v>
      </c>
      <c r="AN24" s="33">
        <f>'FS Desroches Daily'!BV26</f>
        <v>29</v>
      </c>
      <c r="AO24" s="33">
        <f>'FS Desroches Daily'!BX26</f>
        <v>40.000000000020464</v>
      </c>
      <c r="AP24" s="33">
        <f>'FS Desroches Daily'!BZ26</f>
        <v>31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65.19999999999709</v>
      </c>
      <c r="AU24" s="32">
        <f>'FS Desroches Daily'!CJ26</f>
        <v>216</v>
      </c>
      <c r="AV24" s="32">
        <f>'FS Desroches Daily'!CL26</f>
        <v>439.99999999994088</v>
      </c>
      <c r="AW24" s="32">
        <f>'FS Desroches Daily'!CM26</f>
        <v>30.4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1000.0000000001119</v>
      </c>
      <c r="F25" s="33">
        <f>'FS Desroches Daily'!F27</f>
        <v>799.99999999991189</v>
      </c>
      <c r="G25" s="32">
        <f>'FS Desroches Daily'!H27</f>
        <v>1399.9999999998458</v>
      </c>
      <c r="H25" s="33">
        <f>'FS Desroches Daily'!J27</f>
        <v>999.99999999988984</v>
      </c>
      <c r="I25" s="32">
        <f>'FS Desroches Daily'!L27</f>
        <v>2000.0000000000018</v>
      </c>
      <c r="J25" s="33">
        <f>'FS Desroches Daily'!N27</f>
        <v>900.0000000001229</v>
      </c>
      <c r="K25" s="13">
        <f>'FS Desroches Daily'!P27</f>
        <v>0</v>
      </c>
      <c r="L25" s="32">
        <f>'FS Desroches Daily'!R27</f>
        <v>6</v>
      </c>
      <c r="M25" s="32">
        <f>'FS Desroches Daily'!T27</f>
        <v>44.099999999976717</v>
      </c>
      <c r="N25" s="32">
        <f>'FS Desroches Daily'!V27</f>
        <v>32</v>
      </c>
      <c r="O25" s="32">
        <f>'FS Desroches Daily'!X27</f>
        <v>150.00000000003411</v>
      </c>
      <c r="P25" s="32">
        <f>'FS Desroches Daily'!Z27</f>
        <v>500.00000000016701</v>
      </c>
      <c r="Q25" s="32">
        <f>'FS Desroches Daily'!AB27</f>
        <v>69.999999999993179</v>
      </c>
      <c r="R25" s="32">
        <f>'FS Desroches Daily'!AD27</f>
        <v>260.00000000004775</v>
      </c>
      <c r="S25" s="32">
        <f>'FS Desroches Daily'!AF27</f>
        <v>469.99999999997044</v>
      </c>
      <c r="T25" s="32">
        <f>'FS Desroches Daily'!AH27</f>
        <v>0.70000000000004547</v>
      </c>
      <c r="U25" s="36">
        <f>'FS Desroches Daily'!AJ27</f>
        <v>399.99999999997726</v>
      </c>
      <c r="V25" s="36">
        <f>'FS Desroches Daily'!AL27</f>
        <v>8.0000000000012506E-2</v>
      </c>
      <c r="W25" s="36">
        <f>'FS Desroches Daily'!AN27</f>
        <v>9.0000000000003411E-2</v>
      </c>
      <c r="X25" s="36">
        <f>'FS Desroches Daily'!AP27</f>
        <v>8.0000000000012506E-2</v>
      </c>
      <c r="Y25" s="36">
        <f>'FS Desroches Daily'!AR27</f>
        <v>80.000000000012506</v>
      </c>
      <c r="Z25" s="36">
        <f>'FS Desroches Daily'!AT27</f>
        <v>69.999999999993179</v>
      </c>
      <c r="AA25" s="36">
        <f>'FS Desroches Daily'!AT27</f>
        <v>69.999999999993179</v>
      </c>
      <c r="AB25" s="36">
        <f>'FS Desroches Daily'!AV27</f>
        <v>40.000000000020464</v>
      </c>
      <c r="AC25" s="36">
        <f>'FS Desroches Daily'!AZ27</f>
        <v>49.999999999954525</v>
      </c>
      <c r="AD25" s="36">
        <f>'FS Desroches Daily'!BB27</f>
        <v>50.000000000011369</v>
      </c>
      <c r="AE25" s="36">
        <f>'FS Desroches Daily'!BD27</f>
        <v>0</v>
      </c>
      <c r="AF25" s="32">
        <f>'FS Desroches Daily'!BF27</f>
        <v>22</v>
      </c>
      <c r="AG25" s="33">
        <f>'FS Desroches Daily'!BH27</f>
        <v>30.000000000001137</v>
      </c>
      <c r="AH25" s="33">
        <f>'FS Desroches Daily'!BJ27</f>
        <v>30.000000000029559</v>
      </c>
      <c r="AI25" s="33">
        <f>'FS Desroches Daily'!BL27</f>
        <v>30.000000000001137</v>
      </c>
      <c r="AJ25" s="33">
        <f>'FS Desroches Daily'!BN27</f>
        <v>29.999999999972715</v>
      </c>
      <c r="AK25" s="33">
        <f>'FS Desroches Daily'!BP27</f>
        <v>39.99999999996362</v>
      </c>
      <c r="AL25" s="33">
        <f>'FS Desroches Daily'!BR27</f>
        <v>21</v>
      </c>
      <c r="AM25" s="33">
        <f>'FS Desroches Daily'!BT27</f>
        <v>20.000000000010232</v>
      </c>
      <c r="AN25" s="33">
        <f>'FS Desroches Daily'!BV27</f>
        <v>20</v>
      </c>
      <c r="AO25" s="33">
        <f>'FS Desroches Daily'!BX27</f>
        <v>30.000000000001137</v>
      </c>
      <c r="AP25" s="33">
        <f>'FS Desroches Daily'!BZ27</f>
        <v>24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63.5</v>
      </c>
      <c r="AU25" s="32">
        <f>'FS Desroches Daily'!CJ27</f>
        <v>201</v>
      </c>
      <c r="AV25" s="32">
        <f>'FS Desroches Daily'!CL27</f>
        <v>290.00000000007731</v>
      </c>
      <c r="AW25" s="32">
        <f>'FS Desroches Daily'!CM27</f>
        <v>15.3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1399.9999999998458</v>
      </c>
      <c r="F26" s="33">
        <f>'FS Desroches Daily'!F28</f>
        <v>900.0000000001229</v>
      </c>
      <c r="G26" s="32">
        <f>'FS Desroches Daily'!H28</f>
        <v>1599.9999999998238</v>
      </c>
      <c r="H26" s="33">
        <f>'FS Desroches Daily'!J28</f>
        <v>1200.0000000000898</v>
      </c>
      <c r="I26" s="32">
        <f>'FS Desroches Daily'!L28</f>
        <v>2099.9999999999909</v>
      </c>
      <c r="J26" s="33">
        <f>'FS Desroches Daily'!N28</f>
        <v>1099.9999999998788</v>
      </c>
      <c r="K26" s="13">
        <f>'FS Desroches Daily'!P28</f>
        <v>0</v>
      </c>
      <c r="L26" s="32">
        <f>'FS Desroches Daily'!R28</f>
        <v>5</v>
      </c>
      <c r="M26" s="32">
        <f>'FS Desroches Daily'!T28</f>
        <v>172</v>
      </c>
      <c r="N26" s="32">
        <f>'FS Desroches Daily'!V28</f>
        <v>79</v>
      </c>
      <c r="O26" s="32">
        <f>'FS Desroches Daily'!X28</f>
        <v>169.99999999995907</v>
      </c>
      <c r="P26" s="32">
        <f>'FS Desroches Daily'!Z28</f>
        <v>599.99999999993395</v>
      </c>
      <c r="Q26" s="32">
        <f>'FS Desroches Daily'!AB28</f>
        <v>80.000000000040927</v>
      </c>
      <c r="R26" s="32">
        <f>'FS Desroches Daily'!AD28</f>
        <v>339.99999999997499</v>
      </c>
      <c r="S26" s="32">
        <f>'FS Desroches Daily'!AF28</f>
        <v>570.00000000005002</v>
      </c>
      <c r="T26" s="32">
        <f>'FS Desroches Daily'!AH28</f>
        <v>1.2000000000000455</v>
      </c>
      <c r="U26" s="36">
        <f>'FS Desroches Daily'!AJ28</f>
        <v>219.99999999997044</v>
      </c>
      <c r="V26" s="36">
        <f>'FS Desroches Daily'!AL28</f>
        <v>0.15000000000000568</v>
      </c>
      <c r="W26" s="36">
        <f>'FS Desroches Daily'!AN28</f>
        <v>0.10999999999998522</v>
      </c>
      <c r="X26" s="36">
        <f>'FS Desroches Daily'!AP28</f>
        <v>9.9999999999994316E-2</v>
      </c>
      <c r="Y26" s="36">
        <f>'FS Desroches Daily'!AR28</f>
        <v>99.999999999994316</v>
      </c>
      <c r="Z26" s="36">
        <f>'FS Desroches Daily'!AT28</f>
        <v>100.00000000002274</v>
      </c>
      <c r="AA26" s="36">
        <f>'FS Desroches Daily'!AT28</f>
        <v>100.00000000002274</v>
      </c>
      <c r="AB26" s="36">
        <f>'FS Desroches Daily'!AV28</f>
        <v>79.999999999984084</v>
      </c>
      <c r="AC26" s="36">
        <f>'FS Desroches Daily'!AZ28</f>
        <v>90.000000000031832</v>
      </c>
      <c r="AD26" s="36">
        <f>'FS Desroches Daily'!BB28</f>
        <v>80.000000000040927</v>
      </c>
      <c r="AE26" s="36">
        <f>'FS Desroches Daily'!BD28</f>
        <v>20.000000000010232</v>
      </c>
      <c r="AF26" s="32">
        <f>'FS Desroches Daily'!BF28</f>
        <v>27</v>
      </c>
      <c r="AG26" s="33">
        <f>'FS Desroches Daily'!BH28</f>
        <v>49.999999999982947</v>
      </c>
      <c r="AH26" s="33">
        <f>'FS Desroches Daily'!BJ28</f>
        <v>29.999999999972715</v>
      </c>
      <c r="AI26" s="33">
        <f>'FS Desroches Daily'!BL28</f>
        <v>30.000000000001137</v>
      </c>
      <c r="AJ26" s="33">
        <f>'FS Desroches Daily'!BN28</f>
        <v>40.000000000020464</v>
      </c>
      <c r="AK26" s="33">
        <f>'FS Desroches Daily'!BP28</f>
        <v>50.000000000011369</v>
      </c>
      <c r="AL26" s="33">
        <f>'FS Desroches Daily'!BR28</f>
        <v>30</v>
      </c>
      <c r="AM26" s="33">
        <f>'FS Desroches Daily'!BT28</f>
        <v>30.000000000001137</v>
      </c>
      <c r="AN26" s="33">
        <f>'FS Desroches Daily'!BV28</f>
        <v>28</v>
      </c>
      <c r="AO26" s="33">
        <f>'FS Desroches Daily'!BX28</f>
        <v>29.999999999972715</v>
      </c>
      <c r="AP26" s="33">
        <f>'FS Desroches Daily'!BZ28</f>
        <v>30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64.69999999999709</v>
      </c>
      <c r="AU26" s="32">
        <f>'FS Desroches Daily'!CJ28</f>
        <v>219</v>
      </c>
      <c r="AV26" s="32">
        <f>'FS Desroches Daily'!CL28</f>
        <v>319.99999999993634</v>
      </c>
      <c r="AW26" s="32">
        <f>'FS Desroches Daily'!CM28</f>
        <v>22.7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1300.0000000000789</v>
      </c>
      <c r="F27" s="33">
        <f>'FS Desroches Daily'!F29</f>
        <v>899.99999999967883</v>
      </c>
      <c r="G27" s="32">
        <f>'FS Desroches Daily'!H29</f>
        <v>1700.0000000000348</v>
      </c>
      <c r="H27" s="33">
        <f>'FS Desroches Daily'!J29</f>
        <v>1200.0000000000898</v>
      </c>
      <c r="I27" s="32">
        <f>'FS Desroches Daily'!L29</f>
        <v>2099.9999999999909</v>
      </c>
      <c r="J27" s="33">
        <f>'FS Desroches Daily'!N29</f>
        <v>1100.000000000101</v>
      </c>
      <c r="K27" s="13">
        <f>'FS Desroches Daily'!P29</f>
        <v>0</v>
      </c>
      <c r="L27" s="32">
        <f>'FS Desroches Daily'!R29</f>
        <v>4</v>
      </c>
      <c r="M27" s="32">
        <f>'FS Desroches Daily'!T29</f>
        <v>164</v>
      </c>
      <c r="N27" s="32">
        <f>'FS Desroches Daily'!V29</f>
        <v>112</v>
      </c>
      <c r="O27" s="32">
        <f>'FS Desroches Daily'!X29</f>
        <v>170.00000000001592</v>
      </c>
      <c r="P27" s="32">
        <f>'FS Desroches Daily'!Z29</f>
        <v>599.99999999993395</v>
      </c>
      <c r="Q27" s="32">
        <f>'FS Desroches Daily'!AB29</f>
        <v>89.999999999974989</v>
      </c>
      <c r="R27" s="32">
        <f>'FS Desroches Daily'!AD29</f>
        <v>339.99999999997499</v>
      </c>
      <c r="S27" s="32">
        <f>'FS Desroches Daily'!AF29</f>
        <v>539.99999999996362</v>
      </c>
      <c r="T27" s="32">
        <f>'FS Desroches Daily'!AH29</f>
        <v>1.2999999999999545</v>
      </c>
      <c r="U27" s="36">
        <f>'FS Desroches Daily'!AJ29</f>
        <v>180.00000000000682</v>
      </c>
      <c r="V27" s="36">
        <f>'FS Desroches Daily'!AL29</f>
        <v>0.12999999999999545</v>
      </c>
      <c r="W27" s="36">
        <f>'FS Desroches Daily'!AN29</f>
        <v>0.10000000000002274</v>
      </c>
      <c r="X27" s="36">
        <f>'FS Desroches Daily'!AP29</f>
        <v>0.10999999999998522</v>
      </c>
      <c r="Y27" s="36">
        <f>'FS Desroches Daily'!AR29</f>
        <v>99.999999999994316</v>
      </c>
      <c r="Z27" s="36">
        <f>'FS Desroches Daily'!AT29</f>
        <v>99.999999999965894</v>
      </c>
      <c r="AA27" s="36">
        <f>'FS Desroches Daily'!AT29</f>
        <v>99.999999999965894</v>
      </c>
      <c r="AB27" s="36">
        <f>'FS Desroches Daily'!AV29</f>
        <v>69.999999999993179</v>
      </c>
      <c r="AC27" s="36">
        <f>'FS Desroches Daily'!AZ29</f>
        <v>89.999999999974989</v>
      </c>
      <c r="AD27" s="36">
        <f>'FS Desroches Daily'!BB29</f>
        <v>79.999999999984084</v>
      </c>
      <c r="AE27" s="36">
        <f>'FS Desroches Daily'!BD29</f>
        <v>9.9999999999909051</v>
      </c>
      <c r="AF27" s="32">
        <f>'FS Desroches Daily'!BF29</f>
        <v>28</v>
      </c>
      <c r="AG27" s="33">
        <f>'FS Desroches Daily'!BH29</f>
        <v>40.000000000020464</v>
      </c>
      <c r="AH27" s="33">
        <f>'FS Desroches Daily'!BJ29</f>
        <v>30.000000000029559</v>
      </c>
      <c r="AI27" s="33">
        <f>'FS Desroches Daily'!BL29</f>
        <v>39.999999999992042</v>
      </c>
      <c r="AJ27" s="33">
        <f>'FS Desroches Daily'!BN29</f>
        <v>39.999999999992042</v>
      </c>
      <c r="AK27" s="33">
        <f>'FS Desroches Daily'!BP29</f>
        <v>50.000000000011369</v>
      </c>
      <c r="AL27" s="33">
        <f>'FS Desroches Daily'!BR29</f>
        <v>28</v>
      </c>
      <c r="AM27" s="33">
        <f>'FS Desroches Daily'!BT29</f>
        <v>20.000000000010232</v>
      </c>
      <c r="AN27" s="33">
        <f>'FS Desroches Daily'!BV29</f>
        <v>27</v>
      </c>
      <c r="AO27" s="33">
        <f>'FS Desroches Daily'!BX29</f>
        <v>30.000000000001137</v>
      </c>
      <c r="AP27" s="33">
        <f>'FS Desroches Daily'!BZ29</f>
        <v>32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64.30000000000291</v>
      </c>
      <c r="AU27" s="32">
        <f>'FS Desroches Daily'!CJ29</f>
        <v>207</v>
      </c>
      <c r="AV27" s="32">
        <f>'FS Desroches Daily'!CL29</f>
        <v>379.99999999999545</v>
      </c>
      <c r="AW27" s="32">
        <f>'FS Desroches Daily'!CM29</f>
        <v>24.2</v>
      </c>
      <c r="AX27" s="32" t="str">
        <f>IF(LPG!F34-LPG!F33&lt;0,"0",(LPG!F34-LPG!F33)*1.8315)</f>
        <v>0</v>
      </c>
      <c r="AY27" s="32" t="str">
        <f>IF(LPG!H34-LPG!H33&lt;0,"0",(LPG!H34-LPG!H33)*1.8315)</f>
        <v>0</v>
      </c>
      <c r="AZ27" s="32" t="str">
        <f>IF(LPG!J34-LPG!J33&lt;0,"0",(LPG!J34-LPG!J33)*1.8315)</f>
        <v>0</v>
      </c>
      <c r="BA27" s="32" t="str">
        <f>IF(LPG!M34-LPG!M33&lt;0,"0",(LPG!M34-LPG!M33)*1.8315)</f>
        <v>0</v>
      </c>
      <c r="BB27" s="32" t="str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 t="str">
        <f>'FS Desroches Daily'!D30</f>
        <v>0</v>
      </c>
      <c r="F28" s="33" t="str">
        <f>'FS Desroches Daily'!F30</f>
        <v>0</v>
      </c>
      <c r="G28" s="32" t="str">
        <f>'FS Desroches Daily'!H30</f>
        <v>0</v>
      </c>
      <c r="H28" s="33" t="str">
        <f>'FS Desroches Daily'!J30</f>
        <v>0</v>
      </c>
      <c r="I28" s="32" t="str">
        <f>'FS Desroches Daily'!L30</f>
        <v>0</v>
      </c>
      <c r="J28" s="33" t="str">
        <f>'FS Desroches Daily'!N30</f>
        <v/>
      </c>
      <c r="K28" s="13" t="str">
        <f>'FS Desroches Daily'!P30</f>
        <v/>
      </c>
      <c r="L28" s="32" t="str">
        <f>'FS Desroches Daily'!R30</f>
        <v/>
      </c>
      <c r="M28" s="32">
        <f>'FS Desroches Daily'!T30</f>
        <v>0</v>
      </c>
      <c r="N28" s="32" t="str">
        <f>'FS Desroches Daily'!V30</f>
        <v/>
      </c>
      <c r="O28" s="32" t="str">
        <f>'FS Desroches Daily'!X30</f>
        <v/>
      </c>
      <c r="P28" s="32" t="str">
        <f>'FS Desroches Daily'!Z30</f>
        <v/>
      </c>
      <c r="Q28" s="32" t="str">
        <f>'FS Desroches Daily'!AB30</f>
        <v/>
      </c>
      <c r="R28" s="32" t="str">
        <f>'FS Desroches Daily'!AD30</f>
        <v/>
      </c>
      <c r="S28" s="32" t="str">
        <f>'FS Desroches Daily'!AF30</f>
        <v/>
      </c>
      <c r="T28" s="32" t="str">
        <f>'FS Desroches Daily'!AH30</f>
        <v/>
      </c>
      <c r="U28" s="36" t="str">
        <f>'FS Desroches Daily'!AJ30</f>
        <v/>
      </c>
      <c r="V28" s="36" t="str">
        <f>'FS Desroches Daily'!AL30</f>
        <v/>
      </c>
      <c r="W28" s="36" t="str">
        <f>'FS Desroches Daily'!AN30</f>
        <v/>
      </c>
      <c r="X28" s="36" t="str">
        <f>'FS Desroches Daily'!AP30</f>
        <v/>
      </c>
      <c r="Y28" s="36" t="str">
        <f>'FS Desroches Daily'!AR30</f>
        <v/>
      </c>
      <c r="Z28" s="36" t="str">
        <f>'FS Desroches Daily'!AT30</f>
        <v/>
      </c>
      <c r="AA28" s="36" t="str">
        <f>'FS Desroches Daily'!AT30</f>
        <v/>
      </c>
      <c r="AB28" s="36" t="str">
        <f>'FS Desroches Daily'!AV30</f>
        <v/>
      </c>
      <c r="AC28" s="36" t="str">
        <f>'FS Desroches Daily'!AZ30</f>
        <v/>
      </c>
      <c r="AD28" s="36" t="str">
        <f>'FS Desroches Daily'!BB30</f>
        <v/>
      </c>
      <c r="AE28" s="36" t="str">
        <f>'FS Desroches Daily'!BD30</f>
        <v/>
      </c>
      <c r="AF28" s="32" t="str">
        <f>'FS Desroches Daily'!BF30</f>
        <v/>
      </c>
      <c r="AG28" s="33" t="str">
        <f>'FS Desroches Daily'!BH30</f>
        <v/>
      </c>
      <c r="AH28" s="33" t="str">
        <f>'FS Desroches Daily'!BJ30</f>
        <v/>
      </c>
      <c r="AI28" s="33" t="str">
        <f>'FS Desroches Daily'!BL30</f>
        <v/>
      </c>
      <c r="AJ28" s="33" t="str">
        <f>'FS Desroches Daily'!BN30</f>
        <v/>
      </c>
      <c r="AK28" s="33" t="str">
        <f>'FS Desroches Daily'!BP30</f>
        <v/>
      </c>
      <c r="AL28" s="33" t="str">
        <f>'FS Desroches Daily'!BR30</f>
        <v/>
      </c>
      <c r="AM28" s="33" t="str">
        <f>'FS Desroches Daily'!BT30</f>
        <v/>
      </c>
      <c r="AN28" s="33" t="str">
        <f>'FS Desroches Daily'!BV30</f>
        <v/>
      </c>
      <c r="AO28" s="33" t="str">
        <f>'FS Desroches Daily'!BX30</f>
        <v/>
      </c>
      <c r="AP28" s="33" t="str">
        <f>'FS Desroches Daily'!BZ30</f>
        <v/>
      </c>
      <c r="AQ28" s="32" t="str">
        <f>'FS Desroches Daily'!CB30</f>
        <v/>
      </c>
      <c r="AR28" s="32" t="str">
        <f>'FS Desroches Daily'!CD30</f>
        <v/>
      </c>
      <c r="AS28" s="32" t="str">
        <f>'FS Desroches Daily'!CF30</f>
        <v/>
      </c>
      <c r="AT28" s="32" t="str">
        <f>'FS Desroches Daily'!CH30</f>
        <v/>
      </c>
      <c r="AU28" s="32" t="str">
        <f>'FS Desroches Daily'!CJ30</f>
        <v/>
      </c>
      <c r="AV28" s="32" t="str">
        <f>'FS Desroches Daily'!CL30</f>
        <v/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37400.000000000109</v>
      </c>
      <c r="F33" s="17">
        <f t="shared" ref="F33:BC33" si="1">SUM(F2:F32)</f>
        <v>24000.000000000029</v>
      </c>
      <c r="G33" s="17">
        <f t="shared" si="1"/>
        <v>45399.999999999913</v>
      </c>
      <c r="H33" s="17">
        <f t="shared" si="1"/>
        <v>31000.000000000149</v>
      </c>
      <c r="I33" s="17">
        <f t="shared" si="1"/>
        <v>58400</v>
      </c>
      <c r="J33" s="17">
        <f t="shared" si="1"/>
        <v>27600.00000000008</v>
      </c>
      <c r="K33" s="17">
        <f t="shared" si="1"/>
        <v>35</v>
      </c>
      <c r="L33" s="17">
        <f t="shared" si="1"/>
        <v>130</v>
      </c>
      <c r="M33" s="17">
        <f t="shared" si="1"/>
        <v>4505</v>
      </c>
      <c r="N33" s="17">
        <f t="shared" si="1"/>
        <v>2710</v>
      </c>
      <c r="O33" s="17">
        <f t="shared" si="1"/>
        <v>4950.0000000000455</v>
      </c>
      <c r="P33" s="17">
        <f t="shared" si="1"/>
        <v>16000.000000000022</v>
      </c>
      <c r="Q33" s="17">
        <f t="shared" si="1"/>
        <v>2430.0000000000068</v>
      </c>
      <c r="R33" s="17">
        <f t="shared" si="1"/>
        <v>8149.9999999999745</v>
      </c>
      <c r="S33" s="17">
        <f t="shared" si="1"/>
        <v>14857.599999999988</v>
      </c>
      <c r="T33" s="17">
        <f t="shared" si="1"/>
        <v>31.599999999999909</v>
      </c>
      <c r="U33" s="36">
        <f t="shared" si="1"/>
        <v>7180.0000000000055</v>
      </c>
      <c r="V33" s="36">
        <f t="shared" si="1"/>
        <v>3.9000000000000057</v>
      </c>
      <c r="W33" s="36">
        <f t="shared" si="1"/>
        <v>2.9200000000000159</v>
      </c>
      <c r="X33" s="36">
        <f t="shared" si="1"/>
        <v>2.9499999999999886</v>
      </c>
      <c r="Y33" s="36">
        <f t="shared" si="1"/>
        <v>2629.9999999999964</v>
      </c>
      <c r="Z33" s="36">
        <f t="shared" si="1"/>
        <v>2674.5099999999679</v>
      </c>
      <c r="AA33" s="36">
        <f t="shared" si="1"/>
        <v>2674.5099999999679</v>
      </c>
      <c r="AB33" s="36">
        <f t="shared" si="1"/>
        <v>2089.999999999975</v>
      </c>
      <c r="AC33" s="36">
        <f t="shared" si="1"/>
        <v>2229.9999999999613</v>
      </c>
      <c r="AD33" s="36">
        <f t="shared" si="1"/>
        <v>2009.9999999999909</v>
      </c>
      <c r="AE33" s="36">
        <f t="shared" si="1"/>
        <v>289.99999999999204</v>
      </c>
      <c r="AF33" s="17">
        <f t="shared" si="1"/>
        <v>824</v>
      </c>
      <c r="AG33" s="33">
        <f t="shared" si="1"/>
        <v>910.00000000002501</v>
      </c>
      <c r="AH33" s="33">
        <f t="shared" si="1"/>
        <v>880.0000000000523</v>
      </c>
      <c r="AI33" s="33">
        <f t="shared" si="1"/>
        <v>859.99999999998522</v>
      </c>
      <c r="AJ33" s="33">
        <f t="shared" si="1"/>
        <v>1009.9999999999909</v>
      </c>
      <c r="AK33" s="33">
        <f t="shared" si="1"/>
        <v>1199.9999999999886</v>
      </c>
      <c r="AL33" s="33">
        <f t="shared" si="1"/>
        <v>601</v>
      </c>
      <c r="AM33" s="33">
        <f t="shared" si="1"/>
        <v>740.00000000000909</v>
      </c>
      <c r="AN33" s="33">
        <f t="shared" si="1"/>
        <v>619</v>
      </c>
      <c r="AO33" s="33">
        <f t="shared" si="1"/>
        <v>829.99999999998408</v>
      </c>
      <c r="AP33" s="33">
        <f t="shared" si="1"/>
        <v>853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1722.9000000000015</v>
      </c>
      <c r="AU33" s="17">
        <f t="shared" si="1"/>
        <v>5737</v>
      </c>
      <c r="AV33" s="17">
        <f t="shared" si="1"/>
        <v>10449.999999999931</v>
      </c>
      <c r="AW33" s="17">
        <f t="shared" si="1"/>
        <v>746.6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205.12799999999993</v>
      </c>
      <c r="BC33" s="17">
        <f t="shared" si="1"/>
        <v>0</v>
      </c>
    </row>
    <row r="35" spans="5:55" x14ac:dyDescent="0.25">
      <c r="E35" s="39">
        <f>E33/E37</f>
        <v>0.23891962335024108</v>
      </c>
      <c r="G35" s="30">
        <f>G33-M36</f>
        <v>38184.999999999913</v>
      </c>
      <c r="AE35" s="36">
        <f>SUM(U33:AE33)</f>
        <v>21788.789999999855</v>
      </c>
      <c r="AG35" s="33">
        <f>SUM(AG33:AP33)</f>
        <v>8503.0000000000346</v>
      </c>
    </row>
    <row r="36" spans="5:55" x14ac:dyDescent="0.25">
      <c r="G36" s="30">
        <f>G35-633*14</f>
        <v>29322.999999999913</v>
      </c>
      <c r="M36" s="30">
        <f>M33+N33</f>
        <v>7215</v>
      </c>
    </row>
    <row r="37" spans="5:55" x14ac:dyDescent="0.25">
      <c r="E37" s="17">
        <f>E33+F33+G33+H33+J33-633*14</f>
        <v>156538.00000000029</v>
      </c>
      <c r="G37" s="38">
        <f>M36/E37</f>
        <v>4.6091044985881936E-2</v>
      </c>
      <c r="M37" s="36">
        <f>AE35</f>
        <v>21788.789999999855</v>
      </c>
    </row>
    <row r="38" spans="5:55" x14ac:dyDescent="0.25">
      <c r="L38" s="28">
        <f>M38/E37</f>
        <v>5.4319079073451931E-2</v>
      </c>
      <c r="M38" s="30">
        <f>AG35</f>
        <v>8503.0000000000346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BM1" zoomScale="60" zoomScaleNormal="60" workbookViewId="0">
      <pane ySplit="1" topLeftCell="A11" activePane="bottomLeft" state="frozen"/>
      <selection pane="bottomLeft" activeCell="CU42" sqref="CU42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42"/>
        <v>1700.0000000000348</v>
      </c>
      <c r="E10" s="60">
        <v>2.6896</v>
      </c>
      <c r="F10" s="66">
        <f t="shared" si="43"/>
        <v>999.99999999988984</v>
      </c>
      <c r="G10" s="60">
        <v>2.5105</v>
      </c>
      <c r="H10" s="66">
        <f t="shared" si="44"/>
        <v>1900.0000000000127</v>
      </c>
      <c r="I10" s="60">
        <v>1.2025999999999999</v>
      </c>
      <c r="J10" s="66">
        <f t="shared" si="85"/>
        <v>1299.9999999998568</v>
      </c>
      <c r="K10" s="60">
        <v>1.8472999999999999</v>
      </c>
      <c r="L10" s="66">
        <f t="shared" si="45"/>
        <v>2299.9999999999686</v>
      </c>
      <c r="M10" s="60">
        <v>1.1771</v>
      </c>
      <c r="N10" s="66">
        <f t="shared" si="46"/>
        <v>1000.0000000001119</v>
      </c>
      <c r="O10" s="60">
        <v>12561</v>
      </c>
      <c r="P10" s="67">
        <f t="shared" si="47"/>
        <v>20</v>
      </c>
      <c r="Q10" s="60">
        <v>5311</v>
      </c>
      <c r="R10" s="67">
        <f t="shared" si="48"/>
        <v>6</v>
      </c>
      <c r="S10" s="60">
        <v>827079.6</v>
      </c>
      <c r="T10" s="66">
        <f t="shared" si="49"/>
        <v>273.29999999993015</v>
      </c>
      <c r="U10" s="60">
        <v>335690.4</v>
      </c>
      <c r="V10" s="67">
        <f t="shared" si="50"/>
        <v>185.5</v>
      </c>
      <c r="W10" s="60">
        <v>328.11</v>
      </c>
      <c r="X10" s="67">
        <f t="shared" si="65"/>
        <v>220.00000000002728</v>
      </c>
      <c r="Y10" s="60">
        <v>2.3769999999999998</v>
      </c>
      <c r="Z10" s="67">
        <f t="shared" si="66"/>
        <v>699.99999999970089</v>
      </c>
      <c r="AA10" s="60">
        <v>324.67</v>
      </c>
      <c r="AB10" s="67">
        <f t="shared" si="67"/>
        <v>110.00000000001364</v>
      </c>
      <c r="AC10" s="60">
        <v>301.29000000000002</v>
      </c>
      <c r="AD10" s="67">
        <f t="shared" si="68"/>
        <v>330.00000000004093</v>
      </c>
      <c r="AE10" s="60">
        <v>470.82</v>
      </c>
      <c r="AF10" s="67">
        <f t="shared" si="69"/>
        <v>519.99999999998181</v>
      </c>
      <c r="AG10" s="60">
        <v>1202.7</v>
      </c>
      <c r="AH10" s="67">
        <f t="shared" si="51"/>
        <v>1.2000000000000455</v>
      </c>
      <c r="AI10" s="60">
        <v>411.35</v>
      </c>
      <c r="AJ10" s="67">
        <f t="shared" si="70"/>
        <v>280.00000000002956</v>
      </c>
      <c r="AK10" s="60">
        <v>146.97999999999999</v>
      </c>
      <c r="AL10" s="67">
        <f t="shared" si="52"/>
        <v>0.1799999999999784</v>
      </c>
      <c r="AM10" s="60">
        <v>147.49</v>
      </c>
      <c r="AN10" s="67">
        <f t="shared" si="53"/>
        <v>0.14000000000001478</v>
      </c>
      <c r="AO10" s="60">
        <v>143.85</v>
      </c>
      <c r="AP10" s="67">
        <f t="shared" si="54"/>
        <v>3.0000000000001137E-2</v>
      </c>
      <c r="AQ10" s="60">
        <v>215.21</v>
      </c>
      <c r="AR10" s="67">
        <f t="shared" si="71"/>
        <v>120.00000000000455</v>
      </c>
      <c r="AS10" s="60">
        <v>341.78</v>
      </c>
      <c r="AT10" s="67">
        <f t="shared" si="72"/>
        <v>109.9999999999568</v>
      </c>
      <c r="AU10" s="60">
        <v>263.72000000000003</v>
      </c>
      <c r="AV10" s="67">
        <f t="shared" si="73"/>
        <v>110.00000000001364</v>
      </c>
      <c r="AW10" s="60">
        <v>291.20999999999998</v>
      </c>
      <c r="AX10" s="67">
        <f t="shared" si="74"/>
        <v>99.999999999965894</v>
      </c>
      <c r="AY10" s="60">
        <v>342.24</v>
      </c>
      <c r="AZ10" s="67">
        <f t="shared" si="75"/>
        <v>100.00000000002274</v>
      </c>
      <c r="BA10" s="60">
        <v>362.37</v>
      </c>
      <c r="BB10" s="67">
        <f t="shared" si="76"/>
        <v>79.999999999984084</v>
      </c>
      <c r="BC10" s="60">
        <v>203.26</v>
      </c>
      <c r="BD10" s="67">
        <f t="shared" si="77"/>
        <v>19.99999999998181</v>
      </c>
      <c r="BE10" s="61">
        <v>28141</v>
      </c>
      <c r="BF10" s="67">
        <f t="shared" si="55"/>
        <v>40</v>
      </c>
      <c r="BG10" s="62">
        <v>223.66</v>
      </c>
      <c r="BH10" s="67">
        <f t="shared" si="78"/>
        <v>30.000000000001137</v>
      </c>
      <c r="BI10" s="62">
        <v>281.3</v>
      </c>
      <c r="BJ10" s="67">
        <f t="shared" si="79"/>
        <v>30.000000000029559</v>
      </c>
      <c r="BK10" s="62">
        <v>229.26</v>
      </c>
      <c r="BL10" s="67">
        <f t="shared" si="80"/>
        <v>30.000000000001137</v>
      </c>
      <c r="BM10" s="62">
        <v>212.25</v>
      </c>
      <c r="BN10" s="67">
        <f t="shared" si="81"/>
        <v>30.000000000001137</v>
      </c>
      <c r="BO10" s="62">
        <v>276.57</v>
      </c>
      <c r="BP10" s="67">
        <f t="shared" si="82"/>
        <v>50.000000000011369</v>
      </c>
      <c r="BQ10" s="62">
        <v>38166</v>
      </c>
      <c r="BR10" s="67">
        <f t="shared" si="56"/>
        <v>23</v>
      </c>
      <c r="BS10" s="62">
        <v>192.53</v>
      </c>
      <c r="BT10" s="67">
        <f t="shared" si="83"/>
        <v>30.000000000001137</v>
      </c>
      <c r="BU10" s="62">
        <v>29160</v>
      </c>
      <c r="BV10" s="67">
        <f t="shared" si="57"/>
        <v>25</v>
      </c>
      <c r="BW10" s="62">
        <v>222.58</v>
      </c>
      <c r="BX10" s="67">
        <f t="shared" si="84"/>
        <v>30.000000000001137</v>
      </c>
      <c r="BY10" s="62">
        <v>47709</v>
      </c>
      <c r="BZ10" s="67">
        <f t="shared" si="58"/>
        <v>35</v>
      </c>
      <c r="CA10" s="62">
        <v>27500.7</v>
      </c>
      <c r="CB10" s="67">
        <f t="shared" si="59"/>
        <v>0</v>
      </c>
      <c r="CC10" s="62">
        <v>11250.4</v>
      </c>
      <c r="CD10" s="67">
        <f t="shared" si="60"/>
        <v>0</v>
      </c>
      <c r="CE10" s="62">
        <v>5487.5</v>
      </c>
      <c r="CF10" s="67">
        <f t="shared" si="61"/>
        <v>0</v>
      </c>
      <c r="CG10" s="62">
        <v>43837.1</v>
      </c>
      <c r="CH10" s="67">
        <f t="shared" si="62"/>
        <v>54.900000000001455</v>
      </c>
      <c r="CI10" s="62">
        <v>851315</v>
      </c>
      <c r="CJ10" s="67">
        <f t="shared" si="63"/>
        <v>229</v>
      </c>
      <c r="CK10" s="62">
        <v>557.83000000000004</v>
      </c>
      <c r="CL10" s="66">
        <f t="shared" si="64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42"/>
        <v>1700.0000000000348</v>
      </c>
      <c r="E11" s="60">
        <v>2.6905999999999999</v>
      </c>
      <c r="F11" s="66">
        <f t="shared" si="43"/>
        <v>999.99999999988984</v>
      </c>
      <c r="G11" s="60">
        <v>2.5125000000000002</v>
      </c>
      <c r="H11" s="66">
        <f t="shared" si="44"/>
        <v>2000.0000000002237</v>
      </c>
      <c r="I11" s="60">
        <v>1.2039</v>
      </c>
      <c r="J11" s="66">
        <f t="shared" si="85"/>
        <v>1300.0000000000789</v>
      </c>
      <c r="K11" s="60">
        <v>1.8499000000000001</v>
      </c>
      <c r="L11" s="66">
        <f t="shared" si="45"/>
        <v>2600.0000000001578</v>
      </c>
      <c r="M11" s="60">
        <v>1.1782999999999999</v>
      </c>
      <c r="N11" s="66">
        <f t="shared" si="46"/>
        <v>1199.9999999998679</v>
      </c>
      <c r="O11" s="60">
        <v>12561</v>
      </c>
      <c r="P11" s="67">
        <f t="shared" si="47"/>
        <v>0</v>
      </c>
      <c r="Q11" s="60">
        <v>5316</v>
      </c>
      <c r="R11" s="67">
        <f t="shared" si="48"/>
        <v>5</v>
      </c>
      <c r="S11" s="60">
        <v>827385</v>
      </c>
      <c r="T11" s="66">
        <f t="shared" si="49"/>
        <v>305.40000000002328</v>
      </c>
      <c r="U11" s="60">
        <v>335881</v>
      </c>
      <c r="V11" s="67">
        <f t="shared" si="50"/>
        <v>190.59999999997672</v>
      </c>
      <c r="W11" s="60">
        <v>328.33</v>
      </c>
      <c r="X11" s="67">
        <f t="shared" si="65"/>
        <v>219.99999999997044</v>
      </c>
      <c r="Y11" s="60">
        <v>2.3776999999999999</v>
      </c>
      <c r="Z11" s="67">
        <f t="shared" si="66"/>
        <v>700.00000000014495</v>
      </c>
      <c r="AA11" s="60">
        <v>324.77999999999997</v>
      </c>
      <c r="AB11" s="67">
        <f t="shared" si="67"/>
        <v>109.9999999999568</v>
      </c>
      <c r="AC11" s="60">
        <v>301.60000000000002</v>
      </c>
      <c r="AD11" s="67">
        <f t="shared" si="68"/>
        <v>310.00000000000227</v>
      </c>
      <c r="AE11" s="60">
        <v>471.46</v>
      </c>
      <c r="AF11" s="67">
        <f t="shared" si="69"/>
        <v>639.99999999998636</v>
      </c>
      <c r="AG11" s="60">
        <v>1207.0999999999999</v>
      </c>
      <c r="AH11" s="67">
        <f t="shared" si="51"/>
        <v>4.3999999999998636</v>
      </c>
      <c r="AI11" s="60">
        <v>411.64</v>
      </c>
      <c r="AJ11" s="67">
        <f t="shared" si="70"/>
        <v>289.99999999996362</v>
      </c>
      <c r="AK11" s="60">
        <v>147.13999999999999</v>
      </c>
      <c r="AL11" s="67">
        <f t="shared" si="52"/>
        <v>0.15999999999999659</v>
      </c>
      <c r="AM11" s="60">
        <v>147.62</v>
      </c>
      <c r="AN11" s="67">
        <f t="shared" si="53"/>
        <v>0.12999999999999545</v>
      </c>
      <c r="AO11" s="60">
        <v>144.08000000000001</v>
      </c>
      <c r="AP11" s="67">
        <f t="shared" si="54"/>
        <v>0.23000000000001819</v>
      </c>
      <c r="AQ11" s="60">
        <v>215.33</v>
      </c>
      <c r="AR11" s="67">
        <f t="shared" si="71"/>
        <v>120.00000000000455</v>
      </c>
      <c r="AS11" s="60">
        <v>341.88</v>
      </c>
      <c r="AT11" s="67">
        <f t="shared" si="72"/>
        <v>100.00000000002274</v>
      </c>
      <c r="AU11" s="60">
        <v>263.82</v>
      </c>
      <c r="AV11" s="67">
        <f t="shared" si="73"/>
        <v>99.999999999965894</v>
      </c>
      <c r="AW11" s="60">
        <v>291.31</v>
      </c>
      <c r="AX11" s="67">
        <f t="shared" si="74"/>
        <v>100.00000000002274</v>
      </c>
      <c r="AY11" s="60">
        <v>342.35</v>
      </c>
      <c r="AZ11" s="67">
        <f t="shared" si="75"/>
        <v>110.00000000001364</v>
      </c>
      <c r="BA11" s="60">
        <v>362.49</v>
      </c>
      <c r="BB11" s="67">
        <f t="shared" si="76"/>
        <v>120.00000000000455</v>
      </c>
      <c r="BC11" s="60">
        <v>203.27</v>
      </c>
      <c r="BD11" s="67">
        <f t="shared" si="77"/>
        <v>10.000000000019327</v>
      </c>
      <c r="BE11" s="61">
        <v>28179</v>
      </c>
      <c r="BF11" s="67">
        <f t="shared" si="55"/>
        <v>38</v>
      </c>
      <c r="BG11" s="62">
        <v>223.7</v>
      </c>
      <c r="BH11" s="67">
        <f t="shared" si="78"/>
        <v>39.999999999992042</v>
      </c>
      <c r="BI11" s="62">
        <v>281.33999999999997</v>
      </c>
      <c r="BJ11" s="67">
        <f t="shared" si="79"/>
        <v>39.99999999996362</v>
      </c>
      <c r="BK11" s="62">
        <v>229.29</v>
      </c>
      <c r="BL11" s="67">
        <f t="shared" si="80"/>
        <v>30.000000000001137</v>
      </c>
      <c r="BM11" s="62">
        <v>212.29</v>
      </c>
      <c r="BN11" s="67">
        <f t="shared" si="81"/>
        <v>39.999999999992042</v>
      </c>
      <c r="BO11" s="62">
        <v>276.62</v>
      </c>
      <c r="BP11" s="67">
        <f t="shared" si="82"/>
        <v>50.000000000011369</v>
      </c>
      <c r="BQ11" s="62">
        <v>38190</v>
      </c>
      <c r="BR11" s="67">
        <f t="shared" si="56"/>
        <v>24</v>
      </c>
      <c r="BS11" s="62">
        <v>192.55</v>
      </c>
      <c r="BT11" s="67">
        <f t="shared" si="83"/>
        <v>20.000000000010232</v>
      </c>
      <c r="BU11" s="62">
        <v>29186</v>
      </c>
      <c r="BV11" s="67">
        <f t="shared" si="57"/>
        <v>26</v>
      </c>
      <c r="BW11" s="62">
        <v>222.62</v>
      </c>
      <c r="BX11" s="67">
        <f t="shared" si="84"/>
        <v>39.999999999992042</v>
      </c>
      <c r="BY11" s="62">
        <v>47749</v>
      </c>
      <c r="BZ11" s="67">
        <f t="shared" si="58"/>
        <v>40</v>
      </c>
      <c r="CA11" s="62">
        <v>27500.7</v>
      </c>
      <c r="CB11" s="67">
        <f t="shared" si="59"/>
        <v>0</v>
      </c>
      <c r="CC11" s="62">
        <v>11250.4</v>
      </c>
      <c r="CD11" s="67">
        <f t="shared" si="60"/>
        <v>0</v>
      </c>
      <c r="CE11" s="62">
        <v>5487.5</v>
      </c>
      <c r="CF11" s="67">
        <f t="shared" si="61"/>
        <v>0</v>
      </c>
      <c r="CG11" s="62">
        <v>43895.9</v>
      </c>
      <c r="CH11" s="67">
        <f t="shared" si="62"/>
        <v>58.80000000000291</v>
      </c>
      <c r="CI11" s="62">
        <v>851532</v>
      </c>
      <c r="CJ11" s="67">
        <f t="shared" si="63"/>
        <v>217</v>
      </c>
      <c r="CK11" s="62">
        <v>558.29999999999995</v>
      </c>
      <c r="CL11" s="66">
        <f t="shared" si="64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42"/>
        <v>1700.0000000000348</v>
      </c>
      <c r="E12" s="60">
        <v>2.6916000000000002</v>
      </c>
      <c r="F12" s="66">
        <f t="shared" si="43"/>
        <v>1000.000000000334</v>
      </c>
      <c r="G12" s="60">
        <v>2.5143</v>
      </c>
      <c r="H12" s="66">
        <f t="shared" si="44"/>
        <v>1799.9999999998017</v>
      </c>
      <c r="I12" s="60">
        <v>1.2053</v>
      </c>
      <c r="J12" s="66">
        <f t="shared" si="85"/>
        <v>1400.0000000000678</v>
      </c>
      <c r="K12" s="60">
        <v>1.8524</v>
      </c>
      <c r="L12" s="66">
        <f t="shared" si="45"/>
        <v>2499.9999999999468</v>
      </c>
      <c r="M12" s="60">
        <v>1.1796</v>
      </c>
      <c r="N12" s="66">
        <f t="shared" si="46"/>
        <v>1300.0000000000789</v>
      </c>
      <c r="O12" s="60">
        <v>12561</v>
      </c>
      <c r="P12" s="67">
        <f t="shared" si="47"/>
        <v>0</v>
      </c>
      <c r="Q12" s="60">
        <v>5320</v>
      </c>
      <c r="R12" s="67">
        <f t="shared" si="48"/>
        <v>4</v>
      </c>
      <c r="S12" s="60">
        <v>827530.5</v>
      </c>
      <c r="T12" s="67">
        <f t="shared" ref="T12:T34" si="86">IF((S12-S11&lt;0), "",S12-S11)</f>
        <v>145.5</v>
      </c>
      <c r="U12" s="60">
        <v>335982.6</v>
      </c>
      <c r="V12" s="67">
        <f t="shared" si="50"/>
        <v>101.59999999997672</v>
      </c>
      <c r="W12" s="60">
        <v>328.55</v>
      </c>
      <c r="X12" s="67">
        <f t="shared" si="65"/>
        <v>220.00000000002728</v>
      </c>
      <c r="Y12" s="60">
        <v>2.3782999999999999</v>
      </c>
      <c r="Z12" s="67">
        <f t="shared" si="66"/>
        <v>599.99999999993395</v>
      </c>
      <c r="AA12" s="60">
        <v>324.89999999999998</v>
      </c>
      <c r="AB12" s="67">
        <f t="shared" si="67"/>
        <v>120.00000000000455</v>
      </c>
      <c r="AC12" s="60">
        <v>301.93</v>
      </c>
      <c r="AD12" s="67">
        <f t="shared" si="68"/>
        <v>329.99999999998408</v>
      </c>
      <c r="AE12" s="60">
        <v>472.16</v>
      </c>
      <c r="AF12" s="67">
        <f t="shared" si="69"/>
        <v>700.00000000004547</v>
      </c>
      <c r="AG12" s="60">
        <v>1208.3</v>
      </c>
      <c r="AH12" s="67">
        <f t="shared" si="51"/>
        <v>1.2000000000000455</v>
      </c>
      <c r="AI12" s="60">
        <v>411.95</v>
      </c>
      <c r="AJ12" s="67">
        <f t="shared" si="70"/>
        <v>310.00000000000227</v>
      </c>
      <c r="AK12" s="60">
        <v>147.34</v>
      </c>
      <c r="AL12" s="67">
        <f t="shared" si="52"/>
        <v>0.20000000000001705</v>
      </c>
      <c r="AM12" s="60">
        <v>147.74</v>
      </c>
      <c r="AN12" s="67">
        <f t="shared" si="53"/>
        <v>0.12000000000000455</v>
      </c>
      <c r="AO12" s="60">
        <v>144.22</v>
      </c>
      <c r="AP12" s="67">
        <f t="shared" si="54"/>
        <v>0.13999999999998636</v>
      </c>
      <c r="AQ12" s="60">
        <v>215.46</v>
      </c>
      <c r="AR12" s="67">
        <f t="shared" si="71"/>
        <v>129.99999999999545</v>
      </c>
      <c r="AS12" s="60">
        <v>341.99</v>
      </c>
      <c r="AT12" s="67">
        <f t="shared" si="72"/>
        <v>110.00000000001364</v>
      </c>
      <c r="AU12" s="60">
        <v>263.93</v>
      </c>
      <c r="AV12" s="67">
        <f t="shared" si="73"/>
        <v>110.00000000001364</v>
      </c>
      <c r="AW12" s="60">
        <v>291.39999999999998</v>
      </c>
      <c r="AX12" s="67">
        <f t="shared" si="74"/>
        <v>89.999999999974989</v>
      </c>
      <c r="AY12" s="60">
        <v>342.46</v>
      </c>
      <c r="AZ12" s="67">
        <f t="shared" si="75"/>
        <v>109.9999999999568</v>
      </c>
      <c r="BA12" s="60">
        <v>362.61</v>
      </c>
      <c r="BB12" s="67">
        <f t="shared" si="76"/>
        <v>120.00000000000455</v>
      </c>
      <c r="BC12" s="60">
        <v>203.28</v>
      </c>
      <c r="BD12" s="67">
        <f t="shared" si="77"/>
        <v>9.9999999999909051</v>
      </c>
      <c r="BE12" s="61">
        <v>28209</v>
      </c>
      <c r="BF12" s="67">
        <f t="shared" si="55"/>
        <v>30</v>
      </c>
      <c r="BG12" s="62">
        <v>223.73</v>
      </c>
      <c r="BH12" s="67">
        <f t="shared" si="78"/>
        <v>30.000000000001137</v>
      </c>
      <c r="BI12" s="62">
        <v>281.38</v>
      </c>
      <c r="BJ12" s="67">
        <f t="shared" si="79"/>
        <v>40.000000000020464</v>
      </c>
      <c r="BK12" s="62">
        <v>229.33</v>
      </c>
      <c r="BL12" s="67">
        <f t="shared" si="80"/>
        <v>40.000000000020464</v>
      </c>
      <c r="BM12" s="62">
        <v>212.34</v>
      </c>
      <c r="BN12" s="67">
        <f t="shared" si="81"/>
        <v>50.000000000011369</v>
      </c>
      <c r="BO12" s="62">
        <v>276.67</v>
      </c>
      <c r="BP12" s="67">
        <f t="shared" si="82"/>
        <v>50.000000000011369</v>
      </c>
      <c r="BQ12" s="62">
        <v>38216</v>
      </c>
      <c r="BR12" s="67">
        <f t="shared" si="56"/>
        <v>26</v>
      </c>
      <c r="BS12" s="62">
        <v>192.58</v>
      </c>
      <c r="BT12" s="67">
        <f t="shared" si="83"/>
        <v>30.000000000001137</v>
      </c>
      <c r="BU12" s="62">
        <v>29215</v>
      </c>
      <c r="BV12" s="67">
        <f t="shared" si="57"/>
        <v>29</v>
      </c>
      <c r="BW12" s="62">
        <v>222.66</v>
      </c>
      <c r="BX12" s="67">
        <f t="shared" si="84"/>
        <v>39.999999999992042</v>
      </c>
      <c r="BY12" s="62">
        <v>47789</v>
      </c>
      <c r="BZ12" s="67">
        <f t="shared" si="58"/>
        <v>40</v>
      </c>
      <c r="CA12" s="62">
        <v>27500.7</v>
      </c>
      <c r="CB12" s="67">
        <f t="shared" si="59"/>
        <v>0</v>
      </c>
      <c r="CC12" s="62">
        <v>11250.4</v>
      </c>
      <c r="CD12" s="67">
        <f t="shared" si="60"/>
        <v>0</v>
      </c>
      <c r="CE12" s="62">
        <v>5487.5</v>
      </c>
      <c r="CF12" s="67">
        <f t="shared" si="61"/>
        <v>0</v>
      </c>
      <c r="CG12" s="62">
        <v>43958.8</v>
      </c>
      <c r="CH12" s="67">
        <f t="shared" si="62"/>
        <v>62.900000000001455</v>
      </c>
      <c r="CI12" s="62">
        <v>851756</v>
      </c>
      <c r="CJ12" s="67">
        <f t="shared" si="63"/>
        <v>224</v>
      </c>
      <c r="CK12" s="62">
        <v>558.70000000000005</v>
      </c>
      <c r="CL12" s="66">
        <f t="shared" si="64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42"/>
        <v>1700.0000000000348</v>
      </c>
      <c r="E13" s="60">
        <v>2.6928000000000001</v>
      </c>
      <c r="F13" s="66">
        <f t="shared" si="43"/>
        <v>1199.9999999998679</v>
      </c>
      <c r="G13" s="60">
        <v>2.5158999999999998</v>
      </c>
      <c r="H13" s="66">
        <f t="shared" si="44"/>
        <v>1599.9999999998238</v>
      </c>
      <c r="I13" s="60">
        <v>1.2065999999999999</v>
      </c>
      <c r="J13" s="66">
        <f t="shared" si="85"/>
        <v>1299.9999999998568</v>
      </c>
      <c r="K13" s="60">
        <v>1.8549</v>
      </c>
      <c r="L13" s="66">
        <f t="shared" si="45"/>
        <v>2499.9999999999468</v>
      </c>
      <c r="M13" s="60">
        <v>1.1808000000000001</v>
      </c>
      <c r="N13" s="66">
        <f t="shared" si="46"/>
        <v>1200.0000000000898</v>
      </c>
      <c r="O13" s="60">
        <v>12563</v>
      </c>
      <c r="P13" s="67">
        <f t="shared" si="47"/>
        <v>2</v>
      </c>
      <c r="Q13" s="60">
        <v>5329</v>
      </c>
      <c r="R13" s="67">
        <f t="shared" si="48"/>
        <v>9</v>
      </c>
      <c r="S13" s="60">
        <v>827556</v>
      </c>
      <c r="T13" s="67">
        <f t="shared" si="86"/>
        <v>25.5</v>
      </c>
      <c r="U13" s="60">
        <v>336003.7</v>
      </c>
      <c r="V13" s="67">
        <f t="shared" si="50"/>
        <v>21.100000000034925</v>
      </c>
      <c r="W13" s="60">
        <v>328.78</v>
      </c>
      <c r="X13" s="67">
        <f t="shared" si="65"/>
        <v>229.99999999996135</v>
      </c>
      <c r="Y13" s="60">
        <v>2.3792</v>
      </c>
      <c r="Z13" s="67">
        <f t="shared" si="66"/>
        <v>900.0000000001229</v>
      </c>
      <c r="AA13" s="60">
        <v>325.01</v>
      </c>
      <c r="AB13" s="67">
        <f t="shared" si="67"/>
        <v>110.00000000001364</v>
      </c>
      <c r="AC13" s="60">
        <v>302.27999999999997</v>
      </c>
      <c r="AD13" s="67">
        <f t="shared" si="68"/>
        <v>349.99999999996589</v>
      </c>
      <c r="AE13" s="60">
        <v>472.82</v>
      </c>
      <c r="AF13" s="67">
        <f t="shared" si="69"/>
        <v>659.99999999996817</v>
      </c>
      <c r="AG13" s="60">
        <v>1209.5999999999999</v>
      </c>
      <c r="AH13" s="67">
        <f t="shared" si="51"/>
        <v>1.2999999999999545</v>
      </c>
      <c r="AI13" s="60">
        <v>412.23</v>
      </c>
      <c r="AJ13" s="67">
        <f t="shared" si="70"/>
        <v>280.00000000002956</v>
      </c>
      <c r="AK13" s="60">
        <v>147.52000000000001</v>
      </c>
      <c r="AL13" s="67">
        <f t="shared" si="52"/>
        <v>0.18000000000000682</v>
      </c>
      <c r="AM13" s="60">
        <v>147.86000000000001</v>
      </c>
      <c r="AN13" s="67">
        <f t="shared" si="53"/>
        <v>0.12000000000000455</v>
      </c>
      <c r="AO13" s="60">
        <v>144.32</v>
      </c>
      <c r="AP13" s="67">
        <f t="shared" si="54"/>
        <v>9.9999999999994316E-2</v>
      </c>
      <c r="AQ13" s="60">
        <v>215.58</v>
      </c>
      <c r="AR13" s="67">
        <f t="shared" si="71"/>
        <v>120.00000000000455</v>
      </c>
      <c r="AS13" s="60">
        <v>342.1</v>
      </c>
      <c r="AT13" s="67">
        <f t="shared" si="72"/>
        <v>110.00000000001364</v>
      </c>
      <c r="AU13" s="60">
        <v>264.04000000000002</v>
      </c>
      <c r="AV13" s="67">
        <f t="shared" si="73"/>
        <v>110.00000000001364</v>
      </c>
      <c r="AW13" s="60">
        <v>291.5</v>
      </c>
      <c r="AX13" s="67">
        <f t="shared" si="74"/>
        <v>100.00000000002274</v>
      </c>
      <c r="AY13" s="60">
        <v>342.57</v>
      </c>
      <c r="AZ13" s="67">
        <f t="shared" si="75"/>
        <v>110.00000000001364</v>
      </c>
      <c r="BA13" s="60">
        <v>362.71</v>
      </c>
      <c r="BB13" s="67">
        <f t="shared" si="76"/>
        <v>99.999999999965894</v>
      </c>
      <c r="BC13" s="60">
        <v>203.28</v>
      </c>
      <c r="BD13" s="67">
        <f t="shared" si="77"/>
        <v>0</v>
      </c>
      <c r="BE13" s="61">
        <v>28260</v>
      </c>
      <c r="BF13" s="67">
        <f t="shared" si="55"/>
        <v>51</v>
      </c>
      <c r="BG13" s="62">
        <v>223.77</v>
      </c>
      <c r="BH13" s="67">
        <f t="shared" si="78"/>
        <v>40.000000000020464</v>
      </c>
      <c r="BI13" s="62">
        <v>281.42</v>
      </c>
      <c r="BJ13" s="67">
        <f t="shared" si="79"/>
        <v>40.000000000020464</v>
      </c>
      <c r="BK13" s="62">
        <v>229.37</v>
      </c>
      <c r="BL13" s="67">
        <f t="shared" si="80"/>
        <v>39.999999999992042</v>
      </c>
      <c r="BM13" s="62">
        <v>212.39</v>
      </c>
      <c r="BN13" s="67">
        <f t="shared" si="81"/>
        <v>49.999999999982947</v>
      </c>
      <c r="BO13" s="62">
        <v>276.72000000000003</v>
      </c>
      <c r="BP13" s="67">
        <f t="shared" si="82"/>
        <v>50.000000000011369</v>
      </c>
      <c r="BQ13" s="62">
        <v>38244</v>
      </c>
      <c r="BR13" s="67">
        <f t="shared" si="56"/>
        <v>28</v>
      </c>
      <c r="BS13" s="62">
        <v>192.6</v>
      </c>
      <c r="BT13" s="67">
        <f t="shared" si="83"/>
        <v>19.99999999998181</v>
      </c>
      <c r="BU13" s="62">
        <v>29246</v>
      </c>
      <c r="BV13" s="67">
        <f t="shared" si="57"/>
        <v>31</v>
      </c>
      <c r="BW13" s="62">
        <v>222.7</v>
      </c>
      <c r="BX13" s="67">
        <f t="shared" si="84"/>
        <v>39.999999999992042</v>
      </c>
      <c r="BY13" s="62">
        <v>47831</v>
      </c>
      <c r="BZ13" s="67">
        <f t="shared" si="58"/>
        <v>42</v>
      </c>
      <c r="CA13" s="62">
        <v>27500.7</v>
      </c>
      <c r="CB13" s="67">
        <f t="shared" si="59"/>
        <v>0</v>
      </c>
      <c r="CC13" s="62">
        <v>11250.4</v>
      </c>
      <c r="CD13" s="67">
        <f t="shared" si="60"/>
        <v>0</v>
      </c>
      <c r="CE13" s="62">
        <v>5487.5</v>
      </c>
      <c r="CF13" s="67">
        <f t="shared" si="61"/>
        <v>0</v>
      </c>
      <c r="CG13" s="62">
        <v>44029.5</v>
      </c>
      <c r="CH13" s="67">
        <f t="shared" si="62"/>
        <v>70.69999999999709</v>
      </c>
      <c r="CI13" s="62">
        <v>851976</v>
      </c>
      <c r="CJ13" s="67">
        <f t="shared" si="63"/>
        <v>220</v>
      </c>
      <c r="CK13" s="62">
        <v>559.12</v>
      </c>
      <c r="CL13" s="66">
        <f t="shared" si="64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42"/>
        <v>1799.9999999998017</v>
      </c>
      <c r="E14" s="60">
        <v>2.694</v>
      </c>
      <c r="F14" s="66">
        <f t="shared" si="43"/>
        <v>1199.9999999998679</v>
      </c>
      <c r="G14" s="60">
        <v>2.5179</v>
      </c>
      <c r="H14" s="66">
        <f t="shared" si="44"/>
        <v>2000.0000000002237</v>
      </c>
      <c r="I14" s="60">
        <v>1.2079</v>
      </c>
      <c r="J14" s="66">
        <f t="shared" si="85"/>
        <v>1300.0000000000789</v>
      </c>
      <c r="K14" s="60">
        <v>1.8573999999999999</v>
      </c>
      <c r="L14" s="66">
        <f t="shared" si="45"/>
        <v>2499.9999999999468</v>
      </c>
      <c r="M14" s="60">
        <v>1.1819999999999999</v>
      </c>
      <c r="N14" s="66">
        <f t="shared" si="46"/>
        <v>1199.9999999998679</v>
      </c>
      <c r="O14" s="60">
        <v>12564</v>
      </c>
      <c r="P14" s="67">
        <f t="shared" si="47"/>
        <v>1</v>
      </c>
      <c r="Q14" s="60">
        <v>5336</v>
      </c>
      <c r="R14" s="67">
        <f t="shared" si="48"/>
        <v>7</v>
      </c>
      <c r="S14" s="60">
        <v>827824.6</v>
      </c>
      <c r="T14" s="67">
        <f t="shared" si="86"/>
        <v>268.59999999997672</v>
      </c>
      <c r="U14" s="60">
        <v>336157.6</v>
      </c>
      <c r="V14" s="67">
        <f t="shared" si="50"/>
        <v>153.89999999996508</v>
      </c>
      <c r="W14" s="60">
        <v>329.04</v>
      </c>
      <c r="X14" s="67">
        <f>IF((W14-W13&lt;0), "",(W14-W13)*1000)</f>
        <v>260.00000000004775</v>
      </c>
      <c r="Y14" s="60">
        <v>2.38</v>
      </c>
      <c r="Z14" s="67">
        <f t="shared" si="66"/>
        <v>799.99999999991189</v>
      </c>
      <c r="AA14" s="60">
        <v>325.14</v>
      </c>
      <c r="AB14" s="67">
        <f t="shared" si="67"/>
        <v>129.99999999999545</v>
      </c>
      <c r="AC14" s="60">
        <v>302.57</v>
      </c>
      <c r="AD14" s="67">
        <f t="shared" si="68"/>
        <v>290.00000000002046</v>
      </c>
      <c r="AE14" s="60">
        <v>473.5</v>
      </c>
      <c r="AF14" s="67">
        <f t="shared" si="69"/>
        <v>680.00000000000682</v>
      </c>
      <c r="AG14" s="60">
        <v>1211</v>
      </c>
      <c r="AH14" s="67">
        <f t="shared" si="51"/>
        <v>1.4000000000000909</v>
      </c>
      <c r="AI14" s="60">
        <v>412.52</v>
      </c>
      <c r="AJ14" s="67">
        <f t="shared" si="70"/>
        <v>289.99999999996362</v>
      </c>
      <c r="AK14" s="60">
        <v>147.72</v>
      </c>
      <c r="AL14" s="67">
        <f t="shared" si="52"/>
        <v>0.19999999999998863</v>
      </c>
      <c r="AM14" s="60">
        <v>147.99</v>
      </c>
      <c r="AN14" s="67">
        <f t="shared" si="53"/>
        <v>0.12999999999999545</v>
      </c>
      <c r="AO14" s="60">
        <v>144.41999999999999</v>
      </c>
      <c r="AP14" s="67">
        <f t="shared" si="54"/>
        <v>9.9999999999994316E-2</v>
      </c>
      <c r="AQ14" s="60">
        <v>215.74</v>
      </c>
      <c r="AR14" s="67">
        <f t="shared" si="71"/>
        <v>159.99999999999659</v>
      </c>
      <c r="AS14" s="60">
        <v>342.22</v>
      </c>
      <c r="AT14" s="67">
        <f t="shared" si="72"/>
        <v>120.00000000000455</v>
      </c>
      <c r="AU14" s="60">
        <v>264.14999999999998</v>
      </c>
      <c r="AV14" s="67">
        <f t="shared" si="73"/>
        <v>109.9999999999568</v>
      </c>
      <c r="AW14" s="60">
        <v>291.60000000000002</v>
      </c>
      <c r="AX14" s="67">
        <f t="shared" si="74"/>
        <v>100.00000000002274</v>
      </c>
      <c r="AY14" s="60">
        <v>342.69</v>
      </c>
      <c r="AZ14" s="67">
        <f t="shared" si="75"/>
        <v>120.00000000000455</v>
      </c>
      <c r="BA14" s="60">
        <v>362.83</v>
      </c>
      <c r="BB14" s="67">
        <f t="shared" si="76"/>
        <v>120.00000000000455</v>
      </c>
      <c r="BC14" s="60">
        <v>203.3</v>
      </c>
      <c r="BD14" s="67">
        <f t="shared" si="77"/>
        <v>20.000000000010232</v>
      </c>
      <c r="BE14" s="61">
        <v>28301</v>
      </c>
      <c r="BF14" s="67">
        <f t="shared" si="55"/>
        <v>41</v>
      </c>
      <c r="BG14" s="62">
        <v>223.81</v>
      </c>
      <c r="BH14" s="67">
        <f t="shared" si="78"/>
        <v>39.999999999992042</v>
      </c>
      <c r="BI14" s="62">
        <v>281.45</v>
      </c>
      <c r="BJ14" s="67">
        <f t="shared" si="79"/>
        <v>29.999999999972715</v>
      </c>
      <c r="BK14" s="62">
        <v>229.42</v>
      </c>
      <c r="BL14" s="67">
        <f t="shared" si="80"/>
        <v>49.999999999982947</v>
      </c>
      <c r="BM14" s="62">
        <v>212.44</v>
      </c>
      <c r="BN14" s="67">
        <f t="shared" si="81"/>
        <v>50.000000000011369</v>
      </c>
      <c r="BO14" s="62">
        <v>276.77</v>
      </c>
      <c r="BP14" s="67">
        <f t="shared" si="82"/>
        <v>49.999999999954525</v>
      </c>
      <c r="BQ14" s="62">
        <v>38269</v>
      </c>
      <c r="BR14" s="67">
        <f t="shared" si="56"/>
        <v>25</v>
      </c>
      <c r="BS14" s="62">
        <v>192.63</v>
      </c>
      <c r="BT14" s="67">
        <f t="shared" si="83"/>
        <v>30.000000000001137</v>
      </c>
      <c r="BU14" s="62">
        <v>29278</v>
      </c>
      <c r="BV14" s="67">
        <f t="shared" si="57"/>
        <v>32</v>
      </c>
      <c r="BW14" s="62">
        <v>222.74</v>
      </c>
      <c r="BX14" s="67">
        <f t="shared" si="84"/>
        <v>40.000000000020464</v>
      </c>
      <c r="BY14" s="62">
        <v>47873</v>
      </c>
      <c r="BZ14" s="67">
        <f t="shared" si="58"/>
        <v>42</v>
      </c>
      <c r="CA14" s="62">
        <v>27500.7</v>
      </c>
      <c r="CB14" s="67">
        <f t="shared" si="59"/>
        <v>0</v>
      </c>
      <c r="CC14" s="62">
        <v>11250.4</v>
      </c>
      <c r="CD14" s="67">
        <f t="shared" si="60"/>
        <v>0</v>
      </c>
      <c r="CE14" s="62">
        <v>5487.5</v>
      </c>
      <c r="CF14" s="67">
        <f t="shared" si="61"/>
        <v>0</v>
      </c>
      <c r="CG14" s="62">
        <v>44103.8</v>
      </c>
      <c r="CH14" s="67">
        <f t="shared" si="62"/>
        <v>74.30000000000291</v>
      </c>
      <c r="CI14" s="62">
        <v>852204</v>
      </c>
      <c r="CJ14" s="67">
        <f t="shared" si="63"/>
        <v>228</v>
      </c>
      <c r="CK14" s="62">
        <v>559.57000000000005</v>
      </c>
      <c r="CL14" s="66">
        <f t="shared" si="64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42"/>
        <v>1200.0000000000898</v>
      </c>
      <c r="E15" s="60">
        <v>2.6947999999999999</v>
      </c>
      <c r="F15" s="66">
        <f t="shared" si="43"/>
        <v>799.99999999991189</v>
      </c>
      <c r="G15" s="60">
        <v>2.5196999999999998</v>
      </c>
      <c r="H15" s="66">
        <f t="shared" si="44"/>
        <v>1799.9999999998017</v>
      </c>
      <c r="I15" s="60">
        <v>1.2091000000000001</v>
      </c>
      <c r="J15" s="66">
        <f t="shared" si="85"/>
        <v>1200.0000000000898</v>
      </c>
      <c r="K15" s="60">
        <v>1.8595999999999999</v>
      </c>
      <c r="L15" s="66">
        <f t="shared" si="45"/>
        <v>2199.9999999999795</v>
      </c>
      <c r="M15" s="60">
        <v>1.1829000000000001</v>
      </c>
      <c r="N15" s="66">
        <f t="shared" si="46"/>
        <v>900.0000000001229</v>
      </c>
      <c r="O15" s="60">
        <v>12564</v>
      </c>
      <c r="P15" s="67">
        <f t="shared" si="47"/>
        <v>0</v>
      </c>
      <c r="Q15" s="60">
        <v>5340</v>
      </c>
      <c r="R15" s="67">
        <f t="shared" si="48"/>
        <v>4</v>
      </c>
      <c r="S15" s="60">
        <v>828053.5</v>
      </c>
      <c r="T15" s="67">
        <f t="shared" si="86"/>
        <v>228.90000000002328</v>
      </c>
      <c r="U15" s="60">
        <v>336289</v>
      </c>
      <c r="V15" s="67">
        <f t="shared" si="50"/>
        <v>131.40000000002328</v>
      </c>
      <c r="W15" s="60">
        <v>329.22</v>
      </c>
      <c r="X15" s="67">
        <f t="shared" si="65"/>
        <v>180.00000000000682</v>
      </c>
      <c r="Y15" s="60">
        <v>2.3805000000000001</v>
      </c>
      <c r="Z15" s="67">
        <f t="shared" si="66"/>
        <v>500.00000000016701</v>
      </c>
      <c r="AA15" s="60">
        <v>325.23</v>
      </c>
      <c r="AB15" s="67">
        <f t="shared" si="67"/>
        <v>90.000000000031832</v>
      </c>
      <c r="AC15" s="60">
        <v>302.8</v>
      </c>
      <c r="AD15" s="67">
        <f t="shared" si="68"/>
        <v>230.00000000001819</v>
      </c>
      <c r="AE15" s="60">
        <v>473.93</v>
      </c>
      <c r="AF15" s="67">
        <f t="shared" si="69"/>
        <v>430.00000000000682</v>
      </c>
      <c r="AG15" s="60">
        <v>1212</v>
      </c>
      <c r="AH15" s="67">
        <f t="shared" si="51"/>
        <v>1</v>
      </c>
      <c r="AI15" s="60">
        <v>412.78</v>
      </c>
      <c r="AJ15" s="67">
        <f t="shared" si="70"/>
        <v>259.99999999999091</v>
      </c>
      <c r="AK15" s="60">
        <v>147.83000000000001</v>
      </c>
      <c r="AL15" s="67">
        <f t="shared" si="52"/>
        <v>0.11000000000001364</v>
      </c>
      <c r="AM15" s="60">
        <v>148.07</v>
      </c>
      <c r="AN15" s="67">
        <f t="shared" si="53"/>
        <v>7.9999999999984084E-2</v>
      </c>
      <c r="AO15" s="60">
        <v>144.53</v>
      </c>
      <c r="AP15" s="67">
        <f t="shared" si="54"/>
        <v>0.11000000000001364</v>
      </c>
      <c r="AQ15" s="60">
        <v>215.85</v>
      </c>
      <c r="AR15" s="67">
        <f t="shared" si="71"/>
        <v>109.99999999998522</v>
      </c>
      <c r="AS15" s="60">
        <v>342.31</v>
      </c>
      <c r="AT15" s="67">
        <f t="shared" si="72"/>
        <v>89.999999999974989</v>
      </c>
      <c r="AU15" s="60">
        <v>264.22000000000003</v>
      </c>
      <c r="AV15" s="67">
        <f t="shared" si="73"/>
        <v>70.000000000050022</v>
      </c>
      <c r="AW15" s="60">
        <v>291.67</v>
      </c>
      <c r="AX15" s="67">
        <f t="shared" si="74"/>
        <v>69.999999999993179</v>
      </c>
      <c r="AY15" s="60">
        <v>342.75</v>
      </c>
      <c r="AZ15" s="67">
        <f t="shared" si="75"/>
        <v>60.000000000002274</v>
      </c>
      <c r="BA15" s="60">
        <v>362.89</v>
      </c>
      <c r="BB15" s="67">
        <f t="shared" si="76"/>
        <v>60.000000000002274</v>
      </c>
      <c r="BC15" s="60">
        <v>203.31</v>
      </c>
      <c r="BD15" s="67">
        <f t="shared" si="77"/>
        <v>9.9999999999909051</v>
      </c>
      <c r="BE15" s="61">
        <v>28336</v>
      </c>
      <c r="BF15" s="67">
        <f t="shared" si="55"/>
        <v>35</v>
      </c>
      <c r="BG15" s="62">
        <v>223.84</v>
      </c>
      <c r="BH15" s="67">
        <f t="shared" si="78"/>
        <v>30.000000000001137</v>
      </c>
      <c r="BI15" s="62">
        <v>281.48</v>
      </c>
      <c r="BJ15" s="67">
        <f t="shared" si="79"/>
        <v>30.000000000029559</v>
      </c>
      <c r="BK15" s="62">
        <v>229.45</v>
      </c>
      <c r="BL15" s="67">
        <f t="shared" si="80"/>
        <v>30.000000000001137</v>
      </c>
      <c r="BM15" s="62">
        <v>212.47</v>
      </c>
      <c r="BN15" s="67">
        <f t="shared" si="81"/>
        <v>30.000000000001137</v>
      </c>
      <c r="BO15" s="62">
        <v>276.81</v>
      </c>
      <c r="BP15" s="67">
        <f t="shared" si="82"/>
        <v>40.000000000020464</v>
      </c>
      <c r="BQ15" s="62">
        <v>38289</v>
      </c>
      <c r="BR15" s="67">
        <f t="shared" si="56"/>
        <v>20</v>
      </c>
      <c r="BS15" s="62">
        <v>192.66</v>
      </c>
      <c r="BT15" s="67">
        <f t="shared" si="83"/>
        <v>30.000000000001137</v>
      </c>
      <c r="BU15" s="62">
        <v>29294</v>
      </c>
      <c r="BV15" s="67">
        <f t="shared" si="57"/>
        <v>16</v>
      </c>
      <c r="BW15" s="62">
        <v>222.77</v>
      </c>
      <c r="BX15" s="67">
        <f t="shared" si="84"/>
        <v>30.000000000001137</v>
      </c>
      <c r="BY15" s="62">
        <v>47905</v>
      </c>
      <c r="BZ15" s="67">
        <f t="shared" si="58"/>
        <v>32</v>
      </c>
      <c r="CA15" s="62">
        <v>27500.7</v>
      </c>
      <c r="CB15" s="67">
        <f t="shared" si="59"/>
        <v>0</v>
      </c>
      <c r="CC15" s="62">
        <v>11250.4</v>
      </c>
      <c r="CD15" s="67">
        <f t="shared" si="60"/>
        <v>0</v>
      </c>
      <c r="CE15" s="62">
        <v>5487.5</v>
      </c>
      <c r="CF15" s="67">
        <f t="shared" si="61"/>
        <v>0</v>
      </c>
      <c r="CG15" s="62">
        <v>44163</v>
      </c>
      <c r="CH15" s="67">
        <f t="shared" si="62"/>
        <v>59.19999999999709</v>
      </c>
      <c r="CI15" s="62">
        <v>852419</v>
      </c>
      <c r="CJ15" s="67">
        <f t="shared" si="63"/>
        <v>215</v>
      </c>
      <c r="CK15" s="62">
        <v>560.01</v>
      </c>
      <c r="CL15" s="66">
        <f t="shared" si="64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42"/>
        <v>1200.0000000000898</v>
      </c>
      <c r="E16" s="60">
        <v>2.6956000000000002</v>
      </c>
      <c r="F16" s="66">
        <f t="shared" si="43"/>
        <v>800.00000000035595</v>
      </c>
      <c r="G16" s="60">
        <v>2.5215000000000001</v>
      </c>
      <c r="H16" s="66">
        <f t="shared" si="44"/>
        <v>1800.0000000002458</v>
      </c>
      <c r="I16" s="60">
        <v>1.2101</v>
      </c>
      <c r="J16" s="66">
        <f t="shared" si="85"/>
        <v>999.99999999988984</v>
      </c>
      <c r="K16" s="60">
        <v>1.8617999999999999</v>
      </c>
      <c r="L16" s="66">
        <f t="shared" si="45"/>
        <v>2199.9999999999795</v>
      </c>
      <c r="M16" s="60">
        <v>1.1837</v>
      </c>
      <c r="N16" s="66">
        <f t="shared" si="46"/>
        <v>799.99999999991189</v>
      </c>
      <c r="O16" s="60">
        <v>12565</v>
      </c>
      <c r="P16" s="67">
        <f t="shared" si="47"/>
        <v>1</v>
      </c>
      <c r="Q16" s="60">
        <v>5344</v>
      </c>
      <c r="R16" s="67">
        <f t="shared" si="48"/>
        <v>4</v>
      </c>
      <c r="S16" s="60">
        <v>828270.9</v>
      </c>
      <c r="T16" s="67">
        <f t="shared" si="86"/>
        <v>217.40000000002328</v>
      </c>
      <c r="U16" s="60">
        <v>336371.1</v>
      </c>
      <c r="V16" s="67">
        <f t="shared" si="50"/>
        <v>82.099999999976717</v>
      </c>
      <c r="W16" s="60">
        <v>329.38</v>
      </c>
      <c r="X16" s="67">
        <f t="shared" si="65"/>
        <v>159.99999999996817</v>
      </c>
      <c r="Y16" s="60">
        <v>2.3811</v>
      </c>
      <c r="Z16" s="67">
        <f t="shared" si="66"/>
        <v>599.99999999993395</v>
      </c>
      <c r="AA16" s="60">
        <v>325.33</v>
      </c>
      <c r="AB16" s="67">
        <f t="shared" si="67"/>
        <v>99.999999999965894</v>
      </c>
      <c r="AC16" s="60">
        <v>303.08</v>
      </c>
      <c r="AD16" s="67">
        <f t="shared" si="68"/>
        <v>279.99999999997272</v>
      </c>
      <c r="AE16" s="60">
        <v>474.38</v>
      </c>
      <c r="AF16" s="67">
        <f t="shared" si="69"/>
        <v>449.99999999998863</v>
      </c>
      <c r="AG16" s="60">
        <v>1213</v>
      </c>
      <c r="AH16" s="67">
        <f t="shared" si="51"/>
        <v>1</v>
      </c>
      <c r="AI16" s="60">
        <v>413.04</v>
      </c>
      <c r="AJ16" s="67">
        <f t="shared" si="70"/>
        <v>260.00000000004775</v>
      </c>
      <c r="AK16" s="60">
        <v>147.94999999999999</v>
      </c>
      <c r="AL16" s="67">
        <f t="shared" si="52"/>
        <v>0.11999999999997613</v>
      </c>
      <c r="AM16" s="60">
        <v>148.13999999999999</v>
      </c>
      <c r="AN16" s="67">
        <f t="shared" si="53"/>
        <v>6.9999999999993179E-2</v>
      </c>
      <c r="AO16" s="60">
        <v>144.63</v>
      </c>
      <c r="AP16" s="67">
        <f t="shared" si="54"/>
        <v>9.9999999999994316E-2</v>
      </c>
      <c r="AQ16" s="60">
        <v>215.95</v>
      </c>
      <c r="AR16" s="67">
        <f t="shared" si="71"/>
        <v>99.999999999994316</v>
      </c>
      <c r="AS16" s="60">
        <v>342.38</v>
      </c>
      <c r="AT16" s="67">
        <f t="shared" si="72"/>
        <v>69.999999999993179</v>
      </c>
      <c r="AU16" s="60">
        <v>264.27</v>
      </c>
      <c r="AV16" s="67">
        <f t="shared" si="73"/>
        <v>49.999999999954525</v>
      </c>
      <c r="AW16" s="60">
        <v>291.72000000000003</v>
      </c>
      <c r="AX16" s="67">
        <f t="shared" si="74"/>
        <v>50.000000000011369</v>
      </c>
      <c r="AY16" s="60">
        <v>342.81</v>
      </c>
      <c r="AZ16" s="67">
        <f t="shared" si="75"/>
        <v>60.000000000002274</v>
      </c>
      <c r="BA16" s="60">
        <v>362.93</v>
      </c>
      <c r="BB16" s="67">
        <f t="shared" si="76"/>
        <v>40.000000000020464</v>
      </c>
      <c r="BC16" s="60">
        <v>203.32</v>
      </c>
      <c r="BD16" s="67">
        <f t="shared" si="77"/>
        <v>9.9999999999909051</v>
      </c>
      <c r="BE16" s="61">
        <v>28363</v>
      </c>
      <c r="BF16" s="67">
        <f t="shared" si="55"/>
        <v>27</v>
      </c>
      <c r="BG16" s="62">
        <v>223.87</v>
      </c>
      <c r="BH16" s="67">
        <f t="shared" si="78"/>
        <v>30.000000000001137</v>
      </c>
      <c r="BI16" s="62">
        <v>281.5</v>
      </c>
      <c r="BJ16" s="67">
        <f t="shared" si="79"/>
        <v>19.99999999998181</v>
      </c>
      <c r="BK16" s="62">
        <v>229.47</v>
      </c>
      <c r="BL16" s="67">
        <f t="shared" si="80"/>
        <v>20.000000000010232</v>
      </c>
      <c r="BM16" s="62">
        <v>212.51</v>
      </c>
      <c r="BN16" s="67">
        <f t="shared" si="81"/>
        <v>39.999999999992042</v>
      </c>
      <c r="BO16" s="62">
        <v>276.83999999999997</v>
      </c>
      <c r="BP16" s="67">
        <f t="shared" si="82"/>
        <v>29.999999999972715</v>
      </c>
      <c r="BQ16" s="62">
        <v>38307</v>
      </c>
      <c r="BR16" s="67">
        <f t="shared" si="56"/>
        <v>18</v>
      </c>
      <c r="BS16" s="62">
        <v>192.67</v>
      </c>
      <c r="BT16" s="67">
        <f t="shared" si="83"/>
        <v>9.9999999999909051</v>
      </c>
      <c r="BU16" s="62">
        <v>29310</v>
      </c>
      <c r="BV16" s="67">
        <f t="shared" si="57"/>
        <v>16</v>
      </c>
      <c r="BW16" s="62">
        <v>222.79</v>
      </c>
      <c r="BX16" s="67">
        <f t="shared" si="84"/>
        <v>19.99999999998181</v>
      </c>
      <c r="BY16" s="62">
        <v>47936</v>
      </c>
      <c r="BZ16" s="67">
        <f t="shared" si="58"/>
        <v>31</v>
      </c>
      <c r="CA16" s="62">
        <v>27500.7</v>
      </c>
      <c r="CB16" s="67">
        <f t="shared" si="59"/>
        <v>0</v>
      </c>
      <c r="CC16" s="62">
        <v>11250.4</v>
      </c>
      <c r="CD16" s="67">
        <f t="shared" si="60"/>
        <v>0</v>
      </c>
      <c r="CE16" s="62">
        <v>5487.5</v>
      </c>
      <c r="CF16" s="67">
        <f t="shared" si="61"/>
        <v>0</v>
      </c>
      <c r="CG16" s="62">
        <v>44229</v>
      </c>
      <c r="CH16" s="67">
        <f t="shared" si="62"/>
        <v>66</v>
      </c>
      <c r="CI16" s="62">
        <v>852625</v>
      </c>
      <c r="CJ16" s="67">
        <f t="shared" si="63"/>
        <v>206</v>
      </c>
      <c r="CK16" s="62">
        <v>560.41999999999996</v>
      </c>
      <c r="CL16" s="66">
        <f t="shared" si="64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>
        <v>1.6877</v>
      </c>
      <c r="D17" s="66">
        <f t="shared" si="42"/>
        <v>899.99999999990087</v>
      </c>
      <c r="E17" s="60">
        <v>2.6962000000000002</v>
      </c>
      <c r="F17" s="66">
        <f t="shared" si="43"/>
        <v>599.99999999993395</v>
      </c>
      <c r="G17" s="60">
        <v>2.5230999999999999</v>
      </c>
      <c r="H17" s="66">
        <f t="shared" si="44"/>
        <v>1599.9999999998238</v>
      </c>
      <c r="I17" s="60">
        <v>1.2110000000000001</v>
      </c>
      <c r="J17" s="66">
        <f t="shared" si="85"/>
        <v>900.0000000001229</v>
      </c>
      <c r="K17" s="60">
        <v>1.8636999999999999</v>
      </c>
      <c r="L17" s="66">
        <f t="shared" si="45"/>
        <v>1900.0000000000127</v>
      </c>
      <c r="M17" s="60">
        <v>1.1842999999999999</v>
      </c>
      <c r="N17" s="66">
        <f t="shared" si="46"/>
        <v>599.99999999993395</v>
      </c>
      <c r="O17" s="60">
        <v>12566</v>
      </c>
      <c r="P17" s="67">
        <f t="shared" si="47"/>
        <v>1</v>
      </c>
      <c r="Q17" s="60">
        <v>5346</v>
      </c>
      <c r="R17" s="67">
        <f t="shared" si="48"/>
        <v>2</v>
      </c>
      <c r="S17" s="60">
        <v>828419</v>
      </c>
      <c r="T17" s="67">
        <f t="shared" si="86"/>
        <v>148.09999999997672</v>
      </c>
      <c r="U17" s="60">
        <v>336462</v>
      </c>
      <c r="V17" s="67">
        <f t="shared" si="50"/>
        <v>90.900000000023283</v>
      </c>
      <c r="W17" s="60">
        <v>329.47</v>
      </c>
      <c r="X17" s="67">
        <f t="shared" si="65"/>
        <v>90.000000000031832</v>
      </c>
      <c r="Y17" s="60">
        <v>2.3815</v>
      </c>
      <c r="Z17" s="67">
        <f t="shared" si="66"/>
        <v>399.99999999995595</v>
      </c>
      <c r="AA17" s="60">
        <v>325.35000000000002</v>
      </c>
      <c r="AB17" s="67">
        <f t="shared" si="67"/>
        <v>20.000000000038654</v>
      </c>
      <c r="AC17" s="60">
        <v>303.23</v>
      </c>
      <c r="AD17" s="67">
        <f t="shared" si="68"/>
        <v>150.00000000003411</v>
      </c>
      <c r="AE17" s="60">
        <v>474.65</v>
      </c>
      <c r="AF17" s="67">
        <f t="shared" si="69"/>
        <v>269.99999999998181</v>
      </c>
      <c r="AG17" s="60">
        <v>1214.0999999999999</v>
      </c>
      <c r="AH17" s="67">
        <f t="shared" si="51"/>
        <v>1.0999999999999091</v>
      </c>
      <c r="AI17" s="60">
        <v>413.27</v>
      </c>
      <c r="AJ17" s="67">
        <f t="shared" si="70"/>
        <v>229.99999999996135</v>
      </c>
      <c r="AK17" s="60">
        <v>148.04</v>
      </c>
      <c r="AL17" s="67">
        <f t="shared" si="52"/>
        <v>9.0000000000003411E-2</v>
      </c>
      <c r="AM17" s="60">
        <v>148.19999999999999</v>
      </c>
      <c r="AN17" s="67">
        <f t="shared" si="53"/>
        <v>6.0000000000002274E-2</v>
      </c>
      <c r="AO17" s="60">
        <v>144.72999999999999</v>
      </c>
      <c r="AP17" s="67">
        <f t="shared" si="54"/>
        <v>9.9999999999994316E-2</v>
      </c>
      <c r="AQ17" s="60">
        <v>216</v>
      </c>
      <c r="AR17" s="67">
        <f t="shared" si="71"/>
        <v>50.000000000011369</v>
      </c>
      <c r="AS17" s="60">
        <v>342.42</v>
      </c>
      <c r="AT17" s="67">
        <f t="shared" si="72"/>
        <v>40.000000000020464</v>
      </c>
      <c r="AU17" s="60">
        <v>264.29000000000002</v>
      </c>
      <c r="AV17" s="67">
        <f t="shared" si="73"/>
        <v>20.000000000038654</v>
      </c>
      <c r="AW17" s="60">
        <v>291.76</v>
      </c>
      <c r="AX17" s="67">
        <f t="shared" si="74"/>
        <v>39.99999999996362</v>
      </c>
      <c r="AY17" s="60">
        <v>342.85</v>
      </c>
      <c r="AZ17" s="67">
        <f t="shared" si="75"/>
        <v>40.000000000020464</v>
      </c>
      <c r="BA17" s="60">
        <v>362.96</v>
      </c>
      <c r="BB17" s="67">
        <f t="shared" si="76"/>
        <v>29.999999999972715</v>
      </c>
      <c r="BC17" s="60">
        <v>203.33</v>
      </c>
      <c r="BD17" s="67">
        <f t="shared" si="77"/>
        <v>10.000000000019327</v>
      </c>
      <c r="BE17" s="61">
        <v>28384</v>
      </c>
      <c r="BF17" s="67">
        <f t="shared" si="55"/>
        <v>21</v>
      </c>
      <c r="BG17" s="62">
        <v>223.9</v>
      </c>
      <c r="BH17" s="67">
        <f t="shared" si="78"/>
        <v>30.000000000001137</v>
      </c>
      <c r="BI17" s="62">
        <v>281.52</v>
      </c>
      <c r="BJ17" s="67">
        <f t="shared" si="79"/>
        <v>19.99999999998181</v>
      </c>
      <c r="BK17" s="62">
        <v>229.49</v>
      </c>
      <c r="BL17" s="67">
        <f t="shared" si="80"/>
        <v>20.000000000010232</v>
      </c>
      <c r="BM17" s="62">
        <v>212.53</v>
      </c>
      <c r="BN17" s="67">
        <f t="shared" si="81"/>
        <v>20.000000000010232</v>
      </c>
      <c r="BO17" s="62">
        <v>276.87</v>
      </c>
      <c r="BP17" s="67">
        <f t="shared" si="82"/>
        <v>30.000000000029559</v>
      </c>
      <c r="BQ17" s="62">
        <v>38320</v>
      </c>
      <c r="BR17" s="67">
        <f t="shared" si="56"/>
        <v>13</v>
      </c>
      <c r="BS17" s="62">
        <v>192.69</v>
      </c>
      <c r="BT17" s="67">
        <f t="shared" si="83"/>
        <v>20.000000000010232</v>
      </c>
      <c r="BU17" s="62">
        <v>29317</v>
      </c>
      <c r="BV17" s="67">
        <f t="shared" si="57"/>
        <v>7</v>
      </c>
      <c r="BW17" s="62">
        <v>222.8</v>
      </c>
      <c r="BX17" s="67">
        <f t="shared" si="84"/>
        <v>10.000000000019327</v>
      </c>
      <c r="BY17" s="62">
        <v>47959</v>
      </c>
      <c r="BZ17" s="67">
        <f t="shared" si="58"/>
        <v>23</v>
      </c>
      <c r="CA17" s="62">
        <v>27500.7</v>
      </c>
      <c r="CB17" s="67">
        <f t="shared" si="59"/>
        <v>0</v>
      </c>
      <c r="CC17" s="62">
        <v>11250.4</v>
      </c>
      <c r="CD17" s="67">
        <f t="shared" si="60"/>
        <v>0</v>
      </c>
      <c r="CE17" s="62">
        <v>5487.5</v>
      </c>
      <c r="CF17" s="67">
        <f t="shared" si="61"/>
        <v>0</v>
      </c>
      <c r="CG17" s="62">
        <v>44294.1</v>
      </c>
      <c r="CH17" s="67">
        <f t="shared" si="62"/>
        <v>65.099999999998545</v>
      </c>
      <c r="CI17" s="62">
        <v>852854</v>
      </c>
      <c r="CJ17" s="67">
        <f t="shared" si="63"/>
        <v>229</v>
      </c>
      <c r="CK17" s="62">
        <v>560.79</v>
      </c>
      <c r="CL17" s="66">
        <f t="shared" si="64"/>
        <v>370.00000000000455</v>
      </c>
      <c r="CM17" s="67">
        <v>22</v>
      </c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>
        <v>1.6890000000000001</v>
      </c>
      <c r="D18" s="66">
        <f t="shared" si="42"/>
        <v>1300.0000000000789</v>
      </c>
      <c r="E18" s="60">
        <v>2.6970999999999998</v>
      </c>
      <c r="F18" s="66">
        <f t="shared" si="43"/>
        <v>899.99999999967883</v>
      </c>
      <c r="G18" s="60">
        <v>2.5249000000000001</v>
      </c>
      <c r="H18" s="66">
        <f t="shared" si="44"/>
        <v>1800.0000000002458</v>
      </c>
      <c r="I18" s="60">
        <v>1.2121</v>
      </c>
      <c r="J18" s="66">
        <f t="shared" si="85"/>
        <v>1099.9999999998788</v>
      </c>
      <c r="K18" s="60">
        <v>1.8658999999999999</v>
      </c>
      <c r="L18" s="66">
        <f t="shared" si="45"/>
        <v>2199.9999999999795</v>
      </c>
      <c r="M18" s="60">
        <v>1.1853</v>
      </c>
      <c r="N18" s="66">
        <f t="shared" si="46"/>
        <v>1000.0000000001119</v>
      </c>
      <c r="O18" s="60">
        <v>12567</v>
      </c>
      <c r="P18" s="67">
        <f t="shared" si="47"/>
        <v>1</v>
      </c>
      <c r="Q18" s="60">
        <v>5350</v>
      </c>
      <c r="R18" s="67">
        <f t="shared" si="48"/>
        <v>4</v>
      </c>
      <c r="S18" s="60">
        <v>828600</v>
      </c>
      <c r="T18" s="67">
        <f t="shared" si="86"/>
        <v>181</v>
      </c>
      <c r="U18" s="60">
        <v>336559</v>
      </c>
      <c r="V18" s="67">
        <f t="shared" si="50"/>
        <v>97</v>
      </c>
      <c r="W18" s="60">
        <v>329.65</v>
      </c>
      <c r="X18" s="67">
        <f t="shared" si="65"/>
        <v>179.99999999994998</v>
      </c>
      <c r="Y18" s="60">
        <v>2.3820999999999999</v>
      </c>
      <c r="Z18" s="67">
        <f t="shared" si="66"/>
        <v>599.99999999993395</v>
      </c>
      <c r="AA18" s="60">
        <v>325.44</v>
      </c>
      <c r="AB18" s="67">
        <f t="shared" si="67"/>
        <v>89.999999999974989</v>
      </c>
      <c r="AC18" s="60">
        <v>303.54000000000002</v>
      </c>
      <c r="AD18" s="67">
        <f t="shared" si="68"/>
        <v>310.00000000000227</v>
      </c>
      <c r="AE18" s="60">
        <v>475.1</v>
      </c>
      <c r="AF18" s="67">
        <f t="shared" si="69"/>
        <v>450.00000000004547</v>
      </c>
      <c r="AG18" s="60">
        <v>1215.4000000000001</v>
      </c>
      <c r="AH18" s="67">
        <f t="shared" si="51"/>
        <v>1.3000000000001819</v>
      </c>
      <c r="AI18" s="60">
        <v>413.57</v>
      </c>
      <c r="AJ18" s="67">
        <f t="shared" si="70"/>
        <v>300.00000000001137</v>
      </c>
      <c r="AK18" s="60">
        <v>148.19999999999999</v>
      </c>
      <c r="AL18" s="67">
        <f t="shared" si="52"/>
        <v>0.15999999999999659</v>
      </c>
      <c r="AM18" s="60">
        <v>148.27000000000001</v>
      </c>
      <c r="AN18" s="67">
        <f t="shared" si="53"/>
        <v>7.00000000000216E-2</v>
      </c>
      <c r="AO18" s="60">
        <v>144.86000000000001</v>
      </c>
      <c r="AP18" s="67">
        <f t="shared" si="54"/>
        <v>0.13000000000002387</v>
      </c>
      <c r="AQ18" s="60">
        <v>216.07</v>
      </c>
      <c r="AR18" s="67">
        <f t="shared" si="71"/>
        <v>69.999999999993179</v>
      </c>
      <c r="AS18" s="60">
        <v>342.5</v>
      </c>
      <c r="AT18" s="67">
        <f t="shared" si="72"/>
        <v>79.999999999984084</v>
      </c>
      <c r="AU18" s="60">
        <v>264.35000000000002</v>
      </c>
      <c r="AV18" s="67">
        <f t="shared" si="73"/>
        <v>60.000000000002274</v>
      </c>
      <c r="AW18" s="60">
        <v>291.82</v>
      </c>
      <c r="AX18" s="67">
        <f t="shared" si="74"/>
        <v>60.000000000002274</v>
      </c>
      <c r="AY18" s="60">
        <v>342.91</v>
      </c>
      <c r="AZ18" s="67">
        <f t="shared" si="75"/>
        <v>60.000000000002274</v>
      </c>
      <c r="BA18" s="60">
        <v>363.02</v>
      </c>
      <c r="BB18" s="67">
        <f t="shared" si="76"/>
        <v>60.000000000002274</v>
      </c>
      <c r="BC18" s="60">
        <v>203.35</v>
      </c>
      <c r="BD18" s="67">
        <f t="shared" si="77"/>
        <v>19.99999999998181</v>
      </c>
      <c r="BE18" s="61">
        <v>28420</v>
      </c>
      <c r="BF18" s="67">
        <f t="shared" si="55"/>
        <v>36</v>
      </c>
      <c r="BG18" s="62">
        <v>223.93</v>
      </c>
      <c r="BH18" s="67">
        <f t="shared" si="78"/>
        <v>30.000000000001137</v>
      </c>
      <c r="BI18" s="62">
        <v>281.54000000000002</v>
      </c>
      <c r="BJ18" s="67">
        <f t="shared" si="79"/>
        <v>20.000000000038654</v>
      </c>
      <c r="BK18" s="62">
        <v>229.52</v>
      </c>
      <c r="BL18" s="67">
        <f t="shared" si="80"/>
        <v>30.000000000001137</v>
      </c>
      <c r="BM18" s="62">
        <v>212.56</v>
      </c>
      <c r="BN18" s="67">
        <f t="shared" si="81"/>
        <v>30.000000000001137</v>
      </c>
      <c r="BO18" s="62">
        <v>276.91000000000003</v>
      </c>
      <c r="BP18" s="67">
        <f t="shared" si="82"/>
        <v>40.000000000020464</v>
      </c>
      <c r="BQ18" s="62">
        <v>38328</v>
      </c>
      <c r="BR18" s="67">
        <f t="shared" si="56"/>
        <v>8</v>
      </c>
      <c r="BS18" s="62">
        <v>192.73</v>
      </c>
      <c r="BT18" s="67">
        <f t="shared" si="83"/>
        <v>39.999999999992042</v>
      </c>
      <c r="BU18" s="62">
        <v>29332</v>
      </c>
      <c r="BV18" s="67">
        <f t="shared" si="57"/>
        <v>15</v>
      </c>
      <c r="BW18" s="62">
        <v>222.83</v>
      </c>
      <c r="BX18" s="67">
        <f t="shared" si="84"/>
        <v>30.000000000001137</v>
      </c>
      <c r="BY18" s="62">
        <v>47985</v>
      </c>
      <c r="BZ18" s="67">
        <f t="shared" si="58"/>
        <v>26</v>
      </c>
      <c r="CA18" s="62">
        <v>27500.7</v>
      </c>
      <c r="CB18" s="67">
        <f t="shared" si="59"/>
        <v>0</v>
      </c>
      <c r="CC18" s="62">
        <v>11250.4</v>
      </c>
      <c r="CD18" s="67">
        <f t="shared" si="60"/>
        <v>0</v>
      </c>
      <c r="CE18" s="62">
        <v>5487.5</v>
      </c>
      <c r="CF18" s="67">
        <f t="shared" si="61"/>
        <v>0</v>
      </c>
      <c r="CG18" s="62">
        <v>44358.2</v>
      </c>
      <c r="CH18" s="67">
        <f t="shared" si="62"/>
        <v>64.099999999998545</v>
      </c>
      <c r="CI18" s="62">
        <v>853114</v>
      </c>
      <c r="CJ18" s="67">
        <f t="shared" si="63"/>
        <v>260</v>
      </c>
      <c r="CK18" s="62">
        <v>561.21</v>
      </c>
      <c r="CL18" s="66">
        <f t="shared" si="64"/>
        <v>420.00000000007276</v>
      </c>
      <c r="CM18" s="67">
        <v>39</v>
      </c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>
        <v>1.6904999999999999</v>
      </c>
      <c r="D19" s="66">
        <f t="shared" si="42"/>
        <v>1499.9999999998347</v>
      </c>
      <c r="E19" s="60">
        <v>2.698</v>
      </c>
      <c r="F19" s="66">
        <f t="shared" si="43"/>
        <v>900.0000000001229</v>
      </c>
      <c r="G19" s="60">
        <v>2.5266999999999999</v>
      </c>
      <c r="H19" s="66">
        <f t="shared" si="44"/>
        <v>1799.9999999998017</v>
      </c>
      <c r="I19" s="60">
        <v>1.2134</v>
      </c>
      <c r="J19" s="66">
        <f t="shared" si="85"/>
        <v>1300.0000000000789</v>
      </c>
      <c r="K19" s="60">
        <v>1.8683000000000001</v>
      </c>
      <c r="L19" s="66">
        <f t="shared" si="45"/>
        <v>2400.0000000001796</v>
      </c>
      <c r="M19" s="60">
        <v>1.1863999999999999</v>
      </c>
      <c r="N19" s="66">
        <f t="shared" si="46"/>
        <v>1099.9999999998788</v>
      </c>
      <c r="O19" s="60">
        <v>12567</v>
      </c>
      <c r="P19" s="67">
        <f t="shared" si="47"/>
        <v>0</v>
      </c>
      <c r="Q19" s="60">
        <v>5355</v>
      </c>
      <c r="R19" s="67">
        <f t="shared" si="48"/>
        <v>5</v>
      </c>
      <c r="S19" s="60">
        <v>828709</v>
      </c>
      <c r="T19" s="67">
        <f t="shared" si="86"/>
        <v>109</v>
      </c>
      <c r="U19" s="60">
        <v>336649</v>
      </c>
      <c r="V19" s="67">
        <f t="shared" si="50"/>
        <v>90</v>
      </c>
      <c r="W19" s="60">
        <v>329.85</v>
      </c>
      <c r="X19" s="67">
        <f t="shared" si="65"/>
        <v>200.00000000004547</v>
      </c>
      <c r="Y19" s="60">
        <v>2.3826999999999998</v>
      </c>
      <c r="Z19" s="67">
        <f t="shared" si="66"/>
        <v>599.99999999993395</v>
      </c>
      <c r="AA19" s="60">
        <v>325.52999999999997</v>
      </c>
      <c r="AB19" s="67">
        <f t="shared" si="67"/>
        <v>89.999999999974989</v>
      </c>
      <c r="AC19" s="60">
        <v>303.89999999999998</v>
      </c>
      <c r="AD19" s="67">
        <f t="shared" si="68"/>
        <v>359.9999999999568</v>
      </c>
      <c r="AE19" s="60">
        <v>475.66</v>
      </c>
      <c r="AF19" s="67">
        <f t="shared" si="69"/>
        <v>560.00000000000227</v>
      </c>
      <c r="AG19" s="60">
        <v>1216.4000000000001</v>
      </c>
      <c r="AH19" s="67">
        <f t="shared" si="51"/>
        <v>1</v>
      </c>
      <c r="AI19" s="60">
        <v>413.93</v>
      </c>
      <c r="AJ19" s="67">
        <f t="shared" si="70"/>
        <v>360.00000000001364</v>
      </c>
      <c r="AK19" s="60">
        <v>148.36000000000001</v>
      </c>
      <c r="AL19" s="67">
        <f t="shared" si="52"/>
        <v>0.16000000000002501</v>
      </c>
      <c r="AM19" s="60">
        <v>148.38</v>
      </c>
      <c r="AN19" s="67">
        <f t="shared" si="53"/>
        <v>0.10999999999998522</v>
      </c>
      <c r="AO19" s="60">
        <v>144.97999999999999</v>
      </c>
      <c r="AP19" s="67">
        <f t="shared" si="54"/>
        <v>0.11999999999997613</v>
      </c>
      <c r="AQ19" s="60">
        <v>216.17</v>
      </c>
      <c r="AR19" s="67">
        <f t="shared" si="71"/>
        <v>99.999999999994316</v>
      </c>
      <c r="AS19" s="60">
        <v>342.6</v>
      </c>
      <c r="AT19" s="67">
        <f t="shared" si="72"/>
        <v>100.00000000002274</v>
      </c>
      <c r="AU19" s="60">
        <v>264.42</v>
      </c>
      <c r="AV19" s="67">
        <f t="shared" si="73"/>
        <v>69.999999999993179</v>
      </c>
      <c r="AW19" s="60">
        <v>291.89999999999998</v>
      </c>
      <c r="AX19" s="67">
        <f t="shared" si="74"/>
        <v>79.999999999984084</v>
      </c>
      <c r="AY19" s="60">
        <v>343</v>
      </c>
      <c r="AZ19" s="67">
        <f t="shared" si="75"/>
        <v>89.999999999974989</v>
      </c>
      <c r="BA19" s="60">
        <v>363.1</v>
      </c>
      <c r="BB19" s="67">
        <f t="shared" si="76"/>
        <v>80.000000000040927</v>
      </c>
      <c r="BC19" s="60">
        <v>203.36</v>
      </c>
      <c r="BD19" s="67">
        <f t="shared" si="77"/>
        <v>10.000000000019327</v>
      </c>
      <c r="BE19" s="61">
        <v>28460</v>
      </c>
      <c r="BF19" s="67">
        <f t="shared" si="55"/>
        <v>40</v>
      </c>
      <c r="BG19" s="62">
        <v>223.96</v>
      </c>
      <c r="BH19" s="67">
        <f t="shared" si="78"/>
        <v>30.000000000001137</v>
      </c>
      <c r="BI19" s="62">
        <v>281.58</v>
      </c>
      <c r="BJ19" s="67">
        <f t="shared" si="79"/>
        <v>39.99999999996362</v>
      </c>
      <c r="BK19" s="62">
        <v>229.55</v>
      </c>
      <c r="BL19" s="67">
        <f t="shared" si="80"/>
        <v>30.000000000001137</v>
      </c>
      <c r="BM19" s="62">
        <v>212.61</v>
      </c>
      <c r="BN19" s="67">
        <f t="shared" si="81"/>
        <v>50.000000000011369</v>
      </c>
      <c r="BO19" s="62">
        <v>276.95999999999998</v>
      </c>
      <c r="BP19" s="67">
        <f t="shared" si="82"/>
        <v>49.999999999954525</v>
      </c>
      <c r="BQ19" s="62">
        <v>38363</v>
      </c>
      <c r="BR19" s="67">
        <f t="shared" si="56"/>
        <v>35</v>
      </c>
      <c r="BS19" s="62">
        <v>192.78</v>
      </c>
      <c r="BT19" s="67">
        <f t="shared" si="83"/>
        <v>50.000000000011369</v>
      </c>
      <c r="BU19" s="62">
        <v>29353</v>
      </c>
      <c r="BV19" s="67">
        <f t="shared" si="57"/>
        <v>21</v>
      </c>
      <c r="BW19" s="62">
        <v>222.85</v>
      </c>
      <c r="BX19" s="67">
        <f t="shared" si="84"/>
        <v>19.99999999998181</v>
      </c>
      <c r="BY19" s="62">
        <v>48015</v>
      </c>
      <c r="BZ19" s="67">
        <f t="shared" si="58"/>
        <v>30</v>
      </c>
      <c r="CA19" s="62">
        <v>27500.7</v>
      </c>
      <c r="CB19" s="67">
        <f t="shared" si="59"/>
        <v>0</v>
      </c>
      <c r="CC19" s="62">
        <v>11250.4</v>
      </c>
      <c r="CD19" s="67">
        <f t="shared" si="60"/>
        <v>0</v>
      </c>
      <c r="CE19" s="62">
        <v>5487.5</v>
      </c>
      <c r="CF19" s="67">
        <f t="shared" si="61"/>
        <v>0</v>
      </c>
      <c r="CG19" s="62">
        <v>44427.3</v>
      </c>
      <c r="CH19" s="67">
        <f t="shared" si="62"/>
        <v>69.100000000005821</v>
      </c>
      <c r="CI19" s="62">
        <v>853344</v>
      </c>
      <c r="CJ19" s="67">
        <f t="shared" si="63"/>
        <v>230</v>
      </c>
      <c r="CK19" s="62">
        <v>561.66999999999996</v>
      </c>
      <c r="CL19" s="66">
        <f t="shared" si="64"/>
        <v>459.99999999992269</v>
      </c>
      <c r="CM19" s="67">
        <v>30</v>
      </c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>
        <v>1.6920999999999999</v>
      </c>
      <c r="D20" s="66">
        <f t="shared" si="42"/>
        <v>1600.0000000000459</v>
      </c>
      <c r="E20" s="60">
        <v>2.6989999999999998</v>
      </c>
      <c r="F20" s="66">
        <f t="shared" si="43"/>
        <v>999.99999999988984</v>
      </c>
      <c r="G20" s="60">
        <v>2.5283000000000002</v>
      </c>
      <c r="H20" s="66">
        <f t="shared" si="44"/>
        <v>1600.0000000002678</v>
      </c>
      <c r="I20" s="60">
        <v>1.2145999999999999</v>
      </c>
      <c r="J20" s="66">
        <f t="shared" si="85"/>
        <v>1199.9999999998679</v>
      </c>
      <c r="K20" s="60">
        <v>1.8707</v>
      </c>
      <c r="L20" s="66">
        <f t="shared" si="45"/>
        <v>2399.9999999999577</v>
      </c>
      <c r="M20" s="60">
        <v>1.1876</v>
      </c>
      <c r="N20" s="66">
        <f t="shared" si="46"/>
        <v>1200.0000000000898</v>
      </c>
      <c r="O20" s="60">
        <v>12567</v>
      </c>
      <c r="P20" s="67">
        <f t="shared" si="47"/>
        <v>0</v>
      </c>
      <c r="Q20" s="60">
        <v>5360</v>
      </c>
      <c r="R20" s="67">
        <f t="shared" si="48"/>
        <v>5</v>
      </c>
      <c r="S20" s="60">
        <v>828785</v>
      </c>
      <c r="T20" s="67">
        <f t="shared" si="86"/>
        <v>76</v>
      </c>
      <c r="U20" s="60">
        <v>336693</v>
      </c>
      <c r="V20" s="67">
        <f t="shared" si="50"/>
        <v>44</v>
      </c>
      <c r="W20" s="60">
        <v>330.05</v>
      </c>
      <c r="X20" s="67">
        <f t="shared" si="65"/>
        <v>199.99999999998863</v>
      </c>
      <c r="Y20" s="60">
        <v>2.3832</v>
      </c>
      <c r="Z20" s="67">
        <f t="shared" si="66"/>
        <v>500.00000000016701</v>
      </c>
      <c r="AA20" s="60">
        <v>325.63</v>
      </c>
      <c r="AB20" s="67">
        <f t="shared" si="67"/>
        <v>100.00000000002274</v>
      </c>
      <c r="AC20" s="60">
        <v>304.27999999999997</v>
      </c>
      <c r="AD20" s="67">
        <f t="shared" si="68"/>
        <v>379.99999999999545</v>
      </c>
      <c r="AE20" s="60">
        <v>476.24</v>
      </c>
      <c r="AF20" s="67">
        <v>1217.5999999999999</v>
      </c>
      <c r="AG20" s="60">
        <v>1217.5999999999999</v>
      </c>
      <c r="AH20" s="67">
        <f t="shared" si="51"/>
        <v>1.1999999999998181</v>
      </c>
      <c r="AI20" s="60">
        <v>414.17</v>
      </c>
      <c r="AJ20" s="67">
        <f t="shared" si="70"/>
        <v>240.00000000000909</v>
      </c>
      <c r="AK20" s="60">
        <v>148.54</v>
      </c>
      <c r="AL20" s="67">
        <f t="shared" si="52"/>
        <v>0.1799999999999784</v>
      </c>
      <c r="AM20" s="60">
        <v>148.51</v>
      </c>
      <c r="AN20" s="67">
        <f t="shared" si="53"/>
        <v>0.12999999999999545</v>
      </c>
      <c r="AO20" s="60">
        <v>145.08000000000001</v>
      </c>
      <c r="AP20" s="67">
        <f t="shared" si="54"/>
        <v>0.10000000000002274</v>
      </c>
      <c r="AQ20" s="60">
        <v>216.28</v>
      </c>
      <c r="AR20" s="67">
        <f t="shared" si="71"/>
        <v>110.00000000001364</v>
      </c>
      <c r="AS20" s="60">
        <v>342.71</v>
      </c>
      <c r="AT20" s="67">
        <f t="shared" si="72"/>
        <v>109.9999999999568</v>
      </c>
      <c r="AU20" s="60">
        <v>264.51</v>
      </c>
      <c r="AV20" s="67">
        <f t="shared" si="73"/>
        <v>89.999999999974989</v>
      </c>
      <c r="AW20" s="60">
        <v>291.99</v>
      </c>
      <c r="AX20" s="67">
        <f t="shared" si="74"/>
        <v>90.000000000031832</v>
      </c>
      <c r="AY20" s="60">
        <v>343.09</v>
      </c>
      <c r="AZ20" s="67">
        <f t="shared" si="75"/>
        <v>89.999999999974989</v>
      </c>
      <c r="BA20" s="60">
        <v>363.19</v>
      </c>
      <c r="BB20" s="67">
        <f t="shared" si="76"/>
        <v>89.999999999974989</v>
      </c>
      <c r="BC20" s="60">
        <v>203.36</v>
      </c>
      <c r="BD20" s="67">
        <f t="shared" si="77"/>
        <v>0</v>
      </c>
      <c r="BE20" s="61">
        <v>28481</v>
      </c>
      <c r="BF20" s="67">
        <f t="shared" si="55"/>
        <v>21</v>
      </c>
      <c r="BG20" s="62">
        <v>224</v>
      </c>
      <c r="BH20" s="67">
        <f t="shared" si="78"/>
        <v>39.999999999992042</v>
      </c>
      <c r="BI20" s="62">
        <v>281.62</v>
      </c>
      <c r="BJ20" s="67">
        <f t="shared" si="79"/>
        <v>40.000000000020464</v>
      </c>
      <c r="BK20" s="62">
        <v>229.59</v>
      </c>
      <c r="BL20" s="67">
        <f t="shared" si="80"/>
        <v>39.999999999992042</v>
      </c>
      <c r="BM20" s="62">
        <v>212.66</v>
      </c>
      <c r="BN20" s="67">
        <f t="shared" si="81"/>
        <v>49.999999999982947</v>
      </c>
      <c r="BO20" s="62">
        <v>277.01</v>
      </c>
      <c r="BP20" s="67">
        <f t="shared" si="82"/>
        <v>50.000000000011369</v>
      </c>
      <c r="BQ20" s="62">
        <v>38385</v>
      </c>
      <c r="BR20" s="67">
        <f t="shared" si="56"/>
        <v>22</v>
      </c>
      <c r="BS20" s="62">
        <v>192.83</v>
      </c>
      <c r="BT20" s="67">
        <f t="shared" si="83"/>
        <v>50.000000000011369</v>
      </c>
      <c r="BU20" s="62">
        <v>29373</v>
      </c>
      <c r="BV20" s="67">
        <f t="shared" si="57"/>
        <v>20</v>
      </c>
      <c r="BW20" s="62">
        <v>222.89</v>
      </c>
      <c r="BX20" s="67">
        <f t="shared" si="84"/>
        <v>39.999999999992042</v>
      </c>
      <c r="BY20" s="62">
        <v>48046</v>
      </c>
      <c r="BZ20" s="67">
        <f t="shared" si="58"/>
        <v>31</v>
      </c>
      <c r="CA20" s="62">
        <v>27500.7</v>
      </c>
      <c r="CB20" s="67">
        <f t="shared" si="59"/>
        <v>0</v>
      </c>
      <c r="CC20" s="62">
        <v>11250.4</v>
      </c>
      <c r="CD20" s="67">
        <f t="shared" si="60"/>
        <v>0</v>
      </c>
      <c r="CE20" s="62">
        <v>5487.5</v>
      </c>
      <c r="CF20" s="67">
        <f t="shared" si="61"/>
        <v>0</v>
      </c>
      <c r="CG20" s="62">
        <v>44500.05</v>
      </c>
      <c r="CH20" s="67">
        <f t="shared" si="62"/>
        <v>72.75</v>
      </c>
      <c r="CI20" s="62">
        <v>853587</v>
      </c>
      <c r="CJ20" s="67">
        <f t="shared" si="63"/>
        <v>243</v>
      </c>
      <c r="CK20" s="62">
        <v>562.12</v>
      </c>
      <c r="CL20" s="66">
        <f t="shared" si="64"/>
        <v>450.00000000004547</v>
      </c>
      <c r="CM20" s="67">
        <v>30</v>
      </c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>
        <v>1.6935</v>
      </c>
      <c r="D21" s="66">
        <f t="shared" si="42"/>
        <v>1400.0000000000678</v>
      </c>
      <c r="E21" s="60">
        <v>2.7</v>
      </c>
      <c r="F21" s="66">
        <f t="shared" si="43"/>
        <v>1000.000000000334</v>
      </c>
      <c r="G21" s="60">
        <v>2.5301</v>
      </c>
      <c r="H21" s="66">
        <f t="shared" si="44"/>
        <v>1799.9999999998017</v>
      </c>
      <c r="I21" s="60">
        <v>1.2159</v>
      </c>
      <c r="J21" s="66">
        <f t="shared" si="85"/>
        <v>1300.0000000000789</v>
      </c>
      <c r="K21" s="60">
        <v>1.8729</v>
      </c>
      <c r="L21" s="66">
        <f t="shared" si="45"/>
        <v>2199.9999999999795</v>
      </c>
      <c r="M21" s="60">
        <v>1.1888000000000001</v>
      </c>
      <c r="N21" s="66">
        <f t="shared" si="46"/>
        <v>1200.0000000000898</v>
      </c>
      <c r="O21" s="60">
        <v>12569</v>
      </c>
      <c r="P21" s="67">
        <f t="shared" si="47"/>
        <v>2</v>
      </c>
      <c r="Q21" s="60">
        <v>5364</v>
      </c>
      <c r="R21" s="67">
        <f t="shared" si="48"/>
        <v>4</v>
      </c>
      <c r="S21" s="60">
        <v>828966</v>
      </c>
      <c r="T21" s="67">
        <f t="shared" si="86"/>
        <v>181</v>
      </c>
      <c r="U21" s="60">
        <v>336784</v>
      </c>
      <c r="V21" s="67">
        <f t="shared" si="50"/>
        <v>91</v>
      </c>
      <c r="W21" s="60">
        <v>330.25</v>
      </c>
      <c r="X21" s="67">
        <f t="shared" si="65"/>
        <v>199.99999999998863</v>
      </c>
      <c r="Y21" s="60">
        <v>2.3839999999999999</v>
      </c>
      <c r="Z21" s="67">
        <f t="shared" si="66"/>
        <v>799.99999999991189</v>
      </c>
      <c r="AA21" s="60">
        <v>325.74</v>
      </c>
      <c r="AB21" s="67">
        <f t="shared" si="67"/>
        <v>110.00000000001364</v>
      </c>
      <c r="AC21" s="60">
        <v>304.64999999999998</v>
      </c>
      <c r="AD21" s="67">
        <f t="shared" si="68"/>
        <v>370.00000000000455</v>
      </c>
      <c r="AE21" s="60">
        <v>476.85</v>
      </c>
      <c r="AF21" s="67">
        <f t="shared" si="69"/>
        <v>610.00000000001364</v>
      </c>
      <c r="AG21" s="60">
        <v>1218.8</v>
      </c>
      <c r="AH21" s="67">
        <f t="shared" si="51"/>
        <v>1.2000000000000455</v>
      </c>
      <c r="AI21" s="60">
        <v>414.4</v>
      </c>
      <c r="AJ21" s="67">
        <f t="shared" si="70"/>
        <v>229.99999999996135</v>
      </c>
      <c r="AK21" s="60">
        <v>148.69999999999999</v>
      </c>
      <c r="AL21" s="67">
        <f t="shared" si="52"/>
        <v>0.15999999999999659</v>
      </c>
      <c r="AM21" s="60">
        <v>148.65</v>
      </c>
      <c r="AN21" s="67">
        <f t="shared" si="53"/>
        <v>0.14000000000001478</v>
      </c>
      <c r="AO21" s="60">
        <v>145.08000000000001</v>
      </c>
      <c r="AP21" s="67">
        <f t="shared" si="54"/>
        <v>0</v>
      </c>
      <c r="AQ21" s="60">
        <v>216.38</v>
      </c>
      <c r="AR21" s="67">
        <f t="shared" si="71"/>
        <v>99.999999999994316</v>
      </c>
      <c r="AS21" s="60">
        <v>342.82</v>
      </c>
      <c r="AT21" s="67">
        <f t="shared" si="72"/>
        <v>110.00000000001364</v>
      </c>
      <c r="AU21" s="60">
        <v>264.58999999999997</v>
      </c>
      <c r="AV21" s="67">
        <f t="shared" si="73"/>
        <v>79.999999999984084</v>
      </c>
      <c r="AW21" s="60">
        <v>292.08999999999997</v>
      </c>
      <c r="AX21" s="67">
        <f t="shared" si="74"/>
        <v>99.999999999965894</v>
      </c>
      <c r="AY21" s="60">
        <v>343.18</v>
      </c>
      <c r="AZ21" s="67">
        <f t="shared" si="75"/>
        <v>90.000000000031832</v>
      </c>
      <c r="BA21" s="60">
        <v>363.28</v>
      </c>
      <c r="BB21" s="67">
        <f t="shared" si="76"/>
        <v>89.999999999974989</v>
      </c>
      <c r="BC21" s="60">
        <v>203.37</v>
      </c>
      <c r="BD21" s="67">
        <f t="shared" si="77"/>
        <v>9.9999999999909051</v>
      </c>
      <c r="BE21" s="61">
        <v>28511</v>
      </c>
      <c r="BF21" s="67">
        <f t="shared" si="55"/>
        <v>30</v>
      </c>
      <c r="BG21" s="62">
        <v>224.04</v>
      </c>
      <c r="BH21" s="67">
        <f t="shared" si="78"/>
        <v>39.999999999992042</v>
      </c>
      <c r="BI21" s="62">
        <v>281.66000000000003</v>
      </c>
      <c r="BJ21" s="67">
        <f t="shared" si="79"/>
        <v>40.000000000020464</v>
      </c>
      <c r="BK21" s="62">
        <v>229.61</v>
      </c>
      <c r="BL21" s="67">
        <f t="shared" si="80"/>
        <v>20.000000000010232</v>
      </c>
      <c r="BM21" s="62">
        <v>212.7</v>
      </c>
      <c r="BN21" s="67">
        <f t="shared" si="81"/>
        <v>39.999999999992042</v>
      </c>
      <c r="BO21" s="62">
        <v>277.06</v>
      </c>
      <c r="BP21" s="67">
        <f t="shared" si="82"/>
        <v>50.000000000011369</v>
      </c>
      <c r="BQ21" s="62">
        <v>38409</v>
      </c>
      <c r="BR21" s="67">
        <f t="shared" si="56"/>
        <v>24</v>
      </c>
      <c r="BS21" s="62">
        <v>192.87</v>
      </c>
      <c r="BT21" s="67">
        <f t="shared" si="83"/>
        <v>39.999999999992042</v>
      </c>
      <c r="BU21" s="62">
        <v>29404</v>
      </c>
      <c r="BV21" s="67">
        <f t="shared" si="57"/>
        <v>31</v>
      </c>
      <c r="BW21" s="62">
        <v>222.92</v>
      </c>
      <c r="BX21" s="67">
        <f t="shared" si="84"/>
        <v>30.000000000001137</v>
      </c>
      <c r="BY21" s="62">
        <v>48078</v>
      </c>
      <c r="BZ21" s="67">
        <f t="shared" si="58"/>
        <v>32</v>
      </c>
      <c r="CA21" s="62">
        <v>27500.7</v>
      </c>
      <c r="CB21" s="67">
        <f t="shared" si="59"/>
        <v>0</v>
      </c>
      <c r="CC21" s="62">
        <v>11250.4</v>
      </c>
      <c r="CD21" s="67">
        <f t="shared" si="60"/>
        <v>0</v>
      </c>
      <c r="CE21" s="62">
        <v>5487.5</v>
      </c>
      <c r="CF21" s="67">
        <f t="shared" si="61"/>
        <v>0</v>
      </c>
      <c r="CG21" s="62">
        <v>44563</v>
      </c>
      <c r="CH21" s="67">
        <f t="shared" si="62"/>
        <v>62.94999999999709</v>
      </c>
      <c r="CI21" s="62">
        <v>853767</v>
      </c>
      <c r="CJ21" s="67">
        <f t="shared" si="63"/>
        <v>180</v>
      </c>
      <c r="CK21" s="62">
        <v>562.49</v>
      </c>
      <c r="CL21" s="66">
        <f t="shared" si="64"/>
        <v>370.00000000000455</v>
      </c>
      <c r="CM21" s="67">
        <v>33.799999999999997</v>
      </c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>
        <v>1.6947000000000001</v>
      </c>
      <c r="D22" s="66">
        <f t="shared" si="42"/>
        <v>1200.0000000000898</v>
      </c>
      <c r="E22" s="60">
        <v>2.7008000000000001</v>
      </c>
      <c r="F22" s="66">
        <f t="shared" si="43"/>
        <v>799.99999999991189</v>
      </c>
      <c r="G22" s="60">
        <v>2.5318000000000001</v>
      </c>
      <c r="H22" s="66">
        <f t="shared" si="44"/>
        <v>1700.0000000000348</v>
      </c>
      <c r="I22" s="60">
        <v>1.2170000000000001</v>
      </c>
      <c r="J22" s="66">
        <f t="shared" si="85"/>
        <v>1100.000000000101</v>
      </c>
      <c r="K22" s="60">
        <v>1.8751</v>
      </c>
      <c r="L22" s="66">
        <f t="shared" si="45"/>
        <v>2199.9999999999795</v>
      </c>
      <c r="M22" s="60">
        <v>1.1899</v>
      </c>
      <c r="N22" s="66">
        <f t="shared" si="46"/>
        <v>1099.9999999998788</v>
      </c>
      <c r="O22" s="60">
        <v>12571</v>
      </c>
      <c r="P22" s="67">
        <f t="shared" si="47"/>
        <v>2</v>
      </c>
      <c r="Q22" s="60">
        <v>5370</v>
      </c>
      <c r="R22" s="67">
        <f t="shared" si="48"/>
        <v>6</v>
      </c>
      <c r="S22" s="60">
        <v>829123</v>
      </c>
      <c r="T22" s="67">
        <f t="shared" si="86"/>
        <v>157</v>
      </c>
      <c r="U22" s="60">
        <v>336880</v>
      </c>
      <c r="V22" s="67">
        <f t="shared" si="50"/>
        <v>96</v>
      </c>
      <c r="W22" s="60">
        <v>330.42</v>
      </c>
      <c r="X22" s="67">
        <f t="shared" si="65"/>
        <v>170.00000000001592</v>
      </c>
      <c r="Y22" s="60">
        <v>2.3845000000000001</v>
      </c>
      <c r="Z22" s="67">
        <f t="shared" si="66"/>
        <v>500.00000000016701</v>
      </c>
      <c r="AA22" s="60">
        <v>325.85000000000002</v>
      </c>
      <c r="AB22" s="67">
        <f t="shared" si="67"/>
        <v>110.00000000001364</v>
      </c>
      <c r="AC22" s="60">
        <v>304.95999999999998</v>
      </c>
      <c r="AD22" s="67">
        <f t="shared" si="68"/>
        <v>310.00000000000227</v>
      </c>
      <c r="AE22" s="60">
        <v>477.41</v>
      </c>
      <c r="AF22" s="67">
        <f t="shared" si="69"/>
        <v>560.00000000000227</v>
      </c>
      <c r="AG22" s="60">
        <v>1219.8</v>
      </c>
      <c r="AH22" s="67">
        <f t="shared" si="51"/>
        <v>1</v>
      </c>
      <c r="AI22" s="60">
        <v>414.65</v>
      </c>
      <c r="AJ22" s="67">
        <f t="shared" si="70"/>
        <v>250</v>
      </c>
      <c r="AK22" s="60">
        <v>148.82</v>
      </c>
      <c r="AL22" s="67">
        <f t="shared" si="52"/>
        <v>0.12000000000000455</v>
      </c>
      <c r="AM22" s="60">
        <v>148.75</v>
      </c>
      <c r="AN22" s="67">
        <f t="shared" si="53"/>
        <v>9.9999999999994316E-2</v>
      </c>
      <c r="AO22" s="60">
        <v>145.30000000000001</v>
      </c>
      <c r="AP22" s="67">
        <f t="shared" si="54"/>
        <v>0.21999999999999886</v>
      </c>
      <c r="AQ22" s="60">
        <v>216.47</v>
      </c>
      <c r="AR22" s="67">
        <f t="shared" si="71"/>
        <v>90.000000000003411</v>
      </c>
      <c r="AS22" s="60">
        <v>342.91</v>
      </c>
      <c r="AT22" s="67">
        <f t="shared" si="72"/>
        <v>90.000000000031832</v>
      </c>
      <c r="AU22" s="60">
        <v>264.64</v>
      </c>
      <c r="AV22" s="67">
        <f t="shared" si="73"/>
        <v>50.000000000011369</v>
      </c>
      <c r="AW22" s="60">
        <v>292.16000000000003</v>
      </c>
      <c r="AX22" s="67">
        <f t="shared" si="74"/>
        <v>70.000000000050022</v>
      </c>
      <c r="AY22" s="60">
        <v>343.26</v>
      </c>
      <c r="AZ22" s="67">
        <f t="shared" si="75"/>
        <v>79.999999999984084</v>
      </c>
      <c r="BA22" s="60">
        <v>363.34</v>
      </c>
      <c r="BB22" s="67">
        <f t="shared" si="76"/>
        <v>60.000000000002274</v>
      </c>
      <c r="BC22" s="60">
        <v>203.39</v>
      </c>
      <c r="BD22" s="67">
        <f t="shared" si="77"/>
        <v>19.99999999998181</v>
      </c>
      <c r="BE22" s="61">
        <v>28535</v>
      </c>
      <c r="BF22" s="67">
        <f t="shared" si="55"/>
        <v>24</v>
      </c>
      <c r="BG22" s="62">
        <v>224.08</v>
      </c>
      <c r="BH22" s="67">
        <f t="shared" si="78"/>
        <v>40.000000000020464</v>
      </c>
      <c r="BI22" s="62">
        <v>281.69</v>
      </c>
      <c r="BJ22" s="67">
        <f t="shared" si="79"/>
        <v>29.999999999972715</v>
      </c>
      <c r="BK22" s="62">
        <v>229.65</v>
      </c>
      <c r="BL22" s="67">
        <f t="shared" si="80"/>
        <v>39.999999999992042</v>
      </c>
      <c r="BM22" s="62">
        <v>212.73</v>
      </c>
      <c r="BN22" s="67">
        <f t="shared" si="81"/>
        <v>30.000000000001137</v>
      </c>
      <c r="BO22" s="62">
        <v>277.11</v>
      </c>
      <c r="BP22" s="67">
        <f t="shared" si="82"/>
        <v>50.000000000011369</v>
      </c>
      <c r="BQ22" s="62">
        <v>38430</v>
      </c>
      <c r="BR22" s="67">
        <f t="shared" si="56"/>
        <v>21</v>
      </c>
      <c r="BS22" s="62">
        <v>192.9</v>
      </c>
      <c r="BT22" s="67">
        <f t="shared" si="83"/>
        <v>30.000000000001137</v>
      </c>
      <c r="BU22" s="62">
        <v>29428</v>
      </c>
      <c r="BV22" s="67">
        <f t="shared" si="57"/>
        <v>24</v>
      </c>
      <c r="BW22" s="62">
        <v>222.95</v>
      </c>
      <c r="BX22" s="67">
        <f t="shared" si="84"/>
        <v>30.000000000001137</v>
      </c>
      <c r="BY22" s="62">
        <v>48107</v>
      </c>
      <c r="BZ22" s="67">
        <f t="shared" si="58"/>
        <v>29</v>
      </c>
      <c r="CA22" s="62">
        <v>27500.7</v>
      </c>
      <c r="CB22" s="67">
        <f t="shared" si="59"/>
        <v>0</v>
      </c>
      <c r="CC22" s="62">
        <v>11250.4</v>
      </c>
      <c r="CD22" s="67">
        <f>IF((CC23-CC21&lt;0), "",CC23-CC21)</f>
        <v>0</v>
      </c>
      <c r="CE22" s="62">
        <v>5487.5</v>
      </c>
      <c r="CF22" s="67">
        <f t="shared" si="61"/>
        <v>0</v>
      </c>
      <c r="CG22" s="62">
        <v>44639.6</v>
      </c>
      <c r="CH22" s="67">
        <f t="shared" si="62"/>
        <v>76.599999999998545</v>
      </c>
      <c r="CI22" s="62">
        <v>853975</v>
      </c>
      <c r="CJ22" s="67">
        <f t="shared" si="63"/>
        <v>208</v>
      </c>
      <c r="CK22" s="62">
        <v>562.83000000000004</v>
      </c>
      <c r="CL22" s="66">
        <f t="shared" si="64"/>
        <v>340.00000000003183</v>
      </c>
      <c r="CM22" s="67">
        <v>23</v>
      </c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>
        <v>1.6961999999999999</v>
      </c>
      <c r="D23" s="66">
        <f t="shared" si="42"/>
        <v>1499.9999999998347</v>
      </c>
      <c r="E23" s="60">
        <v>2.7018</v>
      </c>
      <c r="F23" s="66">
        <f t="shared" si="43"/>
        <v>999.99999999988984</v>
      </c>
      <c r="G23" s="60">
        <v>2.5335000000000001</v>
      </c>
      <c r="H23" s="66">
        <f t="shared" si="44"/>
        <v>1700.0000000000348</v>
      </c>
      <c r="I23" s="60">
        <v>1.2181999999999999</v>
      </c>
      <c r="J23" s="66">
        <f t="shared" si="85"/>
        <v>1199.9999999998679</v>
      </c>
      <c r="K23" s="60">
        <v>1.8773</v>
      </c>
      <c r="L23" s="66">
        <f t="shared" si="45"/>
        <v>2199.9999999999795</v>
      </c>
      <c r="M23" s="60">
        <v>1.1910000000000001</v>
      </c>
      <c r="N23" s="66">
        <f t="shared" si="46"/>
        <v>1100.000000000101</v>
      </c>
      <c r="O23" s="60">
        <v>12573</v>
      </c>
      <c r="P23" s="67">
        <f t="shared" si="47"/>
        <v>2</v>
      </c>
      <c r="Q23" s="60">
        <v>5375</v>
      </c>
      <c r="R23" s="67">
        <f t="shared" si="48"/>
        <v>5</v>
      </c>
      <c r="S23" s="60">
        <v>829277</v>
      </c>
      <c r="T23" s="67">
        <f t="shared" si="86"/>
        <v>154</v>
      </c>
      <c r="U23" s="60">
        <v>336964</v>
      </c>
      <c r="V23" s="67">
        <f t="shared" si="50"/>
        <v>84</v>
      </c>
      <c r="W23" s="60">
        <v>330.61</v>
      </c>
      <c r="X23" s="67">
        <f t="shared" si="65"/>
        <v>189.99999999999773</v>
      </c>
      <c r="Y23" s="60">
        <v>2.3852000000000002</v>
      </c>
      <c r="Z23" s="67">
        <f t="shared" si="66"/>
        <v>700.00000000014495</v>
      </c>
      <c r="AA23" s="60">
        <v>325.92</v>
      </c>
      <c r="AB23" s="67">
        <f t="shared" si="67"/>
        <v>69.999999999993179</v>
      </c>
      <c r="AC23" s="60">
        <v>305.33</v>
      </c>
      <c r="AD23" s="67">
        <f t="shared" si="68"/>
        <v>370.00000000000455</v>
      </c>
      <c r="AE23" s="60">
        <v>478.02</v>
      </c>
      <c r="AF23" s="67">
        <f t="shared" si="69"/>
        <v>609.9999999999568</v>
      </c>
      <c r="AG23" s="60">
        <v>1221</v>
      </c>
      <c r="AH23" s="67">
        <f t="shared" si="51"/>
        <v>1.2000000000000455</v>
      </c>
      <c r="AI23" s="60">
        <v>414.91</v>
      </c>
      <c r="AJ23" s="67">
        <f t="shared" si="70"/>
        <v>260.00000000004775</v>
      </c>
      <c r="AK23" s="60">
        <v>148.97</v>
      </c>
      <c r="AL23" s="67">
        <f t="shared" si="52"/>
        <v>0.15000000000000568</v>
      </c>
      <c r="AM23" s="60">
        <v>148.88999999999999</v>
      </c>
      <c r="AN23" s="67">
        <f t="shared" si="53"/>
        <v>0.13999999999998636</v>
      </c>
      <c r="AO23" s="60">
        <v>145.41999999999999</v>
      </c>
      <c r="AP23" s="67">
        <f t="shared" si="54"/>
        <v>0.11999999999997613</v>
      </c>
      <c r="AQ23" s="60">
        <v>216.57</v>
      </c>
      <c r="AR23" s="67">
        <f t="shared" si="71"/>
        <v>99.999999999994316</v>
      </c>
      <c r="AS23" s="60">
        <v>343.01</v>
      </c>
      <c r="AT23" s="67">
        <f t="shared" si="72"/>
        <v>99.999999999965894</v>
      </c>
      <c r="AU23" s="60">
        <v>264.73</v>
      </c>
      <c r="AV23" s="67">
        <f t="shared" si="73"/>
        <v>90.000000000031832</v>
      </c>
      <c r="AW23" s="60">
        <v>292.25</v>
      </c>
      <c r="AX23" s="67">
        <f t="shared" si="74"/>
        <v>89.999999999974989</v>
      </c>
      <c r="AY23" s="60">
        <v>343.34</v>
      </c>
      <c r="AZ23" s="67">
        <f t="shared" si="75"/>
        <v>79.999999999984084</v>
      </c>
      <c r="BA23" s="60">
        <v>363.42</v>
      </c>
      <c r="BB23" s="67">
        <f t="shared" si="76"/>
        <v>80.000000000040927</v>
      </c>
      <c r="BC23" s="60">
        <v>203.4</v>
      </c>
      <c r="BD23" s="67">
        <f t="shared" si="77"/>
        <v>10.000000000019327</v>
      </c>
      <c r="BE23" s="61">
        <v>28560</v>
      </c>
      <c r="BF23" s="67">
        <f t="shared" si="55"/>
        <v>25</v>
      </c>
      <c r="BG23" s="62">
        <v>224.12</v>
      </c>
      <c r="BH23" s="67">
        <f t="shared" si="78"/>
        <v>39.999999999992042</v>
      </c>
      <c r="BI23" s="62">
        <v>281.73</v>
      </c>
      <c r="BJ23" s="67">
        <f t="shared" si="79"/>
        <v>40.000000000020464</v>
      </c>
      <c r="BK23" s="62">
        <v>229.68</v>
      </c>
      <c r="BL23" s="67">
        <f t="shared" si="80"/>
        <v>30.000000000001137</v>
      </c>
      <c r="BM23" s="62">
        <v>212.77</v>
      </c>
      <c r="BN23" s="67">
        <f t="shared" si="81"/>
        <v>40.000000000020464</v>
      </c>
      <c r="BO23" s="62">
        <v>277.16000000000003</v>
      </c>
      <c r="BP23" s="67">
        <f t="shared" si="82"/>
        <v>50.000000000011369</v>
      </c>
      <c r="BQ23" s="62">
        <v>38452</v>
      </c>
      <c r="BR23" s="67">
        <f t="shared" si="56"/>
        <v>22</v>
      </c>
      <c r="BS23" s="62">
        <v>192.93</v>
      </c>
      <c r="BT23" s="67">
        <f t="shared" si="83"/>
        <v>30.000000000001137</v>
      </c>
      <c r="BU23" s="62">
        <v>29457</v>
      </c>
      <c r="BV23" s="67">
        <f t="shared" si="57"/>
        <v>29</v>
      </c>
      <c r="BW23" s="62">
        <v>222.98</v>
      </c>
      <c r="BX23" s="67">
        <f t="shared" si="84"/>
        <v>30.000000000001137</v>
      </c>
      <c r="BY23" s="62">
        <v>48137</v>
      </c>
      <c r="BZ23" s="67">
        <f t="shared" si="58"/>
        <v>30</v>
      </c>
      <c r="CA23" s="62">
        <v>27500.7</v>
      </c>
      <c r="CB23" s="67">
        <f t="shared" si="59"/>
        <v>0</v>
      </c>
      <c r="CC23" s="62">
        <v>11250.4</v>
      </c>
      <c r="CD23" s="67">
        <f>IF((CC24-CC22&lt;0), "",CC24-CC22)</f>
        <v>0</v>
      </c>
      <c r="CE23" s="62">
        <v>5487.5</v>
      </c>
      <c r="CF23" s="67">
        <f t="shared" si="61"/>
        <v>0</v>
      </c>
      <c r="CG23" s="62">
        <v>44718</v>
      </c>
      <c r="CH23" s="67">
        <f t="shared" si="62"/>
        <v>78.400000000001455</v>
      </c>
      <c r="CI23" s="62">
        <v>854176</v>
      </c>
      <c r="CJ23" s="67">
        <f t="shared" si="63"/>
        <v>201</v>
      </c>
      <c r="CK23" s="62">
        <v>563.23</v>
      </c>
      <c r="CL23" s="66">
        <f t="shared" si="64"/>
        <v>399.99999999997726</v>
      </c>
      <c r="CM23" s="67">
        <v>16.5</v>
      </c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>
        <v>1.6973</v>
      </c>
      <c r="D24" s="66">
        <f t="shared" si="42"/>
        <v>1100.000000000101</v>
      </c>
      <c r="E24" s="60">
        <v>2.7025999999999999</v>
      </c>
      <c r="F24" s="66">
        <f t="shared" si="43"/>
        <v>799.99999999991189</v>
      </c>
      <c r="G24" s="60">
        <v>2.5350999999999999</v>
      </c>
      <c r="H24" s="66">
        <f t="shared" si="44"/>
        <v>1599.9999999998238</v>
      </c>
      <c r="I24" s="60">
        <v>1.2192000000000001</v>
      </c>
      <c r="J24" s="66">
        <f t="shared" si="85"/>
        <v>1000.0000000001119</v>
      </c>
      <c r="K24" s="60">
        <v>1.8794</v>
      </c>
      <c r="L24" s="66">
        <f t="shared" si="45"/>
        <v>2099.9999999999909</v>
      </c>
      <c r="M24" s="60">
        <v>1.1919999999999999</v>
      </c>
      <c r="N24" s="66">
        <f t="shared" si="46"/>
        <v>999.99999999988984</v>
      </c>
      <c r="O24" s="60">
        <v>12574</v>
      </c>
      <c r="P24" s="67">
        <f t="shared" si="47"/>
        <v>1</v>
      </c>
      <c r="Q24" s="60">
        <v>5379</v>
      </c>
      <c r="R24" s="67">
        <f t="shared" si="48"/>
        <v>4</v>
      </c>
      <c r="S24" s="60">
        <v>829435</v>
      </c>
      <c r="T24" s="67">
        <f t="shared" si="86"/>
        <v>158</v>
      </c>
      <c r="U24" s="60">
        <v>337044</v>
      </c>
      <c r="V24" s="67">
        <f t="shared" si="50"/>
        <v>80</v>
      </c>
      <c r="W24" s="60">
        <v>330.74</v>
      </c>
      <c r="X24" s="67">
        <f t="shared" si="65"/>
        <v>129.99999999999545</v>
      </c>
      <c r="Y24" s="60">
        <v>2.3858000000000001</v>
      </c>
      <c r="Z24" s="67">
        <f t="shared" si="66"/>
        <v>599.99999999993395</v>
      </c>
      <c r="AA24" s="60">
        <v>326</v>
      </c>
      <c r="AB24" s="67">
        <f t="shared" si="67"/>
        <v>79.999999999984084</v>
      </c>
      <c r="AC24" s="60">
        <v>305.60000000000002</v>
      </c>
      <c r="AD24" s="67">
        <f t="shared" si="68"/>
        <v>270.00000000003865</v>
      </c>
      <c r="AE24" s="60">
        <v>478.53</v>
      </c>
      <c r="AF24" s="67">
        <f t="shared" si="69"/>
        <v>509.99999999999091</v>
      </c>
      <c r="AG24" s="60">
        <v>1222</v>
      </c>
      <c r="AH24" s="67">
        <f t="shared" si="51"/>
        <v>1</v>
      </c>
      <c r="AI24" s="60">
        <v>415.2</v>
      </c>
      <c r="AJ24" s="67">
        <f t="shared" si="70"/>
        <v>289.99999999996362</v>
      </c>
      <c r="AK24" s="60">
        <v>149.06</v>
      </c>
      <c r="AL24" s="67">
        <f t="shared" si="52"/>
        <v>9.0000000000003411E-2</v>
      </c>
      <c r="AM24" s="60">
        <v>148.99</v>
      </c>
      <c r="AN24" s="67">
        <f t="shared" si="53"/>
        <v>0.10000000000002274</v>
      </c>
      <c r="AO24" s="60">
        <v>145.52000000000001</v>
      </c>
      <c r="AP24" s="67">
        <f t="shared" si="54"/>
        <v>0.10000000000002274</v>
      </c>
      <c r="AQ24" s="60">
        <v>216.64</v>
      </c>
      <c r="AR24" s="67">
        <f t="shared" si="71"/>
        <v>69.999999999993179</v>
      </c>
      <c r="AS24" s="60">
        <v>343.08</v>
      </c>
      <c r="AT24" s="67">
        <f t="shared" si="72"/>
        <v>69.999999999993179</v>
      </c>
      <c r="AU24" s="60">
        <v>264.77999999999997</v>
      </c>
      <c r="AV24" s="67">
        <f t="shared" si="73"/>
        <v>49.999999999954525</v>
      </c>
      <c r="AW24" s="60">
        <v>292.31</v>
      </c>
      <c r="AX24" s="67">
        <f t="shared" si="74"/>
        <v>60.000000000002274</v>
      </c>
      <c r="AY24" s="60">
        <v>343.39</v>
      </c>
      <c r="AZ24" s="67">
        <f t="shared" si="75"/>
        <v>50.000000000011369</v>
      </c>
      <c r="BA24" s="60">
        <v>363.47</v>
      </c>
      <c r="BB24" s="67">
        <f t="shared" si="76"/>
        <v>50.000000000011369</v>
      </c>
      <c r="BC24" s="60">
        <v>203.41</v>
      </c>
      <c r="BD24" s="67">
        <f t="shared" si="77"/>
        <v>9.9999999999909051</v>
      </c>
      <c r="BE24" s="61">
        <v>28586</v>
      </c>
      <c r="BF24" s="67">
        <f t="shared" si="55"/>
        <v>26</v>
      </c>
      <c r="BG24" s="62">
        <v>224.15</v>
      </c>
      <c r="BH24" s="67">
        <f t="shared" si="78"/>
        <v>30.000000000001137</v>
      </c>
      <c r="BI24" s="62">
        <v>281.76</v>
      </c>
      <c r="BJ24" s="67">
        <f t="shared" si="79"/>
        <v>29.999999999972715</v>
      </c>
      <c r="BK24" s="62">
        <v>229.71</v>
      </c>
      <c r="BL24" s="67">
        <f t="shared" si="80"/>
        <v>30.000000000001137</v>
      </c>
      <c r="BM24" s="62">
        <v>212.8</v>
      </c>
      <c r="BN24" s="67">
        <f t="shared" si="81"/>
        <v>30.000000000001137</v>
      </c>
      <c r="BO24" s="62">
        <v>277.2</v>
      </c>
      <c r="BP24" s="67">
        <f t="shared" si="82"/>
        <v>39.99999999996362</v>
      </c>
      <c r="BQ24" s="62">
        <v>38471</v>
      </c>
      <c r="BR24" s="67">
        <f t="shared" si="56"/>
        <v>19</v>
      </c>
      <c r="BS24" s="62">
        <v>192.96</v>
      </c>
      <c r="BT24" s="67">
        <f t="shared" si="83"/>
        <v>30.000000000001137</v>
      </c>
      <c r="BU24" s="62">
        <v>29479</v>
      </c>
      <c r="BV24" s="67">
        <f t="shared" si="57"/>
        <v>22</v>
      </c>
      <c r="BW24" s="62">
        <v>223.01</v>
      </c>
      <c r="BX24" s="67">
        <f t="shared" si="84"/>
        <v>30.000000000001137</v>
      </c>
      <c r="BY24" s="62">
        <v>48160</v>
      </c>
      <c r="BZ24" s="67">
        <f t="shared" si="58"/>
        <v>23</v>
      </c>
      <c r="CA24" s="62">
        <v>27500.7</v>
      </c>
      <c r="CB24" s="67">
        <f t="shared" si="59"/>
        <v>0</v>
      </c>
      <c r="CC24" s="62">
        <v>11250.4</v>
      </c>
      <c r="CD24" s="67">
        <f t="shared" ref="CD24" si="87">IF((CC25-CC23&lt;0), "",CC25-CC23)</f>
        <v>0</v>
      </c>
      <c r="CE24" s="62">
        <v>5487.5</v>
      </c>
      <c r="CF24" s="67">
        <f t="shared" si="61"/>
        <v>0</v>
      </c>
      <c r="CG24" s="62">
        <v>44788.7</v>
      </c>
      <c r="CH24" s="67">
        <f t="shared" si="62"/>
        <v>70.69999999999709</v>
      </c>
      <c r="CI24" s="62">
        <v>854381</v>
      </c>
      <c r="CJ24" s="67">
        <f t="shared" si="63"/>
        <v>205</v>
      </c>
      <c r="CK24" s="62">
        <v>563.6</v>
      </c>
      <c r="CL24" s="66">
        <f t="shared" si="64"/>
        <v>370.00000000000455</v>
      </c>
      <c r="CM24" s="67">
        <v>32.9</v>
      </c>
      <c r="CN24" s="64">
        <v>0</v>
      </c>
      <c r="CO24" s="64">
        <v>1</v>
      </c>
    </row>
    <row r="25" spans="1:93" ht="25.5" customHeight="1" thickBot="1" x14ac:dyDescent="0.45">
      <c r="A25" s="65">
        <v>43973</v>
      </c>
      <c r="B25" s="45"/>
      <c r="C25" s="60">
        <v>1.6983999999999999</v>
      </c>
      <c r="D25" s="66">
        <f t="shared" si="42"/>
        <v>1099.9999999998788</v>
      </c>
      <c r="E25" s="60">
        <v>2.7033999999999998</v>
      </c>
      <c r="F25" s="66">
        <f t="shared" si="43"/>
        <v>799.99999999991189</v>
      </c>
      <c r="G25" s="60">
        <v>2.5367999999999999</v>
      </c>
      <c r="H25" s="66">
        <f t="shared" si="44"/>
        <v>1700.0000000000348</v>
      </c>
      <c r="I25" s="60">
        <v>1.2202</v>
      </c>
      <c r="J25" s="66">
        <f t="shared" si="85"/>
        <v>999.99999999988984</v>
      </c>
      <c r="K25" s="60">
        <v>1.8814</v>
      </c>
      <c r="L25" s="66">
        <f t="shared" si="45"/>
        <v>2000.0000000000018</v>
      </c>
      <c r="M25" s="60">
        <v>1.1929000000000001</v>
      </c>
      <c r="N25" s="66">
        <f t="shared" si="46"/>
        <v>900.0000000001229</v>
      </c>
      <c r="O25" s="60">
        <v>12576</v>
      </c>
      <c r="P25" s="67">
        <f t="shared" si="47"/>
        <v>2</v>
      </c>
      <c r="Q25" s="60">
        <v>5384</v>
      </c>
      <c r="R25" s="67">
        <f t="shared" si="48"/>
        <v>5</v>
      </c>
      <c r="S25" s="60">
        <v>829615</v>
      </c>
      <c r="T25" s="67">
        <f t="shared" si="86"/>
        <v>180</v>
      </c>
      <c r="U25" s="60">
        <v>337147</v>
      </c>
      <c r="V25" s="67">
        <f t="shared" si="50"/>
        <v>103</v>
      </c>
      <c r="W25" s="60">
        <v>330.88</v>
      </c>
      <c r="X25" s="67">
        <f t="shared" si="65"/>
        <v>139.99999999998636</v>
      </c>
      <c r="Y25" s="60">
        <v>2.3862999999999999</v>
      </c>
      <c r="Z25" s="67">
        <f t="shared" si="66"/>
        <v>499.99999999972289</v>
      </c>
      <c r="AA25" s="60">
        <v>326.06</v>
      </c>
      <c r="AB25" s="67">
        <f t="shared" si="67"/>
        <v>60.000000000002274</v>
      </c>
      <c r="AC25" s="60">
        <v>305.86</v>
      </c>
      <c r="AD25" s="67">
        <f t="shared" si="68"/>
        <v>259.99999999999091</v>
      </c>
      <c r="AE25" s="60">
        <v>478.99</v>
      </c>
      <c r="AF25" s="67">
        <f t="shared" si="69"/>
        <v>460.00000000003638</v>
      </c>
      <c r="AG25" s="60">
        <v>1222.9000000000001</v>
      </c>
      <c r="AH25" s="67">
        <f t="shared" si="51"/>
        <v>0.90000000000009095</v>
      </c>
      <c r="AI25" s="60">
        <v>415.43</v>
      </c>
      <c r="AJ25" s="67">
        <f t="shared" si="70"/>
        <v>230.00000000001819</v>
      </c>
      <c r="AK25" s="60">
        <v>149.15</v>
      </c>
      <c r="AL25" s="67">
        <f t="shared" si="52"/>
        <v>9.0000000000003411E-2</v>
      </c>
      <c r="AM25" s="60">
        <v>149.08000000000001</v>
      </c>
      <c r="AN25" s="67">
        <f t="shared" si="53"/>
        <v>9.0000000000003411E-2</v>
      </c>
      <c r="AO25" s="60">
        <v>145.61000000000001</v>
      </c>
      <c r="AP25" s="67">
        <f t="shared" si="54"/>
        <v>9.0000000000003411E-2</v>
      </c>
      <c r="AQ25" s="60">
        <v>216.73</v>
      </c>
      <c r="AR25" s="67">
        <f t="shared" si="71"/>
        <v>90.000000000003411</v>
      </c>
      <c r="AS25" s="60">
        <v>343.15</v>
      </c>
      <c r="AT25" s="67">
        <f t="shared" si="72"/>
        <v>69.999999999993179</v>
      </c>
      <c r="AU25" s="60">
        <v>264.83</v>
      </c>
      <c r="AV25" s="67">
        <f t="shared" si="73"/>
        <v>50.000000000011369</v>
      </c>
      <c r="AW25" s="60">
        <v>292.36</v>
      </c>
      <c r="AX25" s="67">
        <f t="shared" si="74"/>
        <v>50.000000000011369</v>
      </c>
      <c r="AY25" s="60">
        <v>343.45</v>
      </c>
      <c r="AZ25" s="67">
        <f t="shared" si="75"/>
        <v>60.000000000002274</v>
      </c>
      <c r="BA25" s="60">
        <v>363.52</v>
      </c>
      <c r="BB25" s="67">
        <f t="shared" si="76"/>
        <v>49.999999999954525</v>
      </c>
      <c r="BC25" s="60">
        <v>203.43</v>
      </c>
      <c r="BD25" s="67">
        <f t="shared" si="77"/>
        <v>20.000000000010232</v>
      </c>
      <c r="BE25" s="61">
        <v>28626</v>
      </c>
      <c r="BF25" s="67">
        <f t="shared" si="55"/>
        <v>40</v>
      </c>
      <c r="BG25" s="62">
        <v>224.18</v>
      </c>
      <c r="BH25" s="67">
        <f t="shared" si="78"/>
        <v>30.000000000001137</v>
      </c>
      <c r="BI25" s="62">
        <v>281.77999999999997</v>
      </c>
      <c r="BJ25" s="67">
        <f t="shared" si="79"/>
        <v>19.99999999998181</v>
      </c>
      <c r="BK25" s="62">
        <v>229.74</v>
      </c>
      <c r="BL25" s="67">
        <f t="shared" si="80"/>
        <v>30.000000000001137</v>
      </c>
      <c r="BM25" s="62">
        <v>212.83</v>
      </c>
      <c r="BN25" s="67">
        <f t="shared" si="81"/>
        <v>30.000000000001137</v>
      </c>
      <c r="BO25" s="62">
        <v>277.24</v>
      </c>
      <c r="BP25" s="67">
        <f t="shared" si="82"/>
        <v>40.000000000020464</v>
      </c>
      <c r="BQ25" s="62">
        <v>38489</v>
      </c>
      <c r="BR25" s="67">
        <f t="shared" si="56"/>
        <v>18</v>
      </c>
      <c r="BS25" s="62">
        <v>192.98</v>
      </c>
      <c r="BT25" s="67">
        <f t="shared" si="83"/>
        <v>19.99999999998181</v>
      </c>
      <c r="BU25" s="62">
        <v>29500</v>
      </c>
      <c r="BV25" s="67">
        <f t="shared" si="57"/>
        <v>21</v>
      </c>
      <c r="BW25" s="62">
        <v>223.04</v>
      </c>
      <c r="BX25" s="67">
        <f t="shared" si="84"/>
        <v>30.000000000001137</v>
      </c>
      <c r="BY25" s="62">
        <v>48184</v>
      </c>
      <c r="BZ25" s="67">
        <f t="shared" si="58"/>
        <v>24</v>
      </c>
      <c r="CA25" s="62">
        <v>27500.7</v>
      </c>
      <c r="CB25" s="67">
        <f t="shared" si="59"/>
        <v>0</v>
      </c>
      <c r="CC25" s="62">
        <v>11250.4</v>
      </c>
      <c r="CD25" s="67">
        <f t="shared" si="60"/>
        <v>0</v>
      </c>
      <c r="CE25" s="62">
        <v>5487.5</v>
      </c>
      <c r="CF25" s="67">
        <f t="shared" si="61"/>
        <v>0</v>
      </c>
      <c r="CG25" s="62">
        <v>44862.8</v>
      </c>
      <c r="CH25" s="67">
        <f t="shared" si="62"/>
        <v>74.100000000005821</v>
      </c>
      <c r="CI25" s="62">
        <v>854587</v>
      </c>
      <c r="CJ25" s="67">
        <f t="shared" si="63"/>
        <v>206</v>
      </c>
      <c r="CK25" s="62">
        <v>563.98</v>
      </c>
      <c r="CL25" s="66">
        <f t="shared" si="64"/>
        <v>379.99999999999545</v>
      </c>
      <c r="CM25" s="67">
        <v>26.9</v>
      </c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>
        <v>1.6999</v>
      </c>
      <c r="D26" s="66">
        <f t="shared" si="42"/>
        <v>1500.0000000000568</v>
      </c>
      <c r="E26" s="60">
        <v>2.7042000000000002</v>
      </c>
      <c r="F26" s="66">
        <f t="shared" si="43"/>
        <v>800.00000000035595</v>
      </c>
      <c r="G26" s="60">
        <v>2.5386000000000002</v>
      </c>
      <c r="H26" s="66">
        <f t="shared" si="44"/>
        <v>1800.0000000002458</v>
      </c>
      <c r="I26" s="60">
        <v>1.2214</v>
      </c>
      <c r="J26" s="66">
        <f t="shared" si="85"/>
        <v>1200.0000000000898</v>
      </c>
      <c r="K26" s="60">
        <v>1.8835</v>
      </c>
      <c r="L26" s="66">
        <f t="shared" si="45"/>
        <v>2099.9999999999909</v>
      </c>
      <c r="M26" s="60">
        <v>1.194</v>
      </c>
      <c r="N26" s="66">
        <f t="shared" si="46"/>
        <v>1099.9999999998788</v>
      </c>
      <c r="O26" s="60">
        <v>12576</v>
      </c>
      <c r="P26" s="67">
        <f t="shared" si="47"/>
        <v>0</v>
      </c>
      <c r="Q26" s="60">
        <v>5384</v>
      </c>
      <c r="R26" s="67">
        <f t="shared" si="48"/>
        <v>0</v>
      </c>
      <c r="S26" s="60">
        <v>829738.9</v>
      </c>
      <c r="T26" s="67">
        <f t="shared" si="86"/>
        <v>123.90000000002328</v>
      </c>
      <c r="U26" s="60">
        <v>337218</v>
      </c>
      <c r="V26" s="67">
        <f t="shared" si="50"/>
        <v>71</v>
      </c>
      <c r="W26" s="60">
        <v>331.07</v>
      </c>
      <c r="X26" s="67">
        <f t="shared" si="65"/>
        <v>189.99999999999773</v>
      </c>
      <c r="Y26" s="60">
        <v>2.3868999999999998</v>
      </c>
      <c r="Z26" s="67">
        <f t="shared" si="66"/>
        <v>599.99999999993395</v>
      </c>
      <c r="AA26" s="60">
        <v>326.14</v>
      </c>
      <c r="AB26" s="67">
        <f t="shared" si="67"/>
        <v>79.999999999984084</v>
      </c>
      <c r="AC26" s="60">
        <v>306.20999999999998</v>
      </c>
      <c r="AD26" s="67">
        <f t="shared" si="68"/>
        <v>349.99999999996589</v>
      </c>
      <c r="AE26" s="60">
        <v>479.56</v>
      </c>
      <c r="AF26" s="67">
        <f t="shared" si="69"/>
        <v>569.99999999999318</v>
      </c>
      <c r="AG26" s="60">
        <v>1224.0999999999999</v>
      </c>
      <c r="AH26" s="67">
        <f t="shared" si="51"/>
        <v>1.1999999999998181</v>
      </c>
      <c r="AI26" s="60">
        <v>415.66</v>
      </c>
      <c r="AJ26" s="67">
        <f t="shared" si="70"/>
        <v>230.00000000001819</v>
      </c>
      <c r="AK26" s="60">
        <v>149.29</v>
      </c>
      <c r="AL26" s="67">
        <f t="shared" si="52"/>
        <v>0.13999999999998636</v>
      </c>
      <c r="AM26" s="60">
        <v>149.19</v>
      </c>
      <c r="AN26" s="67">
        <f t="shared" si="53"/>
        <v>0.10999999999998522</v>
      </c>
      <c r="AO26" s="60">
        <v>145.72</v>
      </c>
      <c r="AP26" s="67">
        <f t="shared" si="54"/>
        <v>0.10999999999998522</v>
      </c>
      <c r="AQ26" s="60">
        <v>216.85</v>
      </c>
      <c r="AR26" s="67">
        <f t="shared" si="71"/>
        <v>120.00000000000455</v>
      </c>
      <c r="AS26" s="60">
        <v>343.25</v>
      </c>
      <c r="AT26" s="67">
        <f t="shared" si="72"/>
        <v>100.00000000002274</v>
      </c>
      <c r="AU26" s="60">
        <v>264.89999999999998</v>
      </c>
      <c r="AV26" s="67">
        <f t="shared" si="73"/>
        <v>69.999999999993179</v>
      </c>
      <c r="AW26" s="60">
        <v>292.43</v>
      </c>
      <c r="AX26" s="67">
        <f t="shared" si="74"/>
        <v>69.999999999993179</v>
      </c>
      <c r="AY26" s="60">
        <v>343.54</v>
      </c>
      <c r="AZ26" s="67">
        <f t="shared" si="75"/>
        <v>90.000000000031832</v>
      </c>
      <c r="BA26" s="60">
        <v>363.59</v>
      </c>
      <c r="BB26" s="67">
        <f t="shared" si="76"/>
        <v>69.999999999993179</v>
      </c>
      <c r="BC26" s="60">
        <v>203.44</v>
      </c>
      <c r="BD26" s="67">
        <f t="shared" si="77"/>
        <v>9.9999999999909051</v>
      </c>
      <c r="BE26" s="61">
        <v>28646</v>
      </c>
      <c r="BF26" s="67">
        <f t="shared" si="55"/>
        <v>20</v>
      </c>
      <c r="BG26" s="62">
        <v>224.21</v>
      </c>
      <c r="BH26" s="67">
        <f t="shared" si="78"/>
        <v>30.000000000001137</v>
      </c>
      <c r="BI26" s="62">
        <v>281.82</v>
      </c>
      <c r="BJ26" s="67">
        <f t="shared" si="79"/>
        <v>40.000000000020464</v>
      </c>
      <c r="BK26" s="62">
        <v>229.78</v>
      </c>
      <c r="BL26" s="67">
        <f t="shared" si="80"/>
        <v>39.999999999992042</v>
      </c>
      <c r="BM26" s="62">
        <v>212.86</v>
      </c>
      <c r="BN26" s="67">
        <f t="shared" si="81"/>
        <v>30.000000000001137</v>
      </c>
      <c r="BO26" s="62">
        <v>277.29000000000002</v>
      </c>
      <c r="BP26" s="67">
        <f t="shared" si="82"/>
        <v>50.000000000011369</v>
      </c>
      <c r="BQ26" s="62">
        <v>38510</v>
      </c>
      <c r="BR26" s="67">
        <f t="shared" si="56"/>
        <v>21</v>
      </c>
      <c r="BS26" s="62">
        <v>193.01</v>
      </c>
      <c r="BT26" s="67">
        <f t="shared" si="83"/>
        <v>30.000000000001137</v>
      </c>
      <c r="BU26" s="62">
        <v>29529</v>
      </c>
      <c r="BV26" s="67">
        <f t="shared" si="57"/>
        <v>29</v>
      </c>
      <c r="BW26" s="62">
        <v>223.08</v>
      </c>
      <c r="BX26" s="67">
        <f t="shared" si="84"/>
        <v>40.000000000020464</v>
      </c>
      <c r="BY26" s="62">
        <v>48215</v>
      </c>
      <c r="BZ26" s="67">
        <f t="shared" si="58"/>
        <v>31</v>
      </c>
      <c r="CA26" s="62">
        <v>27500.7</v>
      </c>
      <c r="CB26" s="67">
        <f t="shared" si="59"/>
        <v>0</v>
      </c>
      <c r="CC26" s="62">
        <v>11250.4</v>
      </c>
      <c r="CD26" s="67">
        <f t="shared" si="60"/>
        <v>0</v>
      </c>
      <c r="CE26" s="62">
        <v>5487.5</v>
      </c>
      <c r="CF26" s="67">
        <f t="shared" si="61"/>
        <v>0</v>
      </c>
      <c r="CG26" s="62">
        <v>44928</v>
      </c>
      <c r="CH26" s="67">
        <f t="shared" si="62"/>
        <v>65.19999999999709</v>
      </c>
      <c r="CI26" s="62">
        <v>854803</v>
      </c>
      <c r="CJ26" s="67">
        <f t="shared" si="63"/>
        <v>216</v>
      </c>
      <c r="CK26" s="62">
        <v>564.41999999999996</v>
      </c>
      <c r="CL26" s="66">
        <f t="shared" si="64"/>
        <v>439.99999999994088</v>
      </c>
      <c r="CM26" s="67">
        <v>30.4</v>
      </c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>
        <v>1.7009000000000001</v>
      </c>
      <c r="D27" s="66">
        <f t="shared" si="42"/>
        <v>1000.0000000001119</v>
      </c>
      <c r="E27" s="60">
        <v>2.7050000000000001</v>
      </c>
      <c r="F27" s="66">
        <f t="shared" si="43"/>
        <v>799.99999999991189</v>
      </c>
      <c r="G27" s="60">
        <v>2.54</v>
      </c>
      <c r="H27" s="66">
        <f t="shared" si="44"/>
        <v>1399.9999999998458</v>
      </c>
      <c r="I27" s="60">
        <v>1.2223999999999999</v>
      </c>
      <c r="J27" s="66">
        <f t="shared" si="85"/>
        <v>999.99999999988984</v>
      </c>
      <c r="K27" s="60">
        <v>1.8855</v>
      </c>
      <c r="L27" s="66">
        <f t="shared" si="45"/>
        <v>2000.0000000000018</v>
      </c>
      <c r="M27" s="60">
        <v>1.1949000000000001</v>
      </c>
      <c r="N27" s="66">
        <f t="shared" si="46"/>
        <v>900.0000000001229</v>
      </c>
      <c r="O27" s="60">
        <v>12576</v>
      </c>
      <c r="P27" s="67">
        <f t="shared" si="47"/>
        <v>0</v>
      </c>
      <c r="Q27" s="60">
        <v>5390</v>
      </c>
      <c r="R27" s="67">
        <f t="shared" si="48"/>
        <v>6</v>
      </c>
      <c r="S27" s="60">
        <v>829783</v>
      </c>
      <c r="T27" s="67">
        <f t="shared" si="86"/>
        <v>44.099999999976717</v>
      </c>
      <c r="U27" s="60">
        <v>337250</v>
      </c>
      <c r="V27" s="67">
        <f t="shared" si="50"/>
        <v>32</v>
      </c>
      <c r="W27" s="60">
        <v>331.22</v>
      </c>
      <c r="X27" s="67">
        <f t="shared" si="65"/>
        <v>150.00000000003411</v>
      </c>
      <c r="Y27" s="60">
        <v>2.3874</v>
      </c>
      <c r="Z27" s="67">
        <f t="shared" si="66"/>
        <v>500.00000000016701</v>
      </c>
      <c r="AA27" s="60">
        <v>326.20999999999998</v>
      </c>
      <c r="AB27" s="67">
        <f t="shared" si="67"/>
        <v>69.999999999993179</v>
      </c>
      <c r="AC27" s="60">
        <v>306.47000000000003</v>
      </c>
      <c r="AD27" s="67">
        <f t="shared" si="68"/>
        <v>260.00000000004775</v>
      </c>
      <c r="AE27" s="60">
        <v>480.03</v>
      </c>
      <c r="AF27" s="67">
        <f t="shared" si="69"/>
        <v>469.99999999997044</v>
      </c>
      <c r="AG27" s="60">
        <v>1224.8</v>
      </c>
      <c r="AH27" s="67">
        <f t="shared" si="51"/>
        <v>0.70000000000004547</v>
      </c>
      <c r="AI27" s="60">
        <v>416.06</v>
      </c>
      <c r="AJ27" s="67">
        <f t="shared" si="70"/>
        <v>399.99999999997726</v>
      </c>
      <c r="AK27" s="60">
        <v>149.37</v>
      </c>
      <c r="AL27" s="67">
        <f t="shared" si="52"/>
        <v>8.0000000000012506E-2</v>
      </c>
      <c r="AM27" s="60">
        <v>149.28</v>
      </c>
      <c r="AN27" s="67">
        <f t="shared" si="53"/>
        <v>9.0000000000003411E-2</v>
      </c>
      <c r="AO27" s="60">
        <v>145.80000000000001</v>
      </c>
      <c r="AP27" s="67">
        <f t="shared" si="54"/>
        <v>8.0000000000012506E-2</v>
      </c>
      <c r="AQ27" s="60">
        <v>216.93</v>
      </c>
      <c r="AR27" s="67">
        <f t="shared" si="71"/>
        <v>80.000000000012506</v>
      </c>
      <c r="AS27" s="60">
        <v>343.32</v>
      </c>
      <c r="AT27" s="67">
        <f t="shared" si="72"/>
        <v>69.999999999993179</v>
      </c>
      <c r="AU27" s="60">
        <v>264.94</v>
      </c>
      <c r="AV27" s="67">
        <f t="shared" si="73"/>
        <v>40.000000000020464</v>
      </c>
      <c r="AW27" s="60">
        <v>292.48</v>
      </c>
      <c r="AX27" s="67">
        <f t="shared" si="74"/>
        <v>50.000000000011369</v>
      </c>
      <c r="AY27" s="60">
        <v>343.59</v>
      </c>
      <c r="AZ27" s="67">
        <f t="shared" si="75"/>
        <v>49.999999999954525</v>
      </c>
      <c r="BA27" s="60">
        <v>363.64</v>
      </c>
      <c r="BB27" s="67">
        <f t="shared" si="76"/>
        <v>50.000000000011369</v>
      </c>
      <c r="BC27" s="60">
        <v>203.44</v>
      </c>
      <c r="BD27" s="67">
        <f t="shared" si="77"/>
        <v>0</v>
      </c>
      <c r="BE27" s="61">
        <v>28668</v>
      </c>
      <c r="BF27" s="67">
        <f t="shared" si="55"/>
        <v>22</v>
      </c>
      <c r="BG27" s="62">
        <v>224.24</v>
      </c>
      <c r="BH27" s="67">
        <f t="shared" si="78"/>
        <v>30.000000000001137</v>
      </c>
      <c r="BI27" s="62">
        <v>281.85000000000002</v>
      </c>
      <c r="BJ27" s="67">
        <f t="shared" si="79"/>
        <v>30.000000000029559</v>
      </c>
      <c r="BK27" s="62">
        <v>229.81</v>
      </c>
      <c r="BL27" s="67">
        <f t="shared" si="80"/>
        <v>30.000000000001137</v>
      </c>
      <c r="BM27" s="62">
        <v>212.89</v>
      </c>
      <c r="BN27" s="67">
        <f t="shared" si="81"/>
        <v>29.999999999972715</v>
      </c>
      <c r="BO27" s="62">
        <v>277.33</v>
      </c>
      <c r="BP27" s="67">
        <f t="shared" si="82"/>
        <v>39.99999999996362</v>
      </c>
      <c r="BQ27" s="62">
        <v>38531</v>
      </c>
      <c r="BR27" s="67">
        <f t="shared" si="56"/>
        <v>21</v>
      </c>
      <c r="BS27" s="62">
        <v>193.03</v>
      </c>
      <c r="BT27" s="67">
        <f t="shared" si="83"/>
        <v>20.000000000010232</v>
      </c>
      <c r="BU27" s="62">
        <v>29549</v>
      </c>
      <c r="BV27" s="67">
        <f t="shared" si="57"/>
        <v>20</v>
      </c>
      <c r="BW27" s="62">
        <v>223.11</v>
      </c>
      <c r="BX27" s="67">
        <f t="shared" si="84"/>
        <v>30.000000000001137</v>
      </c>
      <c r="BY27" s="62">
        <v>48239</v>
      </c>
      <c r="BZ27" s="67">
        <f t="shared" si="58"/>
        <v>24</v>
      </c>
      <c r="CA27" s="62">
        <v>27500.7</v>
      </c>
      <c r="CB27" s="67">
        <f t="shared" si="59"/>
        <v>0</v>
      </c>
      <c r="CC27" s="62">
        <v>11250.4</v>
      </c>
      <c r="CD27" s="67">
        <f t="shared" si="60"/>
        <v>0</v>
      </c>
      <c r="CE27" s="62">
        <v>5487.5</v>
      </c>
      <c r="CF27" s="67">
        <f t="shared" si="61"/>
        <v>0</v>
      </c>
      <c r="CG27" s="62">
        <v>44991.5</v>
      </c>
      <c r="CH27" s="67">
        <f t="shared" si="62"/>
        <v>63.5</v>
      </c>
      <c r="CI27" s="62">
        <v>855004</v>
      </c>
      <c r="CJ27" s="67">
        <f t="shared" si="63"/>
        <v>201</v>
      </c>
      <c r="CK27" s="62">
        <v>564.71</v>
      </c>
      <c r="CL27" s="66">
        <f t="shared" si="64"/>
        <v>290.00000000007731</v>
      </c>
      <c r="CM27" s="67">
        <v>15.3</v>
      </c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>
        <v>1.7022999999999999</v>
      </c>
      <c r="D28" s="66">
        <f t="shared" si="42"/>
        <v>1399.9999999998458</v>
      </c>
      <c r="E28" s="60">
        <v>2.7059000000000002</v>
      </c>
      <c r="F28" s="66">
        <f t="shared" si="43"/>
        <v>900.0000000001229</v>
      </c>
      <c r="G28" s="60">
        <v>2.5415999999999999</v>
      </c>
      <c r="H28" s="66">
        <f t="shared" si="44"/>
        <v>1599.9999999998238</v>
      </c>
      <c r="I28" s="60">
        <v>1.2236</v>
      </c>
      <c r="J28" s="66">
        <f t="shared" si="85"/>
        <v>1200.0000000000898</v>
      </c>
      <c r="K28" s="60">
        <v>1.8875999999999999</v>
      </c>
      <c r="L28" s="66">
        <f t="shared" si="45"/>
        <v>2099.9999999999909</v>
      </c>
      <c r="M28" s="60">
        <v>1.196</v>
      </c>
      <c r="N28" s="66">
        <f t="shared" si="46"/>
        <v>1099.9999999998788</v>
      </c>
      <c r="O28" s="60">
        <v>12576</v>
      </c>
      <c r="P28" s="67">
        <f t="shared" si="47"/>
        <v>0</v>
      </c>
      <c r="Q28" s="60">
        <v>5395</v>
      </c>
      <c r="R28" s="67">
        <f t="shared" si="48"/>
        <v>5</v>
      </c>
      <c r="S28" s="60">
        <v>829955</v>
      </c>
      <c r="T28" s="67">
        <f t="shared" si="86"/>
        <v>172</v>
      </c>
      <c r="U28" s="60">
        <v>337329</v>
      </c>
      <c r="V28" s="67">
        <f t="shared" si="50"/>
        <v>79</v>
      </c>
      <c r="W28" s="60">
        <v>331.39</v>
      </c>
      <c r="X28" s="67">
        <f t="shared" si="65"/>
        <v>169.99999999995907</v>
      </c>
      <c r="Y28" s="60">
        <v>2.3879999999999999</v>
      </c>
      <c r="Z28" s="67">
        <f t="shared" si="66"/>
        <v>599.99999999993395</v>
      </c>
      <c r="AA28" s="60">
        <v>326.29000000000002</v>
      </c>
      <c r="AB28" s="67">
        <f t="shared" si="67"/>
        <v>80.000000000040927</v>
      </c>
      <c r="AC28" s="60">
        <v>306.81</v>
      </c>
      <c r="AD28" s="67">
        <f t="shared" si="68"/>
        <v>339.99999999997499</v>
      </c>
      <c r="AE28" s="60">
        <v>480.6</v>
      </c>
      <c r="AF28" s="67">
        <f t="shared" si="69"/>
        <v>570.00000000005002</v>
      </c>
      <c r="AG28" s="60">
        <v>1226</v>
      </c>
      <c r="AH28" s="67">
        <f t="shared" si="51"/>
        <v>1.2000000000000455</v>
      </c>
      <c r="AI28" s="60">
        <v>416.28</v>
      </c>
      <c r="AJ28" s="67">
        <f t="shared" si="70"/>
        <v>219.99999999997044</v>
      </c>
      <c r="AK28" s="60">
        <v>149.52000000000001</v>
      </c>
      <c r="AL28" s="67">
        <f t="shared" si="52"/>
        <v>0.15000000000000568</v>
      </c>
      <c r="AM28" s="60">
        <v>149.38999999999999</v>
      </c>
      <c r="AN28" s="67">
        <f t="shared" si="53"/>
        <v>0.10999999999998522</v>
      </c>
      <c r="AO28" s="60">
        <v>145.9</v>
      </c>
      <c r="AP28" s="67">
        <f t="shared" si="54"/>
        <v>9.9999999999994316E-2</v>
      </c>
      <c r="AQ28" s="60">
        <v>217.03</v>
      </c>
      <c r="AR28" s="67">
        <f t="shared" si="71"/>
        <v>99.999999999994316</v>
      </c>
      <c r="AS28" s="60">
        <v>343.42</v>
      </c>
      <c r="AT28" s="67">
        <f t="shared" si="72"/>
        <v>100.00000000002274</v>
      </c>
      <c r="AU28" s="60">
        <v>265.02</v>
      </c>
      <c r="AV28" s="67">
        <f t="shared" si="73"/>
        <v>79.999999999984084</v>
      </c>
      <c r="AW28" s="60">
        <v>292.57</v>
      </c>
      <c r="AX28" s="67">
        <f t="shared" si="74"/>
        <v>89.999999999974989</v>
      </c>
      <c r="AY28" s="60">
        <v>343.68</v>
      </c>
      <c r="AZ28" s="67">
        <f t="shared" si="75"/>
        <v>90.000000000031832</v>
      </c>
      <c r="BA28" s="60">
        <v>363.72</v>
      </c>
      <c r="BB28" s="67">
        <f t="shared" si="76"/>
        <v>80.000000000040927</v>
      </c>
      <c r="BC28" s="60">
        <v>203.46</v>
      </c>
      <c r="BD28" s="67">
        <f t="shared" si="77"/>
        <v>20.000000000010232</v>
      </c>
      <c r="BE28" s="61">
        <v>28695</v>
      </c>
      <c r="BF28" s="67">
        <f t="shared" si="55"/>
        <v>27</v>
      </c>
      <c r="BG28" s="62">
        <v>224.29</v>
      </c>
      <c r="BH28" s="67">
        <f t="shared" si="78"/>
        <v>49.999999999982947</v>
      </c>
      <c r="BI28" s="62">
        <v>281.88</v>
      </c>
      <c r="BJ28" s="67">
        <f t="shared" si="79"/>
        <v>29.999999999972715</v>
      </c>
      <c r="BK28" s="62">
        <v>229.84</v>
      </c>
      <c r="BL28" s="67">
        <f t="shared" si="80"/>
        <v>30.000000000001137</v>
      </c>
      <c r="BM28" s="62">
        <v>212.93</v>
      </c>
      <c r="BN28" s="67">
        <f t="shared" si="81"/>
        <v>40.000000000020464</v>
      </c>
      <c r="BO28" s="62">
        <v>277.38</v>
      </c>
      <c r="BP28" s="67">
        <f t="shared" si="82"/>
        <v>50.000000000011369</v>
      </c>
      <c r="BQ28" s="62">
        <v>38561</v>
      </c>
      <c r="BR28" s="67">
        <f t="shared" si="56"/>
        <v>30</v>
      </c>
      <c r="BS28" s="62">
        <v>193.06</v>
      </c>
      <c r="BT28" s="67">
        <f t="shared" si="83"/>
        <v>30.000000000001137</v>
      </c>
      <c r="BU28" s="62">
        <v>29577</v>
      </c>
      <c r="BV28" s="67">
        <f t="shared" si="57"/>
        <v>28</v>
      </c>
      <c r="BW28" s="62">
        <v>223.14</v>
      </c>
      <c r="BX28" s="67">
        <f t="shared" si="84"/>
        <v>29.999999999972715</v>
      </c>
      <c r="BY28" s="62">
        <v>48269</v>
      </c>
      <c r="BZ28" s="67">
        <f t="shared" si="58"/>
        <v>30</v>
      </c>
      <c r="CA28" s="62">
        <v>27500.7</v>
      </c>
      <c r="CB28" s="67">
        <f t="shared" si="59"/>
        <v>0</v>
      </c>
      <c r="CC28" s="62">
        <v>11250.4</v>
      </c>
      <c r="CD28" s="67">
        <f t="shared" si="60"/>
        <v>0</v>
      </c>
      <c r="CE28" s="62">
        <v>5487.5</v>
      </c>
      <c r="CF28" s="67">
        <f t="shared" si="61"/>
        <v>0</v>
      </c>
      <c r="CG28" s="62">
        <v>45056.2</v>
      </c>
      <c r="CH28" s="67">
        <f t="shared" si="62"/>
        <v>64.69999999999709</v>
      </c>
      <c r="CI28" s="62">
        <v>855223</v>
      </c>
      <c r="CJ28" s="67">
        <f t="shared" si="63"/>
        <v>219</v>
      </c>
      <c r="CK28" s="62">
        <v>565.03</v>
      </c>
      <c r="CL28" s="66">
        <f t="shared" si="64"/>
        <v>319.99999999993634</v>
      </c>
      <c r="CM28" s="67">
        <v>22.7</v>
      </c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>
        <v>1.7036</v>
      </c>
      <c r="D29" s="66">
        <f t="shared" si="42"/>
        <v>1300.0000000000789</v>
      </c>
      <c r="E29" s="60">
        <v>2.7067999999999999</v>
      </c>
      <c r="F29" s="66">
        <f t="shared" si="43"/>
        <v>899.99999999967883</v>
      </c>
      <c r="G29" s="60">
        <v>2.5432999999999999</v>
      </c>
      <c r="H29" s="66">
        <f t="shared" si="44"/>
        <v>1700.0000000000348</v>
      </c>
      <c r="I29" s="60">
        <v>1.2248000000000001</v>
      </c>
      <c r="J29" s="66">
        <f t="shared" si="85"/>
        <v>1200.0000000000898</v>
      </c>
      <c r="K29" s="60">
        <v>1.8896999999999999</v>
      </c>
      <c r="L29" s="66">
        <f t="shared" si="45"/>
        <v>2099.9999999999909</v>
      </c>
      <c r="M29" s="60">
        <v>1.1971000000000001</v>
      </c>
      <c r="N29" s="66">
        <f t="shared" si="46"/>
        <v>1100.000000000101</v>
      </c>
      <c r="O29" s="60">
        <v>12576</v>
      </c>
      <c r="P29" s="67">
        <f t="shared" si="47"/>
        <v>0</v>
      </c>
      <c r="Q29" s="60">
        <v>5399</v>
      </c>
      <c r="R29" s="67">
        <f t="shared" si="48"/>
        <v>4</v>
      </c>
      <c r="S29" s="60">
        <v>830119</v>
      </c>
      <c r="T29" s="67">
        <f t="shared" si="86"/>
        <v>164</v>
      </c>
      <c r="U29" s="60">
        <v>337441</v>
      </c>
      <c r="V29" s="67">
        <f t="shared" si="50"/>
        <v>112</v>
      </c>
      <c r="W29" s="60">
        <v>331.56</v>
      </c>
      <c r="X29" s="67">
        <f t="shared" si="65"/>
        <v>170.00000000001592</v>
      </c>
      <c r="Y29" s="60">
        <v>2.3885999999999998</v>
      </c>
      <c r="Z29" s="67">
        <f t="shared" si="66"/>
        <v>599.99999999993395</v>
      </c>
      <c r="AA29" s="60">
        <v>326.38</v>
      </c>
      <c r="AB29" s="67">
        <f t="shared" si="67"/>
        <v>89.999999999974989</v>
      </c>
      <c r="AC29" s="60">
        <v>307.14999999999998</v>
      </c>
      <c r="AD29" s="67">
        <f t="shared" si="68"/>
        <v>339.99999999997499</v>
      </c>
      <c r="AE29" s="60">
        <v>481.14</v>
      </c>
      <c r="AF29" s="67">
        <f t="shared" si="69"/>
        <v>539.99999999996362</v>
      </c>
      <c r="AG29" s="60">
        <v>1227.3</v>
      </c>
      <c r="AH29" s="67">
        <f t="shared" si="51"/>
        <v>1.2999999999999545</v>
      </c>
      <c r="AI29" s="60">
        <v>416.46</v>
      </c>
      <c r="AJ29" s="67">
        <f t="shared" si="70"/>
        <v>180.00000000000682</v>
      </c>
      <c r="AK29" s="60">
        <v>149.65</v>
      </c>
      <c r="AL29" s="67">
        <f t="shared" si="52"/>
        <v>0.12999999999999545</v>
      </c>
      <c r="AM29" s="60">
        <v>149.49</v>
      </c>
      <c r="AN29" s="67">
        <f t="shared" si="53"/>
        <v>0.10000000000002274</v>
      </c>
      <c r="AO29" s="60">
        <v>146.01</v>
      </c>
      <c r="AP29" s="67">
        <f t="shared" si="54"/>
        <v>0.10999999999998522</v>
      </c>
      <c r="AQ29" s="60">
        <v>217.13</v>
      </c>
      <c r="AR29" s="67">
        <f t="shared" si="71"/>
        <v>99.999999999994316</v>
      </c>
      <c r="AS29" s="60">
        <v>343.52</v>
      </c>
      <c r="AT29" s="67">
        <f t="shared" si="72"/>
        <v>99.999999999965894</v>
      </c>
      <c r="AU29" s="60">
        <v>265.08999999999997</v>
      </c>
      <c r="AV29" s="67">
        <f t="shared" si="73"/>
        <v>69.999999999993179</v>
      </c>
      <c r="AW29" s="60">
        <v>292.64999999999998</v>
      </c>
      <c r="AX29" s="67">
        <f t="shared" si="74"/>
        <v>79.999999999984084</v>
      </c>
      <c r="AY29" s="60">
        <v>343.77</v>
      </c>
      <c r="AZ29" s="67">
        <f t="shared" si="75"/>
        <v>89.999999999974989</v>
      </c>
      <c r="BA29" s="60">
        <v>363.8</v>
      </c>
      <c r="BB29" s="67">
        <f t="shared" si="76"/>
        <v>79.999999999984084</v>
      </c>
      <c r="BC29" s="60">
        <v>203.47</v>
      </c>
      <c r="BD29" s="67">
        <f t="shared" si="77"/>
        <v>9.9999999999909051</v>
      </c>
      <c r="BE29" s="61">
        <v>28723</v>
      </c>
      <c r="BF29" s="67">
        <f t="shared" si="55"/>
        <v>28</v>
      </c>
      <c r="BG29" s="62">
        <v>224.33</v>
      </c>
      <c r="BH29" s="67">
        <f t="shared" si="78"/>
        <v>40.000000000020464</v>
      </c>
      <c r="BI29" s="62">
        <v>281.91000000000003</v>
      </c>
      <c r="BJ29" s="67">
        <f t="shared" si="79"/>
        <v>30.000000000029559</v>
      </c>
      <c r="BK29" s="62">
        <v>229.88</v>
      </c>
      <c r="BL29" s="67">
        <f t="shared" si="80"/>
        <v>39.999999999992042</v>
      </c>
      <c r="BM29" s="62">
        <v>212.97</v>
      </c>
      <c r="BN29" s="67">
        <f t="shared" si="81"/>
        <v>39.999999999992042</v>
      </c>
      <c r="BO29" s="62">
        <v>277.43</v>
      </c>
      <c r="BP29" s="67">
        <f t="shared" si="82"/>
        <v>50.000000000011369</v>
      </c>
      <c r="BQ29" s="62">
        <v>38589</v>
      </c>
      <c r="BR29" s="67">
        <f t="shared" si="56"/>
        <v>28</v>
      </c>
      <c r="BS29" s="62">
        <v>193.08</v>
      </c>
      <c r="BT29" s="67">
        <f t="shared" si="83"/>
        <v>20.000000000010232</v>
      </c>
      <c r="BU29" s="62">
        <v>29604</v>
      </c>
      <c r="BV29" s="67">
        <f t="shared" si="57"/>
        <v>27</v>
      </c>
      <c r="BW29" s="62">
        <v>223.17</v>
      </c>
      <c r="BX29" s="67">
        <f t="shared" si="84"/>
        <v>30.000000000001137</v>
      </c>
      <c r="BY29" s="62">
        <v>48301</v>
      </c>
      <c r="BZ29" s="67">
        <f t="shared" si="58"/>
        <v>32</v>
      </c>
      <c r="CA29" s="62">
        <v>27500.7</v>
      </c>
      <c r="CB29" s="67">
        <f t="shared" si="59"/>
        <v>0</v>
      </c>
      <c r="CC29" s="62">
        <v>11250.4</v>
      </c>
      <c r="CD29" s="67">
        <f t="shared" si="60"/>
        <v>0</v>
      </c>
      <c r="CE29" s="62">
        <v>5487.5</v>
      </c>
      <c r="CF29" s="67">
        <f t="shared" si="61"/>
        <v>0</v>
      </c>
      <c r="CG29" s="62">
        <v>45120.5</v>
      </c>
      <c r="CH29" s="67">
        <f t="shared" si="62"/>
        <v>64.30000000000291</v>
      </c>
      <c r="CI29" s="62">
        <v>855430</v>
      </c>
      <c r="CJ29" s="67">
        <f t="shared" si="63"/>
        <v>207</v>
      </c>
      <c r="CK29" s="62">
        <v>565.41</v>
      </c>
      <c r="CL29" s="66">
        <f t="shared" si="64"/>
        <v>379.99999999999545</v>
      </c>
      <c r="CM29" s="67">
        <v>24.2</v>
      </c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 t="str">
        <f t="shared" si="42"/>
        <v>0</v>
      </c>
      <c r="E30" s="60"/>
      <c r="F30" s="66" t="str">
        <f t="shared" si="43"/>
        <v>0</v>
      </c>
      <c r="G30" s="60"/>
      <c r="H30" s="66" t="str">
        <f t="shared" si="44"/>
        <v>0</v>
      </c>
      <c r="I30" s="60"/>
      <c r="J30" s="66" t="str">
        <f t="shared" si="85"/>
        <v>0</v>
      </c>
      <c r="K30" s="60"/>
      <c r="L30" s="66" t="str">
        <f t="shared" si="45"/>
        <v>0</v>
      </c>
      <c r="M30" s="60"/>
      <c r="N30" s="66" t="str">
        <f t="shared" si="46"/>
        <v/>
      </c>
      <c r="O30" s="60"/>
      <c r="P30" s="67" t="str">
        <f t="shared" si="47"/>
        <v/>
      </c>
      <c r="Q30" s="60"/>
      <c r="R30" s="67" t="str">
        <f t="shared" si="48"/>
        <v/>
      </c>
      <c r="S30" s="60"/>
      <c r="T30" s="67"/>
      <c r="U30" s="60"/>
      <c r="V30" s="67" t="str">
        <f t="shared" si="50"/>
        <v/>
      </c>
      <c r="W30" s="60"/>
      <c r="X30" s="67" t="str">
        <f t="shared" si="65"/>
        <v/>
      </c>
      <c r="Y30" s="60"/>
      <c r="Z30" s="67" t="str">
        <f t="shared" si="66"/>
        <v/>
      </c>
      <c r="AA30" s="60"/>
      <c r="AB30" s="67" t="str">
        <f t="shared" si="67"/>
        <v/>
      </c>
      <c r="AC30" s="60"/>
      <c r="AD30" s="67" t="str">
        <f t="shared" si="68"/>
        <v/>
      </c>
      <c r="AE30" s="60"/>
      <c r="AF30" s="67" t="str">
        <f t="shared" si="69"/>
        <v/>
      </c>
      <c r="AG30" s="60"/>
      <c r="AH30" s="67" t="str">
        <f t="shared" si="51"/>
        <v/>
      </c>
      <c r="AI30" s="60"/>
      <c r="AJ30" s="67" t="str">
        <f t="shared" si="70"/>
        <v/>
      </c>
      <c r="AK30" s="60"/>
      <c r="AL30" s="67" t="str">
        <f t="shared" si="52"/>
        <v/>
      </c>
      <c r="AM30" s="60"/>
      <c r="AN30" s="67" t="str">
        <f t="shared" si="53"/>
        <v/>
      </c>
      <c r="AO30" s="60"/>
      <c r="AP30" s="67" t="str">
        <f t="shared" si="54"/>
        <v/>
      </c>
      <c r="AQ30" s="60"/>
      <c r="AR30" s="67" t="str">
        <f t="shared" si="71"/>
        <v/>
      </c>
      <c r="AS30" s="60"/>
      <c r="AT30" s="67" t="str">
        <f t="shared" si="72"/>
        <v/>
      </c>
      <c r="AU30" s="60"/>
      <c r="AV30" s="67" t="str">
        <f t="shared" si="73"/>
        <v/>
      </c>
      <c r="AW30" s="60"/>
      <c r="AX30" s="67" t="str">
        <f t="shared" si="74"/>
        <v/>
      </c>
      <c r="AY30" s="60"/>
      <c r="AZ30" s="67" t="str">
        <f t="shared" si="75"/>
        <v/>
      </c>
      <c r="BA30" s="60"/>
      <c r="BB30" s="67" t="str">
        <f t="shared" si="76"/>
        <v/>
      </c>
      <c r="BC30" s="60"/>
      <c r="BD30" s="67" t="str">
        <f t="shared" si="77"/>
        <v/>
      </c>
      <c r="BE30" s="61"/>
      <c r="BF30" s="67" t="str">
        <f t="shared" si="55"/>
        <v/>
      </c>
      <c r="BG30" s="62"/>
      <c r="BH30" s="67" t="str">
        <f t="shared" si="78"/>
        <v/>
      </c>
      <c r="BI30" s="62"/>
      <c r="BJ30" s="67" t="str">
        <f t="shared" si="79"/>
        <v/>
      </c>
      <c r="BK30" s="62"/>
      <c r="BL30" s="67" t="str">
        <f t="shared" si="80"/>
        <v/>
      </c>
      <c r="BM30" s="62"/>
      <c r="BN30" s="67" t="str">
        <f t="shared" si="81"/>
        <v/>
      </c>
      <c r="BO30" s="62"/>
      <c r="BP30" s="67" t="str">
        <f t="shared" si="82"/>
        <v/>
      </c>
      <c r="BQ30" s="62"/>
      <c r="BR30" s="67" t="str">
        <f t="shared" si="56"/>
        <v/>
      </c>
      <c r="BS30" s="62"/>
      <c r="BT30" s="67" t="str">
        <f t="shared" si="83"/>
        <v/>
      </c>
      <c r="BU30" s="62"/>
      <c r="BV30" s="67" t="str">
        <f t="shared" si="57"/>
        <v/>
      </c>
      <c r="BW30" s="62"/>
      <c r="BX30" s="67" t="str">
        <f t="shared" si="84"/>
        <v/>
      </c>
      <c r="BY30" s="62"/>
      <c r="BZ30" s="67" t="str">
        <f t="shared" si="58"/>
        <v/>
      </c>
      <c r="CA30" s="62"/>
      <c r="CB30" s="67" t="str">
        <f t="shared" si="59"/>
        <v/>
      </c>
      <c r="CC30" s="62"/>
      <c r="CD30" s="67" t="str">
        <f t="shared" si="60"/>
        <v/>
      </c>
      <c r="CE30" s="62"/>
      <c r="CF30" s="67" t="str">
        <f t="shared" si="61"/>
        <v/>
      </c>
      <c r="CG30" s="62"/>
      <c r="CH30" s="67" t="str">
        <f t="shared" si="62"/>
        <v/>
      </c>
      <c r="CI30" s="62"/>
      <c r="CJ30" s="67" t="str">
        <f t="shared" si="63"/>
        <v/>
      </c>
      <c r="CK30" s="62"/>
      <c r="CL30" s="66" t="str">
        <f t="shared" si="64"/>
        <v/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35</v>
      </c>
      <c r="R35" s="71"/>
      <c r="AX35" s="67">
        <f t="shared" si="74"/>
        <v>0</v>
      </c>
      <c r="BF35" s="71">
        <f>SUM(BF4:BF33)</f>
        <v>824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18" zoomScaleNormal="100" workbookViewId="0">
      <selection activeCell="Q33" sqref="Q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85</v>
      </c>
      <c r="O29" s="40">
        <v>40</v>
      </c>
      <c r="P29" s="40">
        <v>85</v>
      </c>
      <c r="Q29" s="40">
        <v>2482</v>
      </c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85</v>
      </c>
      <c r="O30" s="40">
        <v>35</v>
      </c>
      <c r="P30" s="40">
        <v>85</v>
      </c>
      <c r="Q30" s="40">
        <v>2487</v>
      </c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85</v>
      </c>
      <c r="O31" s="40">
        <v>30</v>
      </c>
      <c r="P31" s="40">
        <v>85</v>
      </c>
      <c r="Q31" s="40">
        <v>2491</v>
      </c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85</v>
      </c>
      <c r="O32" s="40">
        <v>25</v>
      </c>
      <c r="P32" s="40">
        <v>85</v>
      </c>
      <c r="Q32" s="40">
        <v>2496</v>
      </c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85</v>
      </c>
      <c r="O33" s="40">
        <v>20</v>
      </c>
      <c r="P33" s="40">
        <v>85</v>
      </c>
      <c r="Q33" s="40">
        <v>2500</v>
      </c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2020-05-27T11:39:21Z</dcterms:modified>
</cp:coreProperties>
</file>