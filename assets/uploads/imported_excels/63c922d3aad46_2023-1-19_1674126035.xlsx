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filterPrivacy="1" defaultThemeVersion="124226"/>
  <xr:revisionPtr revIDLastSave="0" documentId="13_ncr:1_{8EFFDE08-C7AD-4260-B6C9-F5CA1A0E8D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6" l="1"/>
  <c r="B32" i="8" l="1"/>
  <c r="U23" i="2" l="1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L22" i="3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F22" i="3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0654830B-AFB0-436F-BA56-78E14FA29F8A}">
      <text>
        <r>
          <rPr>
            <sz val="11"/>
            <color theme="1"/>
            <rFont val="Calibri"/>
            <family val="2"/>
            <scheme val="minor"/>
          </rPr>
          <t>Comment:
    Informed meter reading has issue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<sst xmlns="http://schemas.openxmlformats.org/spreadsheetml/2006/main" count="201" uniqueCount="128">
  <si>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</si>
  <si>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</si>
  <si>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</si>
  <si>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</si>
  <si>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</si>
  <si>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</si>
  <si>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</si>
  <si>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</si>
  <si>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</si>
  <si>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</si>
  <si>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</si>
  <si>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</si>
  <si>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</si>
  <si>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</si>
  <si>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</si>
  <si>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</si>
  <si>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</si>
  <si>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</si>
  <si>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</si>
  <si>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</si>
  <si>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</si>
  <si>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</si>
  <si>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</si>
  <si>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</si>
  <si>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</si>
  <si>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</si>
  <si>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</si>
  <si>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</si>
  <si>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</si>
  <si>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</si>
  <si>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</si>
  <si>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</si>
  <si>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</si>
  <si>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</si>
  <si>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</si>
  <si>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</si>
  <si>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</si>
  <si>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</si>
  <si>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</si>
  <si>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</si>
  <si>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</si>
  <si>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</si>
  <si>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</si>
  <si>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</si>
  <si>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</si>
  <si>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</si>
  <si>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</si>
  <si>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</si>
  <si>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</si>
  <si>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</si>
  <si>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</si>
  <si>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</si>
  <si>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</si>
  <si>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</si>
  <si>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</si>
  <si>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</si>
  <si>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</si>
  <si>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</si>
  <si>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</si>
  <si>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</si>
  <si>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</si>
  <si>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</si>
  <si>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</si>
  <si>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</si>
  <si>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</si>
  <si>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</si>
  <si>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</si>
  <si>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</si>
  <si>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</si>
  <si>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</si>
  <si>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</si>
  <si>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</si>
  <si>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</si>
  <si>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</si>
  <si>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</si>
  <si>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</si>
  <si>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</si>
  <si>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</si>
  <si>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</si>
  <si>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</si>
  <si>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</si>
  <si>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</si>
  <si>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</si>
  <si>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</si>
  <si>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</si>
  <si>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</si>
  <si>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</si>
  <si>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</si>
  <si>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</si>
  <si>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</si>
  <si>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</si>
  <si>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</si>
  <si>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</si>
  <si>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</si>
  <si>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</si>
  <si>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</si>
  <si>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</si>
  <si>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</si>
  <si>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</si>
  <si>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</si>
  <si>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</si>
  <si>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</si>
  <si>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</si>
  <si>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</si>
  <si>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</si>
  <si>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</si>
  <si>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</si>
  <si>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</si>
  <si>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</si>
  <si>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</si>
  <si>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</si>
  <si>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</si>
  <si>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</si>
  <si>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</si>
  <si>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</si>
  <si>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</si>
  <si>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</si>
  <si>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</si>
  <si>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</si>
  <si>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</si>
  <si>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</si>
  <si>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</si>
  <si>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</si>
  <si>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</si>
  <si>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</si>
  <si>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</si>
  <si>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</si>
  <si>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>Total Fuel Oil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</si>
</sst>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09]d\-mmm;@"/>
    <numFmt numFmtId="166" formatCode="_(* #,##0.0_);_(* \(#,##0.0\);_(* &quot;-&quot;??_);_(@_)"/>
    <numFmt numFmtId="167" formatCode="_(* #,##0_);_(* \(#,##0\);_(* &quot;-&quot;??_);_(@_)"/>
    <numFmt numFmtId="168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164" fontId="2" fillId="3" borderId="1" xfId="2" applyFont="1" applyFill="1" applyBorder="1" applyAlignment="1">
      <alignment horizontal="center" vertical="center"/>
    </xf>
    <xf numFmtId="168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6" fontId="12" fillId="10" borderId="1" xfId="2" applyNumberFormat="1" applyFont="1" applyFill="1" applyBorder="1" applyAlignment="1">
      <alignment horizontal="center"/>
    </xf>
    <xf numFmtId="164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4" borderId="1" xfId="2" applyFont="1" applyFill="1" applyBorder="1" applyAlignment="1">
      <alignment horizontal="center" vertical="center"/>
    </xf>
    <xf numFmtId="164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164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7" fontId="6" fillId="9" borderId="1" xfId="1" applyNumberFormat="1" applyFill="1" applyBorder="1" applyAlignment="1">
      <alignment horizontal="center" vertical="center"/>
    </xf>
    <xf numFmtId="166" fontId="6" fillId="4" borderId="1" xfId="1" applyNumberFormat="1" applyFill="1" applyBorder="1" applyAlignment="1">
      <alignment vertical="center"/>
    </xf>
    <xf numFmtId="167" fontId="6" fillId="9" borderId="1" xfId="1" applyNumberFormat="1" applyFill="1" applyBorder="1" applyAlignment="1">
      <alignment horizontal="left" vertical="center"/>
    </xf>
    <xf numFmtId="164" fontId="6" fillId="4" borderId="1" xfId="1" applyNumberFormat="1" applyFill="1" applyBorder="1" applyAlignment="1">
      <alignment vertical="center"/>
    </xf>
    <xf numFmtId="167" fontId="6" fillId="4" borderId="1" xfId="1" applyNumberFormat="1" applyFill="1" applyBorder="1" applyAlignment="1">
      <alignment horizontal="left" vertical="center"/>
    </xf>
    <xf numFmtId="167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8" fontId="11" fillId="0" borderId="1" xfId="1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 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14240.000000000009</c:v>
                </c:pt>
                <c:pt idx="1">
                  <c:v>75200.000000000175</c:v>
                </c:pt>
                <c:pt idx="2">
                  <c:v>7429.9999999999782</c:v>
                </c:pt>
                <c:pt idx="3">
                  <c:v>22720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1386</c:v>
                </c:pt>
                <c:pt idx="1">
                  <c:v>0.11939012834869497</c:v>
                </c:pt>
                <c:pt idx="2" formatCode="_(* #,##0.00_);_(* \(#,##0.00\);_(* &quot;-&quot;??_);_(@_)">
                  <c:v>4238.5</c:v>
                </c:pt>
                <c:pt idx="3">
                  <c:v>0.36510466017744853</c:v>
                </c:pt>
                <c:pt idx="4" formatCode="0.00">
                  <c:v>274</c:v>
                </c:pt>
                <c:pt idx="5">
                  <c:v>2.3602377465759324E-2</c:v>
                </c:pt>
                <c:pt idx="6" formatCode="0.00">
                  <c:v>538</c:v>
                </c:pt>
                <c:pt idx="7">
                  <c:v>4.6343354294082179E-2</c:v>
                </c:pt>
                <c:pt idx="8" formatCode="0.00">
                  <c:v>165</c:v>
                </c:pt>
                <c:pt idx="9">
                  <c:v>1.4213110517701784E-2</c:v>
                </c:pt>
                <c:pt idx="10" formatCode="0.00">
                  <c:v>133.5</c:v>
                </c:pt>
                <c:pt idx="11">
                  <c:v>1.1499698509776897E-2</c:v>
                </c:pt>
                <c:pt idx="12" formatCode="0.00">
                  <c:v>28</c:v>
                </c:pt>
                <c:pt idx="13">
                  <c:v>2.411921784822121E-3</c:v>
                </c:pt>
                <c:pt idx="14" formatCode="_(* #,##0.00_);_(* \(#,##0.00\);_(* &quot;-&quot;??_);_(@_)">
                  <c:v>1844</c:v>
                </c:pt>
                <c:pt idx="15">
                  <c:v>0.15884227754328539</c:v>
                </c:pt>
                <c:pt idx="16" formatCode="0.00">
                  <c:v>549</c:v>
                </c:pt>
                <c:pt idx="17">
                  <c:v>4.7290894995262296E-2</c:v>
                </c:pt>
                <c:pt idx="18" formatCode="0.00">
                  <c:v>383</c:v>
                </c:pt>
                <c:pt idx="19">
                  <c:v>3.2991644413816863E-2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11609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9539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G2" sqref="G2"/>
    </sheetView>
  </sheetViews>
  <sheetFormatPr defaultColWidth="9.109375" defaultRowHeight="13.2" x14ac:dyDescent="0.25"/>
  <cols>
    <col min="1" max="1" width="23" style="42" bestFit="1" customWidth="1"/>
    <col min="2" max="4" width="9.109375" style="42"/>
    <col min="5" max="5" width="11" style="42" customWidth="1"/>
    <col min="6" max="6" width="12.109375" style="42" customWidth="1"/>
    <col min="7" max="7" width="10.33203125" style="42" customWidth="1"/>
    <col min="8" max="8" width="10.44140625" style="42" customWidth="1"/>
    <col min="9" max="9" width="10.88671875" style="42" customWidth="1"/>
    <col min="10" max="11" width="9.88671875" style="42" customWidth="1"/>
    <col min="12" max="12" width="9.5546875" style="42" customWidth="1"/>
    <col min="13" max="15" width="10.33203125" style="42" bestFit="1" customWidth="1"/>
    <col min="16" max="16384" width="9.109375" style="42"/>
  </cols>
  <sheetData>
    <row r="1" spans="1:15" ht="72" x14ac:dyDescent="0.25">
      <c r="A1" s="37" t="s">
        <v>0</v>
      </c>
      <c r="B1" s="37" t="s">
        <v>1</v>
      </c>
      <c r="C1" s="38" t="s">
        <v>2</v>
      </c>
      <c r="D1" s="37" t="s">
        <v>3</v>
      </c>
      <c r="E1" s="39" t="s">
        <v>4</v>
      </c>
      <c r="F1" s="40" t="s">
        <v>5</v>
      </c>
      <c r="G1" s="39" t="s">
        <v>127</v>
      </c>
      <c r="H1" s="40" t="s">
        <v>124</v>
      </c>
      <c r="I1" s="39" t="s">
        <v>125</v>
      </c>
      <c r="J1" s="40" t="s">
        <v>126</v>
      </c>
      <c r="K1" s="39" t="s">
        <v>122</v>
      </c>
      <c r="L1" s="41" t="s">
        <v>123</v>
      </c>
      <c r="M1" s="39" t="s">
        <v>6</v>
      </c>
      <c r="N1" s="39" t="s">
        <v>7</v>
      </c>
      <c r="O1" s="39" t="s">
        <v>8</v>
      </c>
    </row>
    <row r="2" spans="1:15" ht="14.4" x14ac:dyDescent="0.3">
      <c r="A2" s="43" t="s">
        <v>9</v>
      </c>
      <c r="B2" s="44">
        <v>1</v>
      </c>
      <c r="C2" s="45">
        <v>7</v>
      </c>
      <c r="D2" s="44">
        <v>2021</v>
      </c>
      <c r="E2" s="99">
        <v>22320.000000000167</v>
      </c>
      <c r="F2" s="46">
        <v>0.15</v>
      </c>
      <c r="G2" s="99">
        <v>5978</v>
      </c>
      <c r="H2" s="46">
        <v>0.5927</v>
      </c>
      <c r="I2" s="60">
        <v>227</v>
      </c>
      <c r="J2" s="70">
        <v>1.133</v>
      </c>
      <c r="K2" s="100"/>
      <c r="L2" s="70">
        <v>1.0900000000000001</v>
      </c>
      <c r="M2" s="67">
        <v>13</v>
      </c>
      <c r="N2" s="67">
        <v>35</v>
      </c>
      <c r="O2" s="67">
        <v>77</v>
      </c>
    </row>
    <row r="3" spans="1:15" ht="14.4" x14ac:dyDescent="0.3">
      <c r="A3" s="43" t="s">
        <v>9</v>
      </c>
      <c r="B3" s="44">
        <f>B2+1</f>
        <v>2</v>
      </c>
      <c r="C3" s="45">
        <v>7</v>
      </c>
      <c r="D3" s="44">
        <v>2021</v>
      </c>
      <c r="E3" s="99">
        <v>22910.000000000306</v>
      </c>
      <c r="F3" s="46">
        <v>0.15</v>
      </c>
      <c r="G3" s="99">
        <v>6232</v>
      </c>
      <c r="H3" s="46">
        <v>0.5927</v>
      </c>
      <c r="I3" s="60">
        <v>247</v>
      </c>
      <c r="J3" s="70">
        <v>1.133</v>
      </c>
      <c r="K3" s="100"/>
      <c r="L3" s="70">
        <v>1.0900000000000001</v>
      </c>
      <c r="M3" s="67">
        <v>13</v>
      </c>
      <c r="N3" s="67">
        <v>35</v>
      </c>
      <c r="O3" s="67">
        <v>96</v>
      </c>
    </row>
    <row r="4" spans="1:15" ht="14.4" x14ac:dyDescent="0.3">
      <c r="A4" s="43" t="s">
        <v>9</v>
      </c>
      <c r="B4" s="44">
        <f t="shared" ref="B4:B32" si="0">B3+1</f>
        <v>3</v>
      </c>
      <c r="C4" s="45">
        <v>7</v>
      </c>
      <c r="D4" s="44">
        <v>2021</v>
      </c>
      <c r="E4" s="99">
        <v>23560.000000001084</v>
      </c>
      <c r="F4" s="46">
        <v>0.15</v>
      </c>
      <c r="G4" s="99">
        <v>6371</v>
      </c>
      <c r="H4" s="46">
        <v>0.5927</v>
      </c>
      <c r="I4" s="60">
        <v>242</v>
      </c>
      <c r="J4" s="70">
        <v>1.133</v>
      </c>
      <c r="K4" s="100"/>
      <c r="L4" s="70">
        <v>1.0900000000000001</v>
      </c>
      <c r="M4" s="67">
        <v>13</v>
      </c>
      <c r="N4" s="67">
        <v>35</v>
      </c>
      <c r="O4" s="67">
        <v>93</v>
      </c>
    </row>
    <row r="5" spans="1:15" ht="14.4" x14ac:dyDescent="0.3">
      <c r="A5" s="43" t="s">
        <v>9</v>
      </c>
      <c r="B5" s="44">
        <f t="shared" si="0"/>
        <v>4</v>
      </c>
      <c r="C5" s="45">
        <v>7</v>
      </c>
      <c r="D5" s="44">
        <v>2021</v>
      </c>
      <c r="E5" s="99">
        <v>23199.999999998683</v>
      </c>
      <c r="F5" s="46">
        <v>0.15</v>
      </c>
      <c r="G5" s="99">
        <v>6318</v>
      </c>
      <c r="H5" s="46">
        <v>0.5927</v>
      </c>
      <c r="I5" s="60">
        <v>246</v>
      </c>
      <c r="J5" s="70">
        <v>1.133</v>
      </c>
      <c r="K5" s="100"/>
      <c r="L5" s="70">
        <v>1.0900000000000001</v>
      </c>
      <c r="M5" s="67">
        <v>13</v>
      </c>
      <c r="N5" s="67">
        <v>33</v>
      </c>
      <c r="O5" s="67">
        <v>80</v>
      </c>
    </row>
    <row r="6" spans="1:15" ht="14.4" x14ac:dyDescent="0.3">
      <c r="A6" s="43" t="s">
        <v>9</v>
      </c>
      <c r="B6" s="44">
        <f t="shared" si="0"/>
        <v>5</v>
      </c>
      <c r="C6" s="45">
        <v>7</v>
      </c>
      <c r="D6" s="44">
        <v>2021</v>
      </c>
      <c r="E6" s="99">
        <v>22669.999999998934</v>
      </c>
      <c r="F6" s="46">
        <v>0.15</v>
      </c>
      <c r="G6" s="99">
        <v>6184</v>
      </c>
      <c r="H6" s="46">
        <v>0.5927</v>
      </c>
      <c r="I6" s="60">
        <v>245</v>
      </c>
      <c r="J6" s="70">
        <v>1.133</v>
      </c>
      <c r="K6" s="100">
        <v>990</v>
      </c>
      <c r="L6" s="70">
        <v>1.0900000000000001</v>
      </c>
      <c r="M6" s="67">
        <v>15</v>
      </c>
      <c r="N6" s="67">
        <v>43</v>
      </c>
      <c r="O6" s="67">
        <v>117</v>
      </c>
    </row>
    <row r="7" spans="1:15" ht="14.4" x14ac:dyDescent="0.3">
      <c r="A7" s="43" t="s">
        <v>9</v>
      </c>
      <c r="B7" s="44">
        <f t="shared" si="0"/>
        <v>6</v>
      </c>
      <c r="C7" s="45">
        <v>7</v>
      </c>
      <c r="D7" s="44">
        <v>2021</v>
      </c>
      <c r="E7" s="99">
        <v>22710.000000002081</v>
      </c>
      <c r="F7" s="46">
        <v>0.15</v>
      </c>
      <c r="G7" s="99">
        <v>6070</v>
      </c>
      <c r="H7" s="46">
        <v>0.5927</v>
      </c>
      <c r="I7" s="60">
        <v>240</v>
      </c>
      <c r="J7" s="70">
        <v>1.133</v>
      </c>
      <c r="K7" s="100"/>
      <c r="L7" s="70">
        <v>1.0900000000000001</v>
      </c>
      <c r="M7" s="67">
        <v>10</v>
      </c>
      <c r="N7" s="67">
        <v>31</v>
      </c>
      <c r="O7" s="67">
        <v>97</v>
      </c>
    </row>
    <row r="8" spans="1:15" ht="14.4" x14ac:dyDescent="0.3">
      <c r="A8" s="43" t="s">
        <v>9</v>
      </c>
      <c r="B8" s="44">
        <f t="shared" si="0"/>
        <v>7</v>
      </c>
      <c r="C8" s="45">
        <v>7</v>
      </c>
      <c r="D8" s="44">
        <v>2021</v>
      </c>
      <c r="E8" s="99">
        <v>23189.99999999869</v>
      </c>
      <c r="F8" s="46">
        <v>0.15</v>
      </c>
      <c r="G8" s="99">
        <v>6272</v>
      </c>
      <c r="H8" s="46">
        <v>0.5927</v>
      </c>
      <c r="I8" s="60">
        <v>226</v>
      </c>
      <c r="J8" s="70">
        <v>1.133</v>
      </c>
      <c r="K8" s="100"/>
      <c r="L8" s="70">
        <v>1.0900000000000001</v>
      </c>
      <c r="M8" s="67">
        <v>10</v>
      </c>
      <c r="N8" s="67">
        <v>35</v>
      </c>
      <c r="O8" s="67">
        <v>93</v>
      </c>
    </row>
    <row r="9" spans="1:15" ht="14.4" x14ac:dyDescent="0.3">
      <c r="A9" s="43" t="s">
        <v>9</v>
      </c>
      <c r="B9" s="44">
        <f t="shared" si="0"/>
        <v>8</v>
      </c>
      <c r="C9" s="45">
        <v>7</v>
      </c>
      <c r="D9" s="44">
        <v>2021</v>
      </c>
      <c r="E9" s="99">
        <v>22890.000000000327</v>
      </c>
      <c r="F9" s="46">
        <v>0.15</v>
      </c>
      <c r="G9" s="99">
        <v>6236</v>
      </c>
      <c r="H9" s="46">
        <v>0.5927</v>
      </c>
      <c r="I9" s="60">
        <v>235</v>
      </c>
      <c r="J9" s="70">
        <v>1.133</v>
      </c>
      <c r="K9" s="100"/>
      <c r="L9" s="70">
        <v>1.0900000000000001</v>
      </c>
      <c r="M9" s="67">
        <v>13</v>
      </c>
      <c r="N9" s="67">
        <v>36</v>
      </c>
      <c r="O9" s="67">
        <v>117</v>
      </c>
    </row>
    <row r="10" spans="1:15" ht="14.4" x14ac:dyDescent="0.3">
      <c r="A10" s="43" t="s">
        <v>9</v>
      </c>
      <c r="B10" s="44">
        <f t="shared" si="0"/>
        <v>9</v>
      </c>
      <c r="C10" s="45">
        <v>7</v>
      </c>
      <c r="D10" s="44">
        <v>2021</v>
      </c>
      <c r="E10" s="99">
        <v>19059.99999999904</v>
      </c>
      <c r="F10" s="46">
        <v>0.15</v>
      </c>
      <c r="G10" s="99">
        <v>5185</v>
      </c>
      <c r="H10" s="46">
        <v>0.5927</v>
      </c>
      <c r="I10" s="60">
        <v>325</v>
      </c>
      <c r="J10" s="70">
        <v>1.133</v>
      </c>
      <c r="K10" s="100"/>
      <c r="L10" s="70">
        <v>1.0900000000000001</v>
      </c>
      <c r="M10" s="67">
        <v>12</v>
      </c>
      <c r="N10" s="67">
        <v>32</v>
      </c>
      <c r="O10" s="67">
        <v>83</v>
      </c>
    </row>
    <row r="11" spans="1:15" ht="14.4" x14ac:dyDescent="0.3">
      <c r="A11" s="43" t="s">
        <v>9</v>
      </c>
      <c r="B11" s="44">
        <f t="shared" si="0"/>
        <v>10</v>
      </c>
      <c r="C11" s="45">
        <v>7</v>
      </c>
      <c r="D11" s="44">
        <v>2021</v>
      </c>
      <c r="E11" s="99">
        <v>21280.000000001113</v>
      </c>
      <c r="F11" s="46">
        <v>0.15</v>
      </c>
      <c r="G11" s="99">
        <v>5833</v>
      </c>
      <c r="H11" s="46">
        <v>0.5927</v>
      </c>
      <c r="I11" s="60">
        <v>239</v>
      </c>
      <c r="J11" s="70">
        <v>1.133</v>
      </c>
      <c r="K11" s="100"/>
      <c r="L11" s="70">
        <v>1.0900000000000001</v>
      </c>
      <c r="M11" s="67">
        <v>11</v>
      </c>
      <c r="N11" s="67">
        <v>27</v>
      </c>
      <c r="O11" s="67">
        <v>87</v>
      </c>
    </row>
    <row r="12" spans="1:15" ht="14.4" x14ac:dyDescent="0.3">
      <c r="A12" s="43" t="s">
        <v>9</v>
      </c>
      <c r="B12" s="44">
        <f t="shared" si="0"/>
        <v>11</v>
      </c>
      <c r="C12" s="45">
        <v>7</v>
      </c>
      <c r="D12" s="44">
        <v>2021</v>
      </c>
      <c r="E12" s="99">
        <v>23830.000000000378</v>
      </c>
      <c r="F12" s="46">
        <v>0.15</v>
      </c>
      <c r="G12" s="99">
        <v>6356</v>
      </c>
      <c r="H12" s="46">
        <v>0.5927</v>
      </c>
      <c r="I12" s="60">
        <v>376</v>
      </c>
      <c r="J12" s="70">
        <v>1.133</v>
      </c>
      <c r="K12" s="100"/>
      <c r="L12" s="70">
        <v>1.0900000000000001</v>
      </c>
      <c r="M12" s="67">
        <v>9</v>
      </c>
      <c r="N12" s="67">
        <v>23</v>
      </c>
      <c r="O12" s="67">
        <v>54</v>
      </c>
    </row>
    <row r="13" spans="1:15" ht="14.4" x14ac:dyDescent="0.3">
      <c r="A13" s="43" t="s">
        <v>9</v>
      </c>
      <c r="B13" s="44">
        <f t="shared" si="0"/>
        <v>12</v>
      </c>
      <c r="C13" s="45">
        <v>7</v>
      </c>
      <c r="D13" s="44">
        <v>2021</v>
      </c>
      <c r="E13" s="99">
        <v>22739.999999998417</v>
      </c>
      <c r="F13" s="46">
        <v>0.15</v>
      </c>
      <c r="G13" s="99">
        <v>6141</v>
      </c>
      <c r="H13" s="46">
        <v>0.5927</v>
      </c>
      <c r="I13" s="60">
        <v>387</v>
      </c>
      <c r="J13" s="70">
        <v>1.133</v>
      </c>
      <c r="K13" s="100">
        <v>615</v>
      </c>
      <c r="L13" s="70">
        <v>1.0900000000000001</v>
      </c>
      <c r="M13" s="67">
        <v>14</v>
      </c>
      <c r="N13" s="67">
        <v>31</v>
      </c>
      <c r="O13" s="67">
        <v>83</v>
      </c>
    </row>
    <row r="14" spans="1:15" ht="14.4" x14ac:dyDescent="0.3">
      <c r="A14" s="43" t="s">
        <v>9</v>
      </c>
      <c r="B14" s="44">
        <f t="shared" si="0"/>
        <v>13</v>
      </c>
      <c r="C14" s="45">
        <v>7</v>
      </c>
      <c r="D14" s="44">
        <v>2021</v>
      </c>
      <c r="E14" s="99">
        <v>22780.000000002023</v>
      </c>
      <c r="F14" s="46">
        <v>0.15</v>
      </c>
      <c r="G14" s="99">
        <v>6142</v>
      </c>
      <c r="H14" s="46">
        <v>0.5927</v>
      </c>
      <c r="I14" s="60">
        <v>253</v>
      </c>
      <c r="J14" s="70">
        <v>1.133</v>
      </c>
      <c r="K14" s="100">
        <v>630</v>
      </c>
      <c r="L14" s="70">
        <v>1.0900000000000001</v>
      </c>
      <c r="M14" s="67">
        <v>16</v>
      </c>
      <c r="N14" s="67">
        <v>40</v>
      </c>
      <c r="O14" s="67">
        <v>97</v>
      </c>
    </row>
    <row r="15" spans="1:15" ht="14.4" x14ac:dyDescent="0.3">
      <c r="A15" s="43" t="s">
        <v>9</v>
      </c>
      <c r="B15" s="44">
        <f t="shared" si="0"/>
        <v>14</v>
      </c>
      <c r="C15" s="45">
        <v>7</v>
      </c>
      <c r="D15" s="44">
        <v>2021</v>
      </c>
      <c r="E15" s="99">
        <v>22879.9999999992</v>
      </c>
      <c r="F15" s="46">
        <v>0.15</v>
      </c>
      <c r="G15" s="99">
        <v>6162</v>
      </c>
      <c r="H15" s="46">
        <v>0.5927</v>
      </c>
      <c r="I15" s="60">
        <v>263</v>
      </c>
      <c r="J15" s="70">
        <v>1.133</v>
      </c>
      <c r="K15" s="100"/>
      <c r="L15" s="70">
        <v>1.0900000000000001</v>
      </c>
      <c r="M15" s="67">
        <v>57</v>
      </c>
      <c r="N15" s="67">
        <v>115</v>
      </c>
      <c r="O15" s="67">
        <v>249</v>
      </c>
    </row>
    <row r="16" spans="1:15" ht="14.4" x14ac:dyDescent="0.3">
      <c r="A16" s="43" t="s">
        <v>9</v>
      </c>
      <c r="B16" s="44">
        <f t="shared" si="0"/>
        <v>15</v>
      </c>
      <c r="C16" s="45">
        <v>7</v>
      </c>
      <c r="D16" s="44">
        <v>2021</v>
      </c>
      <c r="E16" s="99">
        <v>23499.999999999091</v>
      </c>
      <c r="F16" s="46">
        <v>0.15</v>
      </c>
      <c r="G16" s="99">
        <v>6437</v>
      </c>
      <c r="H16" s="46">
        <v>0.5927</v>
      </c>
      <c r="I16" s="60">
        <v>289</v>
      </c>
      <c r="J16" s="70">
        <v>1.133</v>
      </c>
      <c r="K16" s="100">
        <v>730</v>
      </c>
      <c r="L16" s="70">
        <v>1.0900000000000001</v>
      </c>
      <c r="M16" s="67">
        <v>57</v>
      </c>
      <c r="N16" s="67">
        <v>116</v>
      </c>
      <c r="O16" s="67">
        <v>243</v>
      </c>
    </row>
    <row r="17" spans="1:15" ht="14.4" x14ac:dyDescent="0.3">
      <c r="A17" s="43" t="s">
        <v>9</v>
      </c>
      <c r="B17" s="44">
        <f t="shared" si="0"/>
        <v>16</v>
      </c>
      <c r="C17" s="45">
        <v>7</v>
      </c>
      <c r="D17" s="44">
        <v>2021</v>
      </c>
      <c r="E17" s="99">
        <v>23690.000000000284</v>
      </c>
      <c r="F17" s="46">
        <v>0.15</v>
      </c>
      <c r="G17" s="99">
        <v>6365</v>
      </c>
      <c r="H17" s="46">
        <v>0.5927</v>
      </c>
      <c r="I17" s="60">
        <v>324</v>
      </c>
      <c r="J17" s="70">
        <v>1.133</v>
      </c>
      <c r="K17" s="100"/>
      <c r="L17" s="70">
        <v>1.0900000000000001</v>
      </c>
      <c r="M17" s="67">
        <v>57</v>
      </c>
      <c r="N17" s="67">
        <v>112</v>
      </c>
      <c r="O17" s="67">
        <v>323</v>
      </c>
    </row>
    <row r="18" spans="1:15" ht="14.4" x14ac:dyDescent="0.3">
      <c r="A18" s="43" t="s">
        <v>9</v>
      </c>
      <c r="B18" s="44">
        <f t="shared" si="0"/>
        <v>17</v>
      </c>
      <c r="C18" s="45">
        <v>7</v>
      </c>
      <c r="D18" s="44">
        <v>2021</v>
      </c>
      <c r="E18" s="99">
        <v>24750.000000001364</v>
      </c>
      <c r="F18" s="46">
        <v>0.15</v>
      </c>
      <c r="G18" s="99">
        <v>6742</v>
      </c>
      <c r="H18" s="46">
        <v>0.5927</v>
      </c>
      <c r="I18" s="60">
        <v>244</v>
      </c>
      <c r="J18" s="70">
        <v>1.133</v>
      </c>
      <c r="K18" s="100"/>
      <c r="L18" s="70">
        <v>1.0900000000000001</v>
      </c>
      <c r="M18" s="67">
        <v>58</v>
      </c>
      <c r="N18" s="67">
        <v>117</v>
      </c>
      <c r="O18" s="67">
        <v>270</v>
      </c>
    </row>
    <row r="19" spans="1:15" ht="14.4" x14ac:dyDescent="0.3">
      <c r="A19" s="43" t="s">
        <v>9</v>
      </c>
      <c r="B19" s="44">
        <f t="shared" si="0"/>
        <v>18</v>
      </c>
      <c r="C19" s="45">
        <v>7</v>
      </c>
      <c r="D19" s="44">
        <v>2021</v>
      </c>
      <c r="E19" s="99">
        <v>23820.00000000016</v>
      </c>
      <c r="F19" s="46">
        <v>0.15</v>
      </c>
      <c r="G19" s="99">
        <v>6548</v>
      </c>
      <c r="H19" s="46">
        <v>0.5927</v>
      </c>
      <c r="I19" s="60">
        <v>244</v>
      </c>
      <c r="J19" s="70">
        <v>1.133</v>
      </c>
      <c r="K19" s="100"/>
      <c r="L19" s="70">
        <v>1.0900000000000001</v>
      </c>
      <c r="M19" s="67">
        <v>58</v>
      </c>
      <c r="N19" s="67">
        <v>119</v>
      </c>
      <c r="O19" s="67">
        <v>272</v>
      </c>
    </row>
    <row r="20" spans="1:15" ht="14.4" x14ac:dyDescent="0.3">
      <c r="A20" s="43" t="s">
        <v>9</v>
      </c>
      <c r="B20" s="44">
        <f t="shared" si="0"/>
        <v>19</v>
      </c>
      <c r="C20" s="45">
        <v>7</v>
      </c>
      <c r="D20" s="44">
        <v>2021</v>
      </c>
      <c r="E20" s="99">
        <v>23509.999999998628</v>
      </c>
      <c r="F20" s="46">
        <v>0.15</v>
      </c>
      <c r="G20" s="99">
        <v>6641</v>
      </c>
      <c r="H20" s="46">
        <v>0.5927</v>
      </c>
      <c r="I20" s="60">
        <v>306</v>
      </c>
      <c r="J20" s="70">
        <v>1.133</v>
      </c>
      <c r="K20" s="100"/>
      <c r="L20" s="70">
        <v>1.0900000000000001</v>
      </c>
      <c r="M20" s="67">
        <v>16</v>
      </c>
      <c r="N20" s="67">
        <v>41</v>
      </c>
      <c r="O20" s="67">
        <v>173</v>
      </c>
    </row>
    <row r="21" spans="1:15" ht="14.4" x14ac:dyDescent="0.3">
      <c r="A21" s="43" t="s">
        <v>9</v>
      </c>
      <c r="B21" s="44">
        <f t="shared" si="0"/>
        <v>20</v>
      </c>
      <c r="C21" s="45">
        <v>7</v>
      </c>
      <c r="D21" s="44">
        <v>2021</v>
      </c>
      <c r="E21" s="99">
        <v>25200.000000000728</v>
      </c>
      <c r="F21" s="46">
        <v>0.15</v>
      </c>
      <c r="G21" s="99">
        <v>6679</v>
      </c>
      <c r="H21" s="46">
        <v>0.5927</v>
      </c>
      <c r="I21" s="60">
        <v>270</v>
      </c>
      <c r="J21" s="70">
        <v>1.133</v>
      </c>
      <c r="K21" s="100"/>
      <c r="L21" s="70">
        <v>1.0900000000000001</v>
      </c>
      <c r="M21" s="67">
        <v>15</v>
      </c>
      <c r="N21" s="67">
        <v>57</v>
      </c>
      <c r="O21" s="67">
        <v>152</v>
      </c>
    </row>
    <row r="22" spans="1:15" ht="14.4" x14ac:dyDescent="0.3">
      <c r="A22" s="43" t="s">
        <v>9</v>
      </c>
      <c r="B22" s="44">
        <f t="shared" si="0"/>
        <v>21</v>
      </c>
      <c r="C22" s="45">
        <v>7</v>
      </c>
      <c r="D22" s="44">
        <v>2021</v>
      </c>
      <c r="E22" s="99">
        <v>22999.999999999091</v>
      </c>
      <c r="F22" s="46">
        <v>0.15</v>
      </c>
      <c r="G22" s="99">
        <v>6094</v>
      </c>
      <c r="H22" s="46">
        <v>0.5927</v>
      </c>
      <c r="I22" s="60">
        <v>323</v>
      </c>
      <c r="J22" s="70">
        <v>1.133</v>
      </c>
      <c r="K22" s="100"/>
      <c r="L22" s="70">
        <v>1.0900000000000001</v>
      </c>
      <c r="M22" s="67">
        <v>32</v>
      </c>
      <c r="N22" s="67">
        <v>100</v>
      </c>
      <c r="O22" s="67">
        <v>245</v>
      </c>
    </row>
    <row r="23" spans="1:15" ht="14.4" x14ac:dyDescent="0.3">
      <c r="A23" s="43" t="s">
        <v>9</v>
      </c>
      <c r="B23" s="44">
        <f t="shared" si="0"/>
        <v>22</v>
      </c>
      <c r="C23" s="45">
        <v>7</v>
      </c>
      <c r="D23" s="44">
        <v>2021</v>
      </c>
      <c r="E23" s="99">
        <v>24500.000000001361</v>
      </c>
      <c r="F23" s="46">
        <v>0.15</v>
      </c>
      <c r="G23" s="99">
        <v>7298</v>
      </c>
      <c r="H23" s="46">
        <v>0.5927</v>
      </c>
      <c r="I23" s="60">
        <v>255</v>
      </c>
      <c r="J23" s="70">
        <v>1.133</v>
      </c>
      <c r="K23" s="100"/>
      <c r="L23" s="70">
        <v>1.0900000000000001</v>
      </c>
      <c r="M23" s="67">
        <v>46</v>
      </c>
      <c r="N23" s="67">
        <v>124</v>
      </c>
      <c r="O23" s="67">
        <v>334</v>
      </c>
    </row>
    <row r="24" spans="1:15" ht="14.4" x14ac:dyDescent="0.3">
      <c r="A24" s="43" t="s">
        <v>9</v>
      </c>
      <c r="B24" s="44">
        <f t="shared" si="0"/>
        <v>23</v>
      </c>
      <c r="C24" s="45">
        <v>7</v>
      </c>
      <c r="D24" s="44">
        <v>2021</v>
      </c>
      <c r="E24" s="99">
        <v>22229.999999998883</v>
      </c>
      <c r="F24" s="46">
        <v>0.15</v>
      </c>
      <c r="G24" s="99">
        <v>5720</v>
      </c>
      <c r="H24" s="46">
        <v>0.5927</v>
      </c>
      <c r="I24" s="60">
        <v>281</v>
      </c>
      <c r="J24" s="70">
        <v>1.133</v>
      </c>
      <c r="K24" s="100">
        <v>1080</v>
      </c>
      <c r="L24" s="70">
        <v>1.0900000000000001</v>
      </c>
      <c r="M24" s="67">
        <v>39</v>
      </c>
      <c r="N24" s="67">
        <v>107</v>
      </c>
      <c r="O24" s="67">
        <v>287</v>
      </c>
    </row>
    <row r="25" spans="1:15" ht="14.4" x14ac:dyDescent="0.3">
      <c r="A25" s="43" t="s">
        <v>9</v>
      </c>
      <c r="B25" s="44">
        <f t="shared" si="0"/>
        <v>24</v>
      </c>
      <c r="C25" s="45">
        <v>7</v>
      </c>
      <c r="D25" s="44">
        <v>2021</v>
      </c>
      <c r="E25" s="99">
        <v>22500.000000000684</v>
      </c>
      <c r="F25" s="46">
        <v>0.15</v>
      </c>
      <c r="G25" s="99">
        <v>6230</v>
      </c>
      <c r="H25" s="46">
        <v>0.5927</v>
      </c>
      <c r="I25" s="60">
        <v>243</v>
      </c>
      <c r="J25" s="70">
        <v>1.133</v>
      </c>
      <c r="K25" s="100"/>
      <c r="L25" s="70">
        <v>1.0900000000000001</v>
      </c>
      <c r="M25" s="67">
        <v>41</v>
      </c>
      <c r="N25" s="67">
        <v>113</v>
      </c>
      <c r="O25" s="67">
        <v>262</v>
      </c>
    </row>
    <row r="26" spans="1:15" ht="14.4" x14ac:dyDescent="0.3">
      <c r="A26" s="43" t="s">
        <v>9</v>
      </c>
      <c r="B26" s="44">
        <f>B25+1</f>
        <v>25</v>
      </c>
      <c r="C26" s="45">
        <v>7</v>
      </c>
      <c r="D26" s="44">
        <v>2021</v>
      </c>
      <c r="E26" s="99">
        <v>22320.000000000393</v>
      </c>
      <c r="F26" s="46">
        <v>0.15</v>
      </c>
      <c r="G26" s="99">
        <v>6108</v>
      </c>
      <c r="H26" s="46">
        <v>0.5927</v>
      </c>
      <c r="I26" s="60">
        <v>256</v>
      </c>
      <c r="J26" s="70">
        <v>1.133</v>
      </c>
      <c r="K26" s="100"/>
      <c r="L26" s="70">
        <v>1.0900000000000001</v>
      </c>
      <c r="M26" s="67">
        <v>31</v>
      </c>
      <c r="N26" s="67">
        <v>87</v>
      </c>
      <c r="O26" s="67">
        <v>236</v>
      </c>
    </row>
    <row r="27" spans="1:15" ht="14.4" x14ac:dyDescent="0.3">
      <c r="A27" s="43" t="s">
        <v>9</v>
      </c>
      <c r="B27" s="44">
        <f t="shared" si="0"/>
        <v>26</v>
      </c>
      <c r="C27" s="45">
        <v>7</v>
      </c>
      <c r="D27" s="44">
        <v>2021</v>
      </c>
      <c r="E27" s="99">
        <v>21090.000000000146</v>
      </c>
      <c r="F27" s="46">
        <v>0.15</v>
      </c>
      <c r="G27" s="99">
        <v>5881</v>
      </c>
      <c r="H27" s="46">
        <v>0.5927</v>
      </c>
      <c r="I27" s="60">
        <v>280</v>
      </c>
      <c r="J27" s="70">
        <v>1.133</v>
      </c>
      <c r="K27" s="100"/>
      <c r="L27" s="70">
        <v>1.0900000000000001</v>
      </c>
      <c r="M27" s="67">
        <v>27</v>
      </c>
      <c r="N27" s="67">
        <v>79</v>
      </c>
      <c r="O27" s="67">
        <v>198</v>
      </c>
    </row>
    <row r="28" spans="1:15" ht="14.4" x14ac:dyDescent="0.3">
      <c r="A28" s="43" t="s">
        <v>9</v>
      </c>
      <c r="B28" s="44">
        <f t="shared" si="0"/>
        <v>27</v>
      </c>
      <c r="C28" s="45">
        <v>7</v>
      </c>
      <c r="D28" s="44">
        <v>2021</v>
      </c>
      <c r="E28" s="99">
        <v>21809.999999998807</v>
      </c>
      <c r="F28" s="46">
        <v>0.15</v>
      </c>
      <c r="G28" s="99">
        <v>5805</v>
      </c>
      <c r="H28" s="46">
        <v>0.5927</v>
      </c>
      <c r="I28" s="60">
        <v>322</v>
      </c>
      <c r="J28" s="70">
        <v>1.133</v>
      </c>
      <c r="K28" s="100"/>
      <c r="L28" s="70">
        <v>1.0900000000000001</v>
      </c>
      <c r="M28" s="67">
        <v>33</v>
      </c>
      <c r="N28" s="67">
        <v>86</v>
      </c>
      <c r="O28" s="67">
        <v>217</v>
      </c>
    </row>
    <row r="29" spans="1:15" ht="14.4" x14ac:dyDescent="0.3">
      <c r="A29" s="43" t="s">
        <v>9</v>
      </c>
      <c r="B29" s="44">
        <f t="shared" si="0"/>
        <v>28</v>
      </c>
      <c r="C29" s="45">
        <v>7</v>
      </c>
      <c r="D29" s="44">
        <v>2021</v>
      </c>
      <c r="E29" s="99">
        <v>20820.000000001073</v>
      </c>
      <c r="F29" s="46">
        <v>0.15</v>
      </c>
      <c r="G29" s="99">
        <v>5682</v>
      </c>
      <c r="H29" s="46">
        <v>0.5927</v>
      </c>
      <c r="I29" s="60">
        <v>427</v>
      </c>
      <c r="J29" s="70">
        <v>1.133</v>
      </c>
      <c r="K29" s="100"/>
      <c r="L29" s="70">
        <v>1.0900000000000001</v>
      </c>
      <c r="M29" s="67">
        <v>28</v>
      </c>
      <c r="N29" s="67">
        <v>66</v>
      </c>
      <c r="O29" s="67">
        <v>204</v>
      </c>
    </row>
    <row r="30" spans="1:15" ht="14.4" x14ac:dyDescent="0.3">
      <c r="A30" s="43" t="s">
        <v>9</v>
      </c>
      <c r="B30" s="44">
        <f t="shared" si="0"/>
        <v>29</v>
      </c>
      <c r="C30" s="45">
        <v>7</v>
      </c>
      <c r="D30" s="44">
        <v>2021</v>
      </c>
      <c r="E30" s="99">
        <v>21729.999999999789</v>
      </c>
      <c r="F30" s="46">
        <v>0.15</v>
      </c>
      <c r="G30" s="99">
        <v>5978</v>
      </c>
      <c r="H30" s="46">
        <v>0.5927</v>
      </c>
      <c r="I30" s="60">
        <v>280</v>
      </c>
      <c r="J30" s="70">
        <v>1.133</v>
      </c>
      <c r="K30" s="100"/>
      <c r="L30" s="70">
        <v>1.0900000000000001</v>
      </c>
      <c r="M30" s="67">
        <v>23</v>
      </c>
      <c r="N30" s="67">
        <v>49</v>
      </c>
      <c r="O30" s="67">
        <v>165</v>
      </c>
    </row>
    <row r="31" spans="1:15" ht="14.4" x14ac:dyDescent="0.3">
      <c r="A31" s="43" t="s">
        <v>9</v>
      </c>
      <c r="B31" s="44">
        <f t="shared" si="0"/>
        <v>30</v>
      </c>
      <c r="C31" s="45">
        <v>7</v>
      </c>
      <c r="D31" s="44">
        <v>2021</v>
      </c>
      <c r="E31" s="99">
        <v>21699.999999998909</v>
      </c>
      <c r="F31" s="46">
        <v>0.15</v>
      </c>
      <c r="G31" s="99">
        <v>5518</v>
      </c>
      <c r="H31" s="46">
        <v>0.5927</v>
      </c>
      <c r="I31" s="60">
        <v>326</v>
      </c>
      <c r="J31" s="70">
        <v>1.133</v>
      </c>
      <c r="K31" s="100">
        <v>945</v>
      </c>
      <c r="L31" s="70">
        <v>1.0900000000000001</v>
      </c>
      <c r="M31" s="67">
        <v>14</v>
      </c>
      <c r="N31" s="67">
        <v>27</v>
      </c>
      <c r="O31" s="67">
        <v>106</v>
      </c>
    </row>
    <row r="32" spans="1:15" ht="14.4" x14ac:dyDescent="0.3">
      <c r="A32" s="43" t="s">
        <v>9</v>
      </c>
      <c r="B32" s="44">
        <f t="shared" si="0"/>
        <v>31</v>
      </c>
      <c r="C32" s="45">
        <v>7</v>
      </c>
      <c r="D32" s="44">
        <v>2021</v>
      </c>
      <c r="E32" s="99">
        <v>21920.000000000528</v>
      </c>
      <c r="F32" s="46">
        <v>0.15</v>
      </c>
      <c r="G32" s="99">
        <v>6393</v>
      </c>
      <c r="H32" s="46">
        <v>0.5927</v>
      </c>
      <c r="I32" s="60">
        <v>325</v>
      </c>
      <c r="J32" s="70">
        <v>1.133</v>
      </c>
      <c r="K32" s="100">
        <v>990</v>
      </c>
      <c r="L32" s="70">
        <v>1.0900000000000001</v>
      </c>
      <c r="M32" s="67">
        <v>13</v>
      </c>
      <c r="N32" s="67">
        <v>25</v>
      </c>
      <c r="O32" s="67">
        <v>84</v>
      </c>
    </row>
    <row r="33" spans="1:15" ht="18.75" customHeight="1" x14ac:dyDescent="0.25">
      <c r="A33" s="104" t="s">
        <v>53</v>
      </c>
      <c r="B33" s="104"/>
      <c r="C33" s="104"/>
      <c r="D33" s="104"/>
      <c r="E33" s="93">
        <f>SUM(E2:E32)</f>
        <v>704110.00000000023</v>
      </c>
      <c r="F33" s="96">
        <v>0</v>
      </c>
      <c r="G33" s="93">
        <f>SUM(G2:G32)</f>
        <v>191599</v>
      </c>
      <c r="H33" s="94">
        <v>0</v>
      </c>
      <c r="I33" s="95">
        <f>SUM(I2:I32)</f>
        <v>8746</v>
      </c>
      <c r="J33" s="96">
        <v>0</v>
      </c>
      <c r="K33" s="97">
        <f>SUM(K2:K32)</f>
        <v>5980</v>
      </c>
      <c r="L33" s="94">
        <v>0</v>
      </c>
      <c r="M33" s="98">
        <f t="shared" ref="M33:O33" si="1">SUM(M2:M32)</f>
        <v>807</v>
      </c>
      <c r="N33" s="98">
        <f t="shared" si="1"/>
        <v>1976</v>
      </c>
      <c r="O33" s="98">
        <f t="shared" si="1"/>
        <v>5194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34"/>
    </sheetView>
  </sheetViews>
  <sheetFormatPr defaultRowHeight="14.4" x14ac:dyDescent="0.3"/>
  <cols>
    <col min="1" max="1" width="10.6640625" bestFit="1" customWidth="1"/>
    <col min="2" max="2" width="10.88671875" customWidth="1"/>
    <col min="3" max="3" width="10.88671875" style="15" customWidth="1"/>
    <col min="4" max="4" width="13" customWidth="1"/>
    <col min="5" max="5" width="13.33203125" bestFit="1" customWidth="1"/>
    <col min="6" max="6" width="10.88671875" style="15" customWidth="1"/>
    <col min="7" max="9" width="10.88671875" customWidth="1"/>
    <col min="10" max="12" width="10.88671875" style="15" customWidth="1"/>
    <col min="13" max="19" width="10.88671875" customWidth="1"/>
    <col min="20" max="20" width="10.88671875" style="15" customWidth="1"/>
    <col min="22" max="22" width="10.109375" customWidth="1"/>
    <col min="23" max="23" width="11.33203125" customWidth="1"/>
    <col min="24" max="24" width="10.5546875" customWidth="1"/>
  </cols>
  <sheetData>
    <row r="1" spans="1:25" ht="25.8" x14ac:dyDescent="0.3">
      <c r="A1" s="105" t="s">
        <v>10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71"/>
      <c r="V1" s="71"/>
    </row>
    <row r="2" spans="1:25" s="16" customFormat="1" ht="33" customHeight="1" x14ac:dyDescent="0.3">
      <c r="A2" s="28" t="s">
        <v>2</v>
      </c>
      <c r="B2" s="112" t="s">
        <v>11</v>
      </c>
      <c r="C2" s="112" t="s">
        <v>12</v>
      </c>
      <c r="D2" s="112" t="s">
        <v>13</v>
      </c>
      <c r="E2" s="112" t="s">
        <v>14</v>
      </c>
      <c r="F2" s="112" t="s">
        <v>15</v>
      </c>
      <c r="G2" s="107" t="s">
        <v>16</v>
      </c>
      <c r="H2" s="109" t="s">
        <v>17</v>
      </c>
      <c r="I2" s="112" t="s">
        <v>18</v>
      </c>
      <c r="J2" s="114" t="s">
        <v>19</v>
      </c>
      <c r="K2" s="115"/>
      <c r="L2" s="116"/>
      <c r="M2" s="107" t="s">
        <v>20</v>
      </c>
      <c r="N2" s="109" t="s">
        <v>21</v>
      </c>
      <c r="O2" s="110" t="s">
        <v>22</v>
      </c>
      <c r="P2" s="109" t="s">
        <v>23</v>
      </c>
      <c r="Q2" s="117" t="s">
        <v>24</v>
      </c>
      <c r="R2" s="112" t="s">
        <v>25</v>
      </c>
      <c r="S2" s="112" t="s">
        <v>26</v>
      </c>
      <c r="T2" s="112" t="s">
        <v>27</v>
      </c>
      <c r="V2" s="119" t="s">
        <v>6</v>
      </c>
      <c r="W2" s="119" t="s">
        <v>7</v>
      </c>
      <c r="X2" s="119" t="s">
        <v>8</v>
      </c>
    </row>
    <row r="3" spans="1:25" s="16" customFormat="1" ht="45" customHeight="1" x14ac:dyDescent="0.3">
      <c r="A3" s="29"/>
      <c r="B3" s="113"/>
      <c r="C3" s="113"/>
      <c r="D3" s="113"/>
      <c r="E3" s="113"/>
      <c r="F3" s="113"/>
      <c r="G3" s="108"/>
      <c r="H3" s="109"/>
      <c r="I3" s="113"/>
      <c r="J3" s="17" t="s">
        <v>28</v>
      </c>
      <c r="K3" s="17" t="s">
        <v>29</v>
      </c>
      <c r="L3" s="17" t="s">
        <v>30</v>
      </c>
      <c r="M3" s="108"/>
      <c r="N3" s="109"/>
      <c r="O3" s="111"/>
      <c r="P3" s="109"/>
      <c r="Q3" s="118"/>
      <c r="R3" s="113"/>
      <c r="S3" s="113"/>
      <c r="T3" s="113"/>
      <c r="V3" s="119"/>
      <c r="W3" s="119"/>
      <c r="X3" s="119"/>
    </row>
    <row r="4" spans="1:25" ht="21" customHeight="1" x14ac:dyDescent="0.3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66">
        <v>13</v>
      </c>
      <c r="W4" s="66">
        <v>35</v>
      </c>
      <c r="X4" s="66">
        <v>77</v>
      </c>
      <c r="Y4" s="16"/>
    </row>
    <row r="5" spans="1:25" ht="21" customHeight="1" x14ac:dyDescent="0.3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66">
        <v>13</v>
      </c>
      <c r="W5" s="66">
        <v>35</v>
      </c>
      <c r="X5" s="66">
        <v>96</v>
      </c>
      <c r="Y5" s="16"/>
    </row>
    <row r="6" spans="1:25" ht="21" customHeight="1" x14ac:dyDescent="0.3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66">
        <v>13</v>
      </c>
      <c r="W6" s="66">
        <v>35</v>
      </c>
      <c r="X6" s="66">
        <v>93</v>
      </c>
      <c r="Y6" s="16"/>
    </row>
    <row r="7" spans="1:25" ht="21" customHeight="1" x14ac:dyDescent="0.3">
      <c r="A7" s="8">
        <v>44381</v>
      </c>
      <c r="B7" s="1">
        <v>985.21</v>
      </c>
      <c r="C7" s="1">
        <v>230.23</v>
      </c>
      <c r="D7" s="101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66">
        <v>13</v>
      </c>
      <c r="W7" s="66">
        <v>33</v>
      </c>
      <c r="X7" s="66">
        <v>80</v>
      </c>
      <c r="Y7" s="16"/>
    </row>
    <row r="8" spans="1:25" ht="21" customHeight="1" x14ac:dyDescent="0.3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66">
        <v>15</v>
      </c>
      <c r="W8" s="66">
        <v>43</v>
      </c>
      <c r="X8" s="66">
        <v>117</v>
      </c>
      <c r="Y8" s="16"/>
    </row>
    <row r="9" spans="1:25" ht="21" customHeight="1" x14ac:dyDescent="0.3">
      <c r="A9" s="8">
        <v>44383</v>
      </c>
      <c r="B9" s="103">
        <v>987.81</v>
      </c>
      <c r="C9" s="15">
        <v>230.67</v>
      </c>
      <c r="D9" s="103">
        <v>7493053.2699999996</v>
      </c>
      <c r="E9" s="103">
        <v>8201080.5499999998</v>
      </c>
      <c r="F9" s="15">
        <v>2.3925999999999998</v>
      </c>
      <c r="G9" s="103">
        <v>750.01</v>
      </c>
      <c r="H9" s="103">
        <v>624.63</v>
      </c>
      <c r="I9" s="103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66">
        <v>10</v>
      </c>
      <c r="W9" s="66">
        <v>31</v>
      </c>
      <c r="X9" s="66">
        <v>97</v>
      </c>
      <c r="Y9" s="16"/>
    </row>
    <row r="10" spans="1:25" ht="21" customHeight="1" x14ac:dyDescent="0.3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66">
        <v>10</v>
      </c>
      <c r="W10" s="66">
        <v>35</v>
      </c>
      <c r="X10" s="66">
        <v>93</v>
      </c>
      <c r="Y10" s="16"/>
    </row>
    <row r="11" spans="1:25" ht="21" customHeight="1" x14ac:dyDescent="0.3">
      <c r="A11" s="8">
        <v>44385</v>
      </c>
      <c r="B11" s="1">
        <v>990.52</v>
      </c>
      <c r="C11" s="1">
        <v>231.14</v>
      </c>
      <c r="D11" s="1">
        <v>7497622.3600000003</v>
      </c>
      <c r="E11" s="1">
        <v>8208026.9699999997</v>
      </c>
      <c r="F11" s="1">
        <v>2.3973</v>
      </c>
      <c r="G11" s="1">
        <v>751.68</v>
      </c>
      <c r="H11" s="1">
        <v>625.54</v>
      </c>
      <c r="I11" s="1">
        <v>238.37</v>
      </c>
      <c r="J11" s="1">
        <v>317.81</v>
      </c>
      <c r="K11" s="1">
        <v>342.54</v>
      </c>
      <c r="L11" s="1">
        <v>235.19</v>
      </c>
      <c r="M11" s="1">
        <v>524.04999999999995</v>
      </c>
      <c r="N11" s="1">
        <v>477.96</v>
      </c>
      <c r="O11" s="1">
        <v>152.86000000000001</v>
      </c>
      <c r="P11" s="1">
        <v>626.41</v>
      </c>
      <c r="Q11" s="1">
        <v>466.22</v>
      </c>
      <c r="R11" s="1">
        <v>159.94</v>
      </c>
      <c r="S11" s="1">
        <v>115.99</v>
      </c>
      <c r="T11" s="1">
        <v>423.79</v>
      </c>
      <c r="V11" s="66">
        <v>13</v>
      </c>
      <c r="W11" s="66">
        <v>36</v>
      </c>
      <c r="X11" s="66">
        <v>117</v>
      </c>
      <c r="Y11" s="16"/>
    </row>
    <row r="12" spans="1:25" ht="21" customHeight="1" x14ac:dyDescent="0.3">
      <c r="A12" s="8">
        <v>44386</v>
      </c>
      <c r="B12" s="1">
        <v>991.81</v>
      </c>
      <c r="C12" s="1">
        <v>231.27</v>
      </c>
      <c r="D12" s="1">
        <v>7500214.96</v>
      </c>
      <c r="E12" s="1">
        <v>8211331</v>
      </c>
      <c r="F12" s="1">
        <v>2.3996</v>
      </c>
      <c r="G12" s="1">
        <v>752.51</v>
      </c>
      <c r="H12" s="1">
        <v>626</v>
      </c>
      <c r="I12" s="1">
        <v>238.73</v>
      </c>
      <c r="J12" s="1">
        <v>318</v>
      </c>
      <c r="K12" s="1">
        <v>342.77</v>
      </c>
      <c r="L12" s="1">
        <v>235.38</v>
      </c>
      <c r="M12" s="1">
        <v>524.85</v>
      </c>
      <c r="N12" s="1">
        <v>478.76</v>
      </c>
      <c r="O12" s="1">
        <v>153.07</v>
      </c>
      <c r="P12" s="1">
        <v>627.51</v>
      </c>
      <c r="Q12" s="1">
        <v>466.8</v>
      </c>
      <c r="R12" s="1">
        <v>160.24</v>
      </c>
      <c r="S12" s="1">
        <v>116.11</v>
      </c>
      <c r="T12" s="1">
        <v>424.26</v>
      </c>
      <c r="V12" s="66">
        <v>12</v>
      </c>
      <c r="W12" s="66">
        <v>32</v>
      </c>
      <c r="X12" s="66">
        <v>83</v>
      </c>
      <c r="Y12" s="16"/>
    </row>
    <row r="13" spans="1:25" ht="21" customHeight="1" x14ac:dyDescent="0.3">
      <c r="A13" s="8">
        <v>44387</v>
      </c>
      <c r="B13" s="1">
        <v>992.95</v>
      </c>
      <c r="C13" s="1">
        <v>231.62</v>
      </c>
      <c r="D13" s="1">
        <v>7502353.7400000002</v>
      </c>
      <c r="E13" s="1">
        <v>8213764.3600000003</v>
      </c>
      <c r="F13" s="1">
        <v>2.4018999999999999</v>
      </c>
      <c r="G13" s="1">
        <v>753.13</v>
      </c>
      <c r="H13" s="1">
        <v>626.4</v>
      </c>
      <c r="I13" s="1">
        <v>239.02</v>
      </c>
      <c r="J13" s="1">
        <v>318.23</v>
      </c>
      <c r="K13" s="1">
        <v>343.01</v>
      </c>
      <c r="L13" s="1">
        <v>235.59</v>
      </c>
      <c r="M13" s="1">
        <v>525.47</v>
      </c>
      <c r="N13" s="1">
        <v>479.35</v>
      </c>
      <c r="O13" s="1">
        <v>153.29</v>
      </c>
      <c r="P13" s="1">
        <v>628.38</v>
      </c>
      <c r="Q13" s="1">
        <v>467.2</v>
      </c>
      <c r="R13" s="1">
        <v>160.53</v>
      </c>
      <c r="S13" s="1">
        <v>116.22</v>
      </c>
      <c r="T13" s="1">
        <v>424.53</v>
      </c>
      <c r="V13" s="66">
        <v>11</v>
      </c>
      <c r="W13" s="66">
        <v>27</v>
      </c>
      <c r="X13" s="66">
        <v>87</v>
      </c>
      <c r="Y13" s="16"/>
    </row>
    <row r="14" spans="1:25" ht="21" customHeight="1" x14ac:dyDescent="0.3">
      <c r="A14" s="8">
        <v>44388</v>
      </c>
      <c r="B14" s="1">
        <v>994.2</v>
      </c>
      <c r="C14" s="1">
        <v>231.84</v>
      </c>
      <c r="D14" s="1">
        <v>7504440.0499999998</v>
      </c>
      <c r="E14" s="1">
        <v>8216837.4900000002</v>
      </c>
      <c r="F14" s="1">
        <v>2.4041999999999999</v>
      </c>
      <c r="G14" s="1">
        <v>753.96</v>
      </c>
      <c r="H14" s="1">
        <v>626.84</v>
      </c>
      <c r="I14" s="1">
        <v>239.32</v>
      </c>
      <c r="J14" s="1">
        <v>318.43</v>
      </c>
      <c r="K14" s="1">
        <v>343.21</v>
      </c>
      <c r="L14" s="1">
        <v>235.8</v>
      </c>
      <c r="M14" s="1">
        <v>526.19000000000005</v>
      </c>
      <c r="N14" s="1">
        <v>480.03</v>
      </c>
      <c r="O14" s="1">
        <v>153.53</v>
      </c>
      <c r="P14" s="1">
        <v>629.30999999999995</v>
      </c>
      <c r="Q14" s="1">
        <v>467.8</v>
      </c>
      <c r="R14" s="1">
        <v>160.84</v>
      </c>
      <c r="S14" s="1">
        <v>116.34</v>
      </c>
      <c r="T14" s="1">
        <v>424.97</v>
      </c>
      <c r="V14" s="66">
        <v>9</v>
      </c>
      <c r="W14" s="66">
        <v>23</v>
      </c>
      <c r="X14" s="66">
        <v>54</v>
      </c>
      <c r="Y14" s="16"/>
    </row>
    <row r="15" spans="1:25" ht="21" customHeight="1" x14ac:dyDescent="0.3">
      <c r="A15" s="8">
        <v>44389</v>
      </c>
      <c r="B15" s="1">
        <v>995.58</v>
      </c>
      <c r="C15" s="1">
        <v>232.06</v>
      </c>
      <c r="D15" s="1">
        <v>7506979.3600000003</v>
      </c>
      <c r="E15" s="1">
        <v>8220073.29</v>
      </c>
      <c r="F15" s="1">
        <v>2.4066999999999998</v>
      </c>
      <c r="G15" s="1">
        <v>754.82</v>
      </c>
      <c r="H15" s="1">
        <v>627.33000000000004</v>
      </c>
      <c r="I15" s="1">
        <v>239.64</v>
      </c>
      <c r="J15" s="1">
        <v>318.64999999999998</v>
      </c>
      <c r="K15" s="1">
        <v>343.44</v>
      </c>
      <c r="L15" s="1">
        <v>235.99</v>
      </c>
      <c r="M15" s="1">
        <v>527.02</v>
      </c>
      <c r="N15" s="1">
        <v>480.81</v>
      </c>
      <c r="O15" s="1">
        <v>153.76</v>
      </c>
      <c r="P15" s="1">
        <v>630.39</v>
      </c>
      <c r="Q15" s="1">
        <v>468.54</v>
      </c>
      <c r="R15" s="1">
        <v>161.13999999999999</v>
      </c>
      <c r="S15" s="1">
        <v>116.46</v>
      </c>
      <c r="T15" s="1">
        <v>425.43</v>
      </c>
      <c r="V15" s="66">
        <v>14</v>
      </c>
      <c r="W15" s="66">
        <v>31</v>
      </c>
      <c r="X15" s="66">
        <v>83</v>
      </c>
      <c r="Y15" s="16"/>
    </row>
    <row r="16" spans="1:25" ht="21" customHeight="1" x14ac:dyDescent="0.3">
      <c r="A16" s="8">
        <v>44390</v>
      </c>
      <c r="B16" s="1">
        <v>996.99</v>
      </c>
      <c r="C16" s="1">
        <v>232.31</v>
      </c>
      <c r="D16" s="1">
        <v>7509414.8799999999</v>
      </c>
      <c r="E16" s="1">
        <v>8223229.8700000001</v>
      </c>
      <c r="F16" s="1">
        <v>2.4089</v>
      </c>
      <c r="G16" s="1">
        <v>755.69</v>
      </c>
      <c r="H16" s="1">
        <v>627.78</v>
      </c>
      <c r="I16" s="1">
        <v>239.69</v>
      </c>
      <c r="J16" s="1">
        <v>318.82</v>
      </c>
      <c r="K16" s="1">
        <v>343.67</v>
      </c>
      <c r="L16" s="1">
        <v>236.17</v>
      </c>
      <c r="M16" s="1">
        <v>527.89</v>
      </c>
      <c r="N16" s="1">
        <v>481.56</v>
      </c>
      <c r="O16" s="1">
        <v>154.03</v>
      </c>
      <c r="P16" s="1">
        <v>631.46</v>
      </c>
      <c r="Q16" s="1">
        <v>469.33</v>
      </c>
      <c r="R16" s="1">
        <v>161.44999999999999</v>
      </c>
      <c r="S16" s="1">
        <v>116.58</v>
      </c>
      <c r="T16" s="1">
        <v>425.92</v>
      </c>
      <c r="V16" s="66">
        <v>16</v>
      </c>
      <c r="W16" s="66">
        <v>40</v>
      </c>
      <c r="X16" s="66">
        <v>97</v>
      </c>
      <c r="Y16" s="16"/>
    </row>
    <row r="17" spans="1:25" ht="21" customHeight="1" x14ac:dyDescent="0.3">
      <c r="A17" s="8">
        <v>44391</v>
      </c>
      <c r="B17" s="1">
        <v>998.48</v>
      </c>
      <c r="C17" s="1">
        <v>232.56</v>
      </c>
      <c r="D17" s="1">
        <v>7511993.0199999996</v>
      </c>
      <c r="E17" s="1">
        <v>8226617.2999999998</v>
      </c>
      <c r="F17" s="1">
        <v>2.4112</v>
      </c>
      <c r="G17" s="1">
        <v>756.56</v>
      </c>
      <c r="H17" s="1">
        <v>628.25</v>
      </c>
      <c r="I17" s="1">
        <v>240.06</v>
      </c>
      <c r="J17" s="1">
        <v>318.98</v>
      </c>
      <c r="K17" s="1">
        <v>343.89</v>
      </c>
      <c r="L17" s="1">
        <v>236.36</v>
      </c>
      <c r="M17" s="1">
        <v>528.74</v>
      </c>
      <c r="N17" s="1">
        <v>482.31</v>
      </c>
      <c r="O17" s="1">
        <v>154.26</v>
      </c>
      <c r="P17" s="1">
        <v>632.53</v>
      </c>
      <c r="Q17" s="1">
        <v>470.16</v>
      </c>
      <c r="R17" s="1">
        <v>161.76</v>
      </c>
      <c r="S17" s="1">
        <v>116.7</v>
      </c>
      <c r="T17" s="1">
        <v>426.39</v>
      </c>
      <c r="V17" s="66">
        <v>57</v>
      </c>
      <c r="W17" s="66">
        <v>115</v>
      </c>
      <c r="X17" s="66">
        <v>249</v>
      </c>
      <c r="Y17" s="16"/>
    </row>
    <row r="18" spans="1:25" ht="21" customHeight="1" x14ac:dyDescent="0.3">
      <c r="A18" s="8">
        <v>44392</v>
      </c>
      <c r="B18" s="1">
        <v>999.86</v>
      </c>
      <c r="C18" s="1">
        <v>232.76</v>
      </c>
      <c r="D18" s="1">
        <v>7514405.6500000004</v>
      </c>
      <c r="E18" s="1">
        <v>8229770.5</v>
      </c>
      <c r="F18" s="1">
        <v>2.4137</v>
      </c>
      <c r="G18" s="1">
        <v>757.43</v>
      </c>
      <c r="H18" s="1">
        <v>628.64</v>
      </c>
      <c r="I18" s="1">
        <v>240.63</v>
      </c>
      <c r="J18" s="1">
        <v>319.13</v>
      </c>
      <c r="K18" s="1">
        <v>344.08</v>
      </c>
      <c r="L18" s="1">
        <v>236.53</v>
      </c>
      <c r="M18" s="1">
        <v>529.54999999999995</v>
      </c>
      <c r="N18" s="1">
        <v>482.82</v>
      </c>
      <c r="O18" s="1">
        <v>154.47</v>
      </c>
      <c r="P18" s="1">
        <v>633.58000000000004</v>
      </c>
      <c r="Q18" s="1">
        <v>470.93</v>
      </c>
      <c r="R18" s="1">
        <v>162.05000000000001</v>
      </c>
      <c r="S18" s="1">
        <v>116.81</v>
      </c>
      <c r="T18" s="1">
        <v>426.86</v>
      </c>
      <c r="V18" s="66">
        <v>57</v>
      </c>
      <c r="W18" s="66">
        <v>116</v>
      </c>
      <c r="X18" s="66">
        <v>243</v>
      </c>
      <c r="Y18" s="16"/>
    </row>
    <row r="19" spans="1:25" ht="21" customHeight="1" x14ac:dyDescent="0.3">
      <c r="A19" s="8">
        <v>44393</v>
      </c>
      <c r="B19" s="1">
        <v>1000.12</v>
      </c>
      <c r="C19" s="1">
        <v>233.03</v>
      </c>
      <c r="D19" s="1">
        <v>7516877.0199999996</v>
      </c>
      <c r="E19" s="1">
        <v>8232896.0999999996</v>
      </c>
      <c r="F19" s="1">
        <v>2.4163000000000001</v>
      </c>
      <c r="G19" s="1">
        <v>758.38</v>
      </c>
      <c r="H19" s="1">
        <v>629.07000000000005</v>
      </c>
      <c r="I19" s="1">
        <v>241.01</v>
      </c>
      <c r="J19" s="1">
        <v>319.37</v>
      </c>
      <c r="K19" s="1">
        <v>344.38</v>
      </c>
      <c r="L19" s="1">
        <v>236.73</v>
      </c>
      <c r="M19" s="1">
        <v>530.34</v>
      </c>
      <c r="N19" s="1">
        <v>483.77</v>
      </c>
      <c r="O19" s="1">
        <v>154.69</v>
      </c>
      <c r="P19" s="1">
        <v>634.63</v>
      </c>
      <c r="Q19" s="1">
        <v>471.69</v>
      </c>
      <c r="R19" s="1">
        <v>162.30000000000001</v>
      </c>
      <c r="S19" s="1">
        <v>116.94</v>
      </c>
      <c r="T19" s="1">
        <v>427.34</v>
      </c>
      <c r="V19" s="66">
        <v>57</v>
      </c>
      <c r="W19" s="66">
        <v>112</v>
      </c>
      <c r="X19" s="66">
        <v>323</v>
      </c>
      <c r="Y19" s="16"/>
    </row>
    <row r="20" spans="1:25" ht="21" customHeight="1" x14ac:dyDescent="0.3">
      <c r="A20" s="8">
        <v>44394</v>
      </c>
      <c r="B20" s="1">
        <v>1002.7</v>
      </c>
      <c r="C20" s="1">
        <v>233.29</v>
      </c>
      <c r="D20" s="1">
        <v>7519627.3600000003</v>
      </c>
      <c r="E20" s="1">
        <v>8236080.9400000004</v>
      </c>
      <c r="F20" s="1">
        <v>2.4188000000000001</v>
      </c>
      <c r="G20" s="1">
        <v>759.32</v>
      </c>
      <c r="H20" s="1">
        <v>629.52</v>
      </c>
      <c r="I20" s="1">
        <v>241.37</v>
      </c>
      <c r="J20" s="1">
        <v>319.64</v>
      </c>
      <c r="K20" s="1">
        <v>344.69</v>
      </c>
      <c r="L20" s="1">
        <v>236.92</v>
      </c>
      <c r="M20" s="1">
        <v>531.11</v>
      </c>
      <c r="N20" s="1">
        <v>484.55</v>
      </c>
      <c r="O20" s="1">
        <v>154.9</v>
      </c>
      <c r="P20" s="1">
        <v>635.69000000000005</v>
      </c>
      <c r="Q20" s="1">
        <v>472.38</v>
      </c>
      <c r="R20" s="1">
        <v>162.66</v>
      </c>
      <c r="S20" s="1">
        <v>117.07</v>
      </c>
      <c r="T20" s="1">
        <v>427.84</v>
      </c>
      <c r="V20" s="66">
        <v>58</v>
      </c>
      <c r="W20" s="66">
        <v>117</v>
      </c>
      <c r="X20" s="66">
        <v>270</v>
      </c>
      <c r="Y20" s="16"/>
    </row>
    <row r="21" spans="1:25" ht="21" customHeight="1" x14ac:dyDescent="0.3">
      <c r="A21" s="8">
        <v>44395</v>
      </c>
      <c r="B21" s="1">
        <v>1004.2</v>
      </c>
      <c r="C21" s="1">
        <v>233.55</v>
      </c>
      <c r="D21" s="1">
        <v>7522519.2400000002</v>
      </c>
      <c r="E21" s="1">
        <v>8239494.3799999999</v>
      </c>
      <c r="F21" s="1">
        <v>2.4216000000000002</v>
      </c>
      <c r="G21" s="1">
        <v>760.26</v>
      </c>
      <c r="H21" s="1">
        <v>629.98</v>
      </c>
      <c r="I21" s="1">
        <v>241.37</v>
      </c>
      <c r="J21" s="1">
        <v>319.98</v>
      </c>
      <c r="K21" s="1">
        <v>345.13</v>
      </c>
      <c r="L21" s="1">
        <v>237.18</v>
      </c>
      <c r="M21" s="1">
        <v>531.91999999999996</v>
      </c>
      <c r="N21" s="1">
        <v>485.37</v>
      </c>
      <c r="O21" s="1">
        <v>155.16</v>
      </c>
      <c r="P21" s="1">
        <v>636.83000000000004</v>
      </c>
      <c r="Q21" s="1">
        <v>473.11</v>
      </c>
      <c r="R21" s="1">
        <v>162.91</v>
      </c>
      <c r="S21" s="1">
        <v>117.21</v>
      </c>
      <c r="T21" s="1">
        <v>428.32</v>
      </c>
      <c r="V21" s="66">
        <v>58</v>
      </c>
      <c r="W21" s="66">
        <v>119</v>
      </c>
      <c r="X21" s="66">
        <v>272</v>
      </c>
      <c r="Y21" s="16"/>
    </row>
    <row r="22" spans="1:25" ht="21" customHeight="1" x14ac:dyDescent="0.3">
      <c r="A22" s="8">
        <v>44396</v>
      </c>
      <c r="B22" s="1">
        <v>1005.5</v>
      </c>
      <c r="C22" s="1">
        <v>233.8</v>
      </c>
      <c r="D22" s="1">
        <v>7525067.5899999999</v>
      </c>
      <c r="E22" s="1">
        <v>8243074.3799999999</v>
      </c>
      <c r="F22" s="1">
        <v>2.4239999999999999</v>
      </c>
      <c r="G22" s="1">
        <v>761.21</v>
      </c>
      <c r="H22" s="1">
        <v>630.47</v>
      </c>
      <c r="I22" s="1">
        <v>242.05</v>
      </c>
      <c r="J22" s="1">
        <v>320.23</v>
      </c>
      <c r="K22" s="1">
        <v>345.47</v>
      </c>
      <c r="L22" s="1">
        <v>237.36</v>
      </c>
      <c r="M22" s="1">
        <v>532.70000000000005</v>
      </c>
      <c r="N22" s="1">
        <v>486.09</v>
      </c>
      <c r="O22" s="1">
        <v>155.4</v>
      </c>
      <c r="P22" s="1">
        <v>637.98</v>
      </c>
      <c r="Q22" s="1">
        <v>473.87</v>
      </c>
      <c r="R22" s="27">
        <v>163.27000000000001</v>
      </c>
      <c r="S22" s="27">
        <v>117.36</v>
      </c>
      <c r="T22" s="1">
        <v>428.94</v>
      </c>
      <c r="V22" s="66">
        <v>16</v>
      </c>
      <c r="W22" s="66">
        <v>41</v>
      </c>
      <c r="X22" s="66">
        <v>173</v>
      </c>
      <c r="Y22" s="16"/>
    </row>
    <row r="23" spans="1:25" ht="21" customHeight="1" x14ac:dyDescent="0.3">
      <c r="A23" s="8">
        <v>44397</v>
      </c>
      <c r="B23" s="1">
        <v>1006.9</v>
      </c>
      <c r="C23" s="1">
        <v>234.01</v>
      </c>
      <c r="D23" s="1">
        <v>7527629.21</v>
      </c>
      <c r="E23" s="1">
        <v>8246394.9100000001</v>
      </c>
      <c r="F23" s="1">
        <v>2.4262999999999999</v>
      </c>
      <c r="G23" s="1">
        <v>762.18</v>
      </c>
      <c r="H23" s="1">
        <v>630.91999999999996</v>
      </c>
      <c r="I23" s="1">
        <v>242.36</v>
      </c>
      <c r="J23" s="1">
        <v>320.44</v>
      </c>
      <c r="K23" s="1">
        <v>345.72</v>
      </c>
      <c r="L23" s="1">
        <v>237.54</v>
      </c>
      <c r="M23" s="1">
        <v>533.51</v>
      </c>
      <c r="N23" s="1">
        <v>486.8</v>
      </c>
      <c r="O23" s="1">
        <v>155.63</v>
      </c>
      <c r="P23" s="1">
        <v>639.09</v>
      </c>
      <c r="Q23" s="1">
        <v>474.67</v>
      </c>
      <c r="R23" s="1">
        <v>163.54</v>
      </c>
      <c r="S23" s="1">
        <v>117.46</v>
      </c>
      <c r="T23" s="1">
        <v>429.45</v>
      </c>
      <c r="V23" s="66">
        <v>15</v>
      </c>
      <c r="W23" s="66">
        <v>57</v>
      </c>
      <c r="X23" s="66">
        <v>152</v>
      </c>
      <c r="Y23" s="16"/>
    </row>
    <row r="24" spans="1:25" ht="21" customHeight="1" x14ac:dyDescent="0.3">
      <c r="A24" s="8">
        <v>44398</v>
      </c>
      <c r="B24" s="1">
        <v>1008.4</v>
      </c>
      <c r="C24" s="1">
        <v>234.29</v>
      </c>
      <c r="D24" s="1">
        <v>7530276.1600000001</v>
      </c>
      <c r="E24" s="1">
        <v>8250253.0199999996</v>
      </c>
      <c r="F24" s="1">
        <v>2.4289999999999998</v>
      </c>
      <c r="G24" s="1">
        <v>763.22</v>
      </c>
      <c r="H24" s="1">
        <v>631.44000000000005</v>
      </c>
      <c r="I24" s="1">
        <v>242.69</v>
      </c>
      <c r="J24" s="1">
        <v>320.83999999999997</v>
      </c>
      <c r="K24" s="1">
        <v>346.11</v>
      </c>
      <c r="L24" s="1">
        <v>237.79</v>
      </c>
      <c r="M24" s="1">
        <v>534.41999999999996</v>
      </c>
      <c r="N24" s="1">
        <v>487.56</v>
      </c>
      <c r="O24" s="1">
        <v>155.87</v>
      </c>
      <c r="P24" s="1">
        <v>640.26</v>
      </c>
      <c r="Q24" s="1">
        <v>475.49</v>
      </c>
      <c r="R24" s="1">
        <v>163.85</v>
      </c>
      <c r="S24" s="1">
        <v>117.59</v>
      </c>
      <c r="T24" s="1">
        <v>429.89</v>
      </c>
      <c r="V24" s="66">
        <v>32</v>
      </c>
      <c r="W24" s="66">
        <v>100</v>
      </c>
      <c r="X24" s="66">
        <v>245</v>
      </c>
      <c r="Y24" s="16"/>
    </row>
    <row r="25" spans="1:25" ht="21" customHeight="1" x14ac:dyDescent="0.3">
      <c r="A25" s="8">
        <v>44399</v>
      </c>
      <c r="B25" s="1">
        <v>1009.8</v>
      </c>
      <c r="C25" s="1">
        <v>234.51</v>
      </c>
      <c r="D25" s="1">
        <v>7532650.8099999996</v>
      </c>
      <c r="E25" s="1">
        <v>8253979</v>
      </c>
      <c r="F25" s="1">
        <v>2.4314</v>
      </c>
      <c r="G25" s="1">
        <v>764.11</v>
      </c>
      <c r="H25" s="1">
        <v>631.91999999999996</v>
      </c>
      <c r="I25" s="1">
        <v>243.01</v>
      </c>
      <c r="J25" s="1">
        <v>321.08</v>
      </c>
      <c r="K25" s="1">
        <v>346.37</v>
      </c>
      <c r="L25" s="1">
        <v>237.97</v>
      </c>
      <c r="M25" s="1">
        <v>535.24</v>
      </c>
      <c r="N25" s="1">
        <v>488.27</v>
      </c>
      <c r="O25" s="1">
        <v>156.11000000000001</v>
      </c>
      <c r="P25" s="1">
        <v>641.30999999999995</v>
      </c>
      <c r="Q25" s="1">
        <v>476.17</v>
      </c>
      <c r="R25" s="1">
        <v>164.05</v>
      </c>
      <c r="S25" s="1">
        <v>117.71</v>
      </c>
      <c r="T25" s="1">
        <v>430.4</v>
      </c>
      <c r="V25" s="66">
        <v>46</v>
      </c>
      <c r="W25" s="66">
        <v>124</v>
      </c>
      <c r="X25" s="66">
        <v>334</v>
      </c>
      <c r="Y25" s="16"/>
    </row>
    <row r="26" spans="1:25" ht="21" customHeight="1" x14ac:dyDescent="0.3">
      <c r="A26" s="8">
        <v>44400</v>
      </c>
      <c r="B26" s="1">
        <v>1011.3</v>
      </c>
      <c r="C26" s="1">
        <v>234.78</v>
      </c>
      <c r="D26" s="1">
        <v>7535306.1399999997</v>
      </c>
      <c r="E26" s="1">
        <v>8257835.1799999997</v>
      </c>
      <c r="F26" s="1">
        <v>2.4340999999999999</v>
      </c>
      <c r="G26" s="1">
        <v>765.09</v>
      </c>
      <c r="H26" s="1">
        <v>632.59</v>
      </c>
      <c r="I26" s="1">
        <v>243.4</v>
      </c>
      <c r="J26" s="1">
        <v>321.41000000000003</v>
      </c>
      <c r="K26" s="1">
        <v>346.8</v>
      </c>
      <c r="L26" s="1">
        <v>238.19</v>
      </c>
      <c r="M26" s="1">
        <v>536.08000000000004</v>
      </c>
      <c r="N26" s="1">
        <v>489.1</v>
      </c>
      <c r="O26" s="1">
        <v>156.43</v>
      </c>
      <c r="P26" s="1">
        <v>642.41999999999996</v>
      </c>
      <c r="Q26" s="1">
        <v>476.94</v>
      </c>
      <c r="R26" s="1">
        <v>164.34</v>
      </c>
      <c r="S26" s="1">
        <v>117.85</v>
      </c>
      <c r="T26" s="1">
        <v>430.92</v>
      </c>
      <c r="V26" s="66">
        <v>39</v>
      </c>
      <c r="W26" s="66">
        <v>107</v>
      </c>
      <c r="X26" s="66">
        <v>287</v>
      </c>
      <c r="Y26" s="16"/>
    </row>
    <row r="27" spans="1:25" ht="21" customHeight="1" x14ac:dyDescent="0.3">
      <c r="A27" s="8">
        <v>44401</v>
      </c>
      <c r="B27" s="1">
        <v>1012.6</v>
      </c>
      <c r="C27" s="1">
        <v>235.05</v>
      </c>
      <c r="D27" s="1">
        <v>7537473.21</v>
      </c>
      <c r="E27" s="1">
        <v>8260576.0199999996</v>
      </c>
      <c r="F27" s="1">
        <v>2.4365999999999999</v>
      </c>
      <c r="G27" s="1">
        <v>765.95</v>
      </c>
      <c r="H27" s="1">
        <v>632.79999999999995</v>
      </c>
      <c r="I27" s="1">
        <v>243.71</v>
      </c>
      <c r="J27" s="1">
        <v>321.64</v>
      </c>
      <c r="K27" s="1">
        <v>347.06</v>
      </c>
      <c r="L27" s="1">
        <v>238.36</v>
      </c>
      <c r="M27" s="1">
        <v>536.77</v>
      </c>
      <c r="N27" s="1">
        <v>489.86</v>
      </c>
      <c r="O27" s="1">
        <v>156.69</v>
      </c>
      <c r="P27" s="1">
        <v>643.33000000000004</v>
      </c>
      <c r="Q27" s="1">
        <v>477.69</v>
      </c>
      <c r="R27" s="1">
        <v>164.68</v>
      </c>
      <c r="S27" s="1">
        <v>117.98</v>
      </c>
      <c r="T27" s="1">
        <v>431</v>
      </c>
      <c r="V27" s="66">
        <v>41</v>
      </c>
      <c r="W27" s="66">
        <v>113</v>
      </c>
      <c r="X27" s="66">
        <v>262</v>
      </c>
      <c r="Y27" s="16"/>
    </row>
    <row r="28" spans="1:25" ht="21" customHeight="1" x14ac:dyDescent="0.3">
      <c r="A28" s="8">
        <v>44402</v>
      </c>
      <c r="B28" s="1">
        <v>1014</v>
      </c>
      <c r="C28" s="1">
        <v>235.3</v>
      </c>
      <c r="D28" s="1">
        <v>7539841.3700000001</v>
      </c>
      <c r="E28" s="1">
        <v>8263901.0700000003</v>
      </c>
      <c r="F28" s="1">
        <v>2.4392</v>
      </c>
      <c r="G28" s="1">
        <v>766.79</v>
      </c>
      <c r="H28" s="1">
        <v>633.20000000000005</v>
      </c>
      <c r="I28" s="1">
        <v>244.03</v>
      </c>
      <c r="J28" s="1">
        <v>321.95999999999998</v>
      </c>
      <c r="K28" s="1">
        <v>347.38</v>
      </c>
      <c r="L28" s="1">
        <v>238.57</v>
      </c>
      <c r="M28" s="1">
        <v>537.48</v>
      </c>
      <c r="N28" s="1">
        <v>490.61</v>
      </c>
      <c r="O28" s="1">
        <v>156.94999999999999</v>
      </c>
      <c r="P28" s="1">
        <v>644.34</v>
      </c>
      <c r="Q28" s="1">
        <v>478.37</v>
      </c>
      <c r="R28" s="1">
        <v>164.78</v>
      </c>
      <c r="S28" s="1">
        <v>118.12</v>
      </c>
      <c r="T28" s="1">
        <v>431.76</v>
      </c>
      <c r="V28" s="66">
        <v>31</v>
      </c>
      <c r="W28" s="66">
        <v>87</v>
      </c>
      <c r="X28" s="66">
        <v>236</v>
      </c>
      <c r="Y28" s="16"/>
    </row>
    <row r="29" spans="1:25" ht="21" customHeight="1" x14ac:dyDescent="0.3">
      <c r="A29" s="8">
        <v>44403</v>
      </c>
      <c r="B29" s="1">
        <v>1015.2</v>
      </c>
      <c r="C29" s="1">
        <v>235.56</v>
      </c>
      <c r="D29" s="1">
        <v>7542169.7400000002</v>
      </c>
      <c r="E29" s="1">
        <v>8267487.0199999996</v>
      </c>
      <c r="F29" s="1">
        <v>2.4417</v>
      </c>
      <c r="G29" s="1">
        <v>767.54</v>
      </c>
      <c r="H29" s="1">
        <v>633.66</v>
      </c>
      <c r="I29" s="1">
        <v>244.34</v>
      </c>
      <c r="J29" s="1">
        <v>322.37</v>
      </c>
      <c r="K29" s="1">
        <v>347.76</v>
      </c>
      <c r="L29" s="1">
        <v>238.84</v>
      </c>
      <c r="M29" s="1">
        <v>538.16999999999996</v>
      </c>
      <c r="N29" s="1">
        <v>491.34</v>
      </c>
      <c r="O29" s="1">
        <v>157.21</v>
      </c>
      <c r="P29" s="1">
        <v>644.41999999999996</v>
      </c>
      <c r="Q29" s="1">
        <v>479.06</v>
      </c>
      <c r="R29" s="1">
        <v>165.07</v>
      </c>
      <c r="S29" s="1">
        <v>118.25</v>
      </c>
      <c r="T29" s="1">
        <v>432.21</v>
      </c>
      <c r="V29" s="66">
        <v>27</v>
      </c>
      <c r="W29" s="66">
        <v>79</v>
      </c>
      <c r="X29" s="66">
        <v>198</v>
      </c>
      <c r="Y29" s="16"/>
    </row>
    <row r="30" spans="1:25" ht="21" customHeight="1" x14ac:dyDescent="0.3">
      <c r="A30" s="8">
        <v>44404</v>
      </c>
      <c r="B30" s="1">
        <v>1016.5</v>
      </c>
      <c r="C30" s="1">
        <v>235.8</v>
      </c>
      <c r="D30" s="1">
        <v>7544235.1200000001</v>
      </c>
      <c r="E30" s="1">
        <v>8270514.25</v>
      </c>
      <c r="F30" s="1">
        <v>2.4441999999999999</v>
      </c>
      <c r="G30" s="1">
        <v>768.19</v>
      </c>
      <c r="H30" s="1">
        <v>634.04999999999995</v>
      </c>
      <c r="I30" s="1">
        <v>244.63</v>
      </c>
      <c r="J30" s="1">
        <v>322.64</v>
      </c>
      <c r="K30" s="1">
        <v>348.07</v>
      </c>
      <c r="L30" s="1">
        <v>239.07</v>
      </c>
      <c r="M30" s="1">
        <v>538.84</v>
      </c>
      <c r="N30" s="1">
        <v>491.99</v>
      </c>
      <c r="O30" s="1">
        <v>157.44999999999999</v>
      </c>
      <c r="P30" s="1">
        <v>646.35</v>
      </c>
      <c r="Q30" s="1">
        <v>479.69</v>
      </c>
      <c r="R30" s="1">
        <v>165.35</v>
      </c>
      <c r="S30" s="1">
        <v>118.38</v>
      </c>
      <c r="T30" s="1">
        <v>432.79</v>
      </c>
      <c r="V30" s="66">
        <v>33</v>
      </c>
      <c r="W30" s="66">
        <v>86</v>
      </c>
      <c r="X30" s="66">
        <v>217</v>
      </c>
      <c r="Y30" s="16"/>
    </row>
    <row r="31" spans="1:25" ht="21" customHeight="1" x14ac:dyDescent="0.3">
      <c r="A31" s="8">
        <v>44405</v>
      </c>
      <c r="B31" s="1">
        <v>1017.7</v>
      </c>
      <c r="C31" s="1">
        <v>236.06</v>
      </c>
      <c r="D31" s="1">
        <v>7546344.7999999998</v>
      </c>
      <c r="E31" s="1">
        <v>8273608.54</v>
      </c>
      <c r="F31" s="1">
        <v>2.4464000000000001</v>
      </c>
      <c r="G31" s="1">
        <v>768.81</v>
      </c>
      <c r="H31" s="1">
        <v>634.44000000000005</v>
      </c>
      <c r="I31" s="1">
        <v>244.91</v>
      </c>
      <c r="J31" s="1">
        <v>322.92</v>
      </c>
      <c r="K31" s="1">
        <v>348.39</v>
      </c>
      <c r="L31" s="1">
        <v>239.27</v>
      </c>
      <c r="M31" s="1">
        <v>539.51</v>
      </c>
      <c r="N31" s="1">
        <v>492.67</v>
      </c>
      <c r="O31" s="1">
        <v>157.68</v>
      </c>
      <c r="P31" s="1">
        <v>647.37</v>
      </c>
      <c r="Q31" s="1">
        <v>480.37</v>
      </c>
      <c r="R31" s="1">
        <v>165.65</v>
      </c>
      <c r="S31" s="1">
        <v>118.51</v>
      </c>
      <c r="T31" s="1">
        <v>433.2</v>
      </c>
      <c r="V31" s="66">
        <v>28</v>
      </c>
      <c r="W31" s="66">
        <v>66</v>
      </c>
      <c r="X31" s="66">
        <v>204</v>
      </c>
      <c r="Y31" s="16"/>
    </row>
    <row r="32" spans="1:25" ht="21" customHeight="1" x14ac:dyDescent="0.3">
      <c r="A32" s="8">
        <v>44406</v>
      </c>
      <c r="B32" s="1">
        <v>1018.7</v>
      </c>
      <c r="C32" s="1">
        <v>236.3</v>
      </c>
      <c r="D32" s="1">
        <v>7548293.0999999996</v>
      </c>
      <c r="E32" s="1">
        <v>8276310.4900000002</v>
      </c>
      <c r="F32" s="1">
        <v>2.4487000000000001</v>
      </c>
      <c r="G32" s="1">
        <v>769.42</v>
      </c>
      <c r="H32" s="1">
        <v>634.82000000000005</v>
      </c>
      <c r="I32" s="1">
        <v>245.17</v>
      </c>
      <c r="J32" s="1">
        <v>323.29000000000002</v>
      </c>
      <c r="K32" s="1">
        <v>348.65</v>
      </c>
      <c r="L32" s="1">
        <v>239.48</v>
      </c>
      <c r="M32" s="1">
        <v>540.13</v>
      </c>
      <c r="N32" s="1">
        <v>493.3</v>
      </c>
      <c r="O32" s="1">
        <v>157.88</v>
      </c>
      <c r="P32" s="1">
        <v>648.24</v>
      </c>
      <c r="Q32" s="1">
        <v>481.01</v>
      </c>
      <c r="R32" s="1">
        <v>165.96</v>
      </c>
      <c r="S32" s="1">
        <v>118.64</v>
      </c>
      <c r="T32" s="1">
        <v>433.82</v>
      </c>
      <c r="V32" s="66">
        <v>23</v>
      </c>
      <c r="W32" s="66">
        <v>49</v>
      </c>
      <c r="X32" s="66">
        <v>165</v>
      </c>
      <c r="Y32" s="16"/>
    </row>
    <row r="33" spans="1:25" ht="19.5" customHeight="1" x14ac:dyDescent="0.3">
      <c r="A33" s="8">
        <v>44407</v>
      </c>
      <c r="B33" s="1">
        <v>1020.2</v>
      </c>
      <c r="C33" s="1">
        <v>236.55</v>
      </c>
      <c r="D33" s="1">
        <v>755045.66</v>
      </c>
      <c r="E33" s="1">
        <v>8279252.21</v>
      </c>
      <c r="F33" s="1">
        <v>2.4510999999999998</v>
      </c>
      <c r="G33" s="1">
        <v>770.13</v>
      </c>
      <c r="H33" s="1">
        <v>635.16999999999996</v>
      </c>
      <c r="I33" s="1">
        <v>245.5</v>
      </c>
      <c r="J33" s="1">
        <v>323.62</v>
      </c>
      <c r="K33" s="1">
        <v>348.94</v>
      </c>
      <c r="L33" s="1">
        <v>239.7</v>
      </c>
      <c r="M33" s="1">
        <v>540.89</v>
      </c>
      <c r="N33" s="1">
        <v>493.97</v>
      </c>
      <c r="O33" s="1">
        <v>158.09</v>
      </c>
      <c r="P33" s="1">
        <v>649.25</v>
      </c>
      <c r="Q33" s="1">
        <v>481.75</v>
      </c>
      <c r="R33" s="1">
        <v>166.27</v>
      </c>
      <c r="S33" s="1">
        <v>118.76</v>
      </c>
      <c r="T33" s="1">
        <v>434.2</v>
      </c>
      <c r="V33" s="66">
        <v>14</v>
      </c>
      <c r="W33" s="66">
        <v>27</v>
      </c>
      <c r="X33" s="66">
        <v>106</v>
      </c>
      <c r="Y33" s="16"/>
    </row>
    <row r="34" spans="1:25" ht="19.5" customHeight="1" x14ac:dyDescent="0.3">
      <c r="A34" s="8">
        <v>44408</v>
      </c>
      <c r="B34" s="1">
        <v>1021.7</v>
      </c>
      <c r="C34" s="1">
        <v>236.78</v>
      </c>
      <c r="D34" s="1">
        <v>7552703</v>
      </c>
      <c r="E34" s="1">
        <v>8281812.7400000002</v>
      </c>
      <c r="F34" s="1">
        <v>2.4535999999999998</v>
      </c>
      <c r="G34" s="1">
        <v>770.97</v>
      </c>
      <c r="H34" s="1">
        <v>635.5</v>
      </c>
      <c r="I34" s="1">
        <v>245.86</v>
      </c>
      <c r="J34" s="1">
        <v>323.92</v>
      </c>
      <c r="K34" s="1">
        <v>349.28</v>
      </c>
      <c r="L34" s="1">
        <v>239.93</v>
      </c>
      <c r="M34" s="1">
        <v>541.6</v>
      </c>
      <c r="N34" s="1">
        <v>494.52</v>
      </c>
      <c r="O34" s="1">
        <v>158.31</v>
      </c>
      <c r="P34" s="1">
        <v>650.16999999999996</v>
      </c>
      <c r="Q34" s="1">
        <v>482.49</v>
      </c>
      <c r="R34" s="1">
        <v>166.52</v>
      </c>
      <c r="S34" s="1">
        <v>118.89</v>
      </c>
      <c r="T34" s="1">
        <v>434.43</v>
      </c>
      <c r="V34" s="66">
        <v>13</v>
      </c>
      <c r="W34" s="66">
        <v>25</v>
      </c>
      <c r="X34" s="66">
        <v>84</v>
      </c>
    </row>
    <row r="35" spans="1:25" ht="21" customHeight="1" x14ac:dyDescent="0.3">
      <c r="A35" s="8">
        <v>44409</v>
      </c>
      <c r="B35" s="1">
        <v>1023.1</v>
      </c>
      <c r="C35" s="1">
        <v>237.01</v>
      </c>
      <c r="D35" s="1">
        <v>7554935.0599999996</v>
      </c>
      <c r="E35" s="1">
        <v>8284704.04</v>
      </c>
      <c r="F35" s="1">
        <v>2.456</v>
      </c>
      <c r="G35" s="1">
        <v>771.87</v>
      </c>
      <c r="H35" s="1">
        <v>635.87</v>
      </c>
      <c r="I35" s="1">
        <v>246.18</v>
      </c>
      <c r="J35" s="1">
        <v>324.2</v>
      </c>
      <c r="K35" s="1">
        <v>349.56</v>
      </c>
      <c r="L35" s="1">
        <v>240.12</v>
      </c>
      <c r="M35" s="1">
        <v>542.35</v>
      </c>
      <c r="N35" s="1">
        <v>494.99</v>
      </c>
      <c r="O35" s="1">
        <v>158.49</v>
      </c>
      <c r="P35" s="1">
        <v>651.11</v>
      </c>
      <c r="Q35" s="1">
        <v>483.18</v>
      </c>
      <c r="R35" s="1">
        <v>166.73</v>
      </c>
      <c r="S35" s="1">
        <v>119.01</v>
      </c>
      <c r="T35" s="1">
        <v>434.94</v>
      </c>
      <c r="V35" s="72">
        <f>SUM(V4:V34)</f>
        <v>807</v>
      </c>
      <c r="W35" s="72">
        <f>SUM(W4:W34)</f>
        <v>1976</v>
      </c>
      <c r="X35" s="72">
        <f>SUM(X4:X34)</f>
        <v>5194</v>
      </c>
    </row>
    <row r="42" spans="1:25" x14ac:dyDescent="0.3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6" x14ac:dyDescent="0.3"/>
  <cols>
    <col min="1" max="8" width="12.88671875" style="5" customWidth="1"/>
    <col min="9" max="9" width="12.33203125" customWidth="1"/>
    <col min="10" max="10" width="15.33203125" customWidth="1"/>
    <col min="11" max="11" width="15.44140625" customWidth="1"/>
    <col min="12" max="12" width="19.33203125" customWidth="1"/>
    <col min="13" max="18" width="15.33203125" bestFit="1" customWidth="1"/>
    <col min="19" max="19" width="19.5546875" customWidth="1"/>
    <col min="20" max="20" width="20.33203125" customWidth="1"/>
    <col min="21" max="21" width="19" customWidth="1"/>
    <col min="22" max="22" width="15.6640625" bestFit="1" customWidth="1"/>
  </cols>
  <sheetData>
    <row r="2" spans="1:22" x14ac:dyDescent="0.3">
      <c r="A2" s="110" t="s">
        <v>32</v>
      </c>
      <c r="B2" s="112" t="s">
        <v>33</v>
      </c>
      <c r="C2" s="112" t="s">
        <v>34</v>
      </c>
      <c r="D2" s="112" t="s">
        <v>120</v>
      </c>
      <c r="E2" s="110" t="s">
        <v>35</v>
      </c>
      <c r="F2" s="120" t="s">
        <v>36</v>
      </c>
      <c r="G2" s="121"/>
      <c r="H2" s="122"/>
      <c r="I2" s="123" t="s">
        <v>37</v>
      </c>
      <c r="J2" s="123" t="s">
        <v>38</v>
      </c>
      <c r="K2" s="123" t="s">
        <v>39</v>
      </c>
      <c r="L2" s="123" t="s">
        <v>40</v>
      </c>
      <c r="M2" s="124" t="s">
        <v>41</v>
      </c>
      <c r="N2" s="124"/>
      <c r="O2" s="124"/>
      <c r="P2" s="124"/>
      <c r="Q2" s="124"/>
      <c r="R2" s="124"/>
      <c r="S2" s="123" t="s">
        <v>42</v>
      </c>
      <c r="T2" s="123"/>
      <c r="U2" s="125" t="s">
        <v>43</v>
      </c>
      <c r="V2" s="123" t="s">
        <v>44</v>
      </c>
    </row>
    <row r="3" spans="1:22" x14ac:dyDescent="0.3">
      <c r="A3" s="111"/>
      <c r="B3" s="113"/>
      <c r="C3" s="113"/>
      <c r="D3" s="113"/>
      <c r="E3" s="111"/>
      <c r="F3" s="6" t="s">
        <v>28</v>
      </c>
      <c r="G3" s="6" t="s">
        <v>29</v>
      </c>
      <c r="H3" s="6" t="s">
        <v>30</v>
      </c>
      <c r="I3" s="123"/>
      <c r="J3" s="123"/>
      <c r="K3" s="123"/>
      <c r="L3" s="123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25"/>
      <c r="V3" s="123"/>
    </row>
    <row r="4" spans="1:22" x14ac:dyDescent="0.3">
      <c r="A4" s="3">
        <f>'Kwh Reading'!A4</f>
        <v>44378</v>
      </c>
      <c r="B4" s="25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6">
        <f>('Kwh Reading'!O5-'Kwh Reading'!O4)*1000</f>
        <v>230.00000000001819</v>
      </c>
      <c r="V4" s="1">
        <f>B4-(SUM(C4:U4))</f>
        <v>8667.1699999987395</v>
      </c>
    </row>
    <row r="5" spans="1:22" x14ac:dyDescent="0.3">
      <c r="A5" s="3">
        <f>'Kwh Reading'!A5</f>
        <v>44379</v>
      </c>
      <c r="B5" s="25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6">
        <f>('Kwh Reading'!O6-'Kwh Reading'!O5)*1000</f>
        <v>229.99999999998977</v>
      </c>
      <c r="V5" s="1">
        <f t="shared" ref="V5:V9" si="0">B5-(SUM(C5:U5))</f>
        <v>6921.9400000005062</v>
      </c>
    </row>
    <row r="6" spans="1:22" x14ac:dyDescent="0.3">
      <c r="A6" s="3">
        <f>'Kwh Reading'!A6</f>
        <v>44380</v>
      </c>
      <c r="B6" s="25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6">
        <f>('Kwh Reading'!O7-'Kwh Reading'!O6)*1000</f>
        <v>229.99999999998977</v>
      </c>
      <c r="V6" s="1">
        <f t="shared" si="0"/>
        <v>6869.4400000018031</v>
      </c>
    </row>
    <row r="7" spans="1:22" x14ac:dyDescent="0.3">
      <c r="A7" s="3">
        <f>'Kwh Reading'!A7</f>
        <v>44381</v>
      </c>
      <c r="B7" s="25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6">
        <f>('Kwh Reading'!O8-'Kwh Reading'!O7)*1000</f>
        <v>189.99999999999773</v>
      </c>
      <c r="V7" s="1">
        <f t="shared" si="0"/>
        <v>7078.9399999988636</v>
      </c>
    </row>
    <row r="8" spans="1:22" x14ac:dyDescent="0.3">
      <c r="A8" s="3">
        <f>'Kwh Reading'!A8</f>
        <v>44382</v>
      </c>
      <c r="B8" s="25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6">
        <f>('Kwh Reading'!O9-'Kwh Reading'!O8)*1000</f>
        <v>210.00000000000796</v>
      </c>
      <c r="V8" s="1">
        <f t="shared" si="0"/>
        <v>6020.1299999993025</v>
      </c>
    </row>
    <row r="9" spans="1:22" x14ac:dyDescent="0.3">
      <c r="A9" s="3">
        <f>'Kwh Reading'!A9</f>
        <v>44383</v>
      </c>
      <c r="B9" s="25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6">
        <f>('Kwh Reading'!O10-'Kwh Reading'!O9)*1000</f>
        <v>189.99999999999773</v>
      </c>
      <c r="V9" s="1">
        <f t="shared" si="0"/>
        <v>6599.7800000010538</v>
      </c>
    </row>
    <row r="10" spans="1:22" x14ac:dyDescent="0.3">
      <c r="A10" s="3">
        <f>'Kwh Reading'!A10</f>
        <v>44384</v>
      </c>
      <c r="B10" s="25">
        <f>TOTAL!E8</f>
        <v>23189.99999999869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219.99999999999886</v>
      </c>
      <c r="F10" s="2">
        <f>('Kwh Reading'!J11-'Kwh Reading'!J10)*1000</f>
        <v>220.00000000002728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329.99999999998408</v>
      </c>
      <c r="J10" s="2">
        <f>('Kwh Reading'!S11-'Kwh Reading'!S10)*1000</f>
        <v>119.99999999999034</v>
      </c>
      <c r="K10" s="2">
        <f>('Kwh Reading'!I11-'Kwh Reading'!I10)*1000</f>
        <v>360.00000000001364</v>
      </c>
      <c r="L10" s="2">
        <f>('Kwh Reading'!B11-'Kwh Reading'!B10)*1000</f>
        <v>1360.0000000000136</v>
      </c>
      <c r="M10" s="2">
        <f>('Kwh Reading'!M11-'Kwh Reading'!M10)*1000</f>
        <v>809.99999999994543</v>
      </c>
      <c r="N10" s="2">
        <f>('Kwh Reading'!H11-'Kwh Reading'!H10)*1000</f>
        <v>449.99999999993179</v>
      </c>
      <c r="O10" s="2">
        <f>('Kwh Reading'!P11-'Kwh Reading'!P10)*1000</f>
        <v>1069.9999999999363</v>
      </c>
      <c r="P10" s="2">
        <f>('Kwh Reading'!G11-'Kwh Reading'!G10)*1000</f>
        <v>799.99999999995453</v>
      </c>
      <c r="Q10" s="2">
        <f>('Kwh Reading'!Q11-'Kwh Reading'!Q10)*1000</f>
        <v>630.0000000000523</v>
      </c>
      <c r="R10" s="2">
        <f>('Kwh Reading'!N11-'Kwh Reading'!N10)*1000</f>
        <v>839.99999999997499</v>
      </c>
      <c r="S10" s="32">
        <f>'Kwh Reading'!E11-'Kwh Reading'!E10</f>
        <v>3577.3899999996647</v>
      </c>
      <c r="T10" s="32">
        <f>'Kwh Reading'!D11-'Kwh Reading'!D10</f>
        <v>2377.9000000003725</v>
      </c>
      <c r="U10" s="26">
        <f>('Kwh Reading'!O11-'Kwh Reading'!O10)*1000</f>
        <v>200.00000000001705</v>
      </c>
      <c r="V10" s="1">
        <f t="shared" ref="V10:V34" si="1">B10-(SUM(C10:U10))</f>
        <v>6624.7099999988095</v>
      </c>
    </row>
    <row r="11" spans="1:22" x14ac:dyDescent="0.3">
      <c r="A11" s="3">
        <f>'Kwh Reading'!A11</f>
        <v>44385</v>
      </c>
      <c r="B11" s="25">
        <f>TOTAL!E9</f>
        <v>22890.000000000327</v>
      </c>
      <c r="C11" s="4">
        <f>('Kwh Reading'!T12-'Kwh Reading'!T11)*1000</f>
        <v>469.99999999997044</v>
      </c>
      <c r="D11" s="2">
        <f>('Kwh Reading'!F12-'Kwh Reading'!F11)*1000000</f>
        <v>2299.9999999999686</v>
      </c>
      <c r="E11" s="2">
        <f>('Kwh Reading'!C12-'Kwh Reading'!C11)*1000</f>
        <v>130.00000000002387</v>
      </c>
      <c r="F11" s="2">
        <f>('Kwh Reading'!J12-'Kwh Reading'!J11)*1000</f>
        <v>189.99999999999773</v>
      </c>
      <c r="G11" s="2">
        <f>('Kwh Reading'!K12-'Kwh Reading'!K11)*1000</f>
        <v>229.99999999996135</v>
      </c>
      <c r="H11" s="2">
        <f>('Kwh Reading'!L12-'Kwh Reading'!L11)*1000</f>
        <v>189.99999999999773</v>
      </c>
      <c r="I11" s="2">
        <f>('Kwh Reading'!R12-'Kwh Reading'!R11)*1000</f>
        <v>300.00000000001137</v>
      </c>
      <c r="J11" s="2">
        <f>('Kwh Reading'!S12-'Kwh Reading'!S11)*1000</f>
        <v>120.00000000000455</v>
      </c>
      <c r="K11" s="2">
        <f>('Kwh Reading'!I12-'Kwh Reading'!I11)*1000</f>
        <v>359.99999999998522</v>
      </c>
      <c r="L11" s="2">
        <f>('Kwh Reading'!B12-'Kwh Reading'!B11)*1000</f>
        <v>1289.9999999999636</v>
      </c>
      <c r="M11" s="2">
        <f>('Kwh Reading'!M12-'Kwh Reading'!M11)*1000</f>
        <v>800.00000000006821</v>
      </c>
      <c r="N11" s="2">
        <f>('Kwh Reading'!H12-'Kwh Reading'!H11)*1000</f>
        <v>460.00000000003638</v>
      </c>
      <c r="O11" s="2">
        <f>('Kwh Reading'!P12-'Kwh Reading'!P11)*1000</f>
        <v>1100.0000000000227</v>
      </c>
      <c r="P11" s="2">
        <f>('Kwh Reading'!G12-'Kwh Reading'!G11)*1000</f>
        <v>830.00000000004093</v>
      </c>
      <c r="Q11" s="2">
        <f>('Kwh Reading'!Q12-'Kwh Reading'!Q11)*1000</f>
        <v>579.99999999998408</v>
      </c>
      <c r="R11" s="2">
        <f>('Kwh Reading'!N12-'Kwh Reading'!N11)*1000</f>
        <v>800.00000000001137</v>
      </c>
      <c r="S11" s="32">
        <f>'Kwh Reading'!E12-'Kwh Reading'!E11</f>
        <v>3304.0300000002608</v>
      </c>
      <c r="T11" s="32">
        <f>'Kwh Reading'!D12-'Kwh Reading'!D11</f>
        <v>2592.5999999996275</v>
      </c>
      <c r="U11" s="26">
        <f>('Kwh Reading'!O12-'Kwh Reading'!O11)*1000</f>
        <v>209.99999999997954</v>
      </c>
      <c r="V11" s="1">
        <f t="shared" si="1"/>
        <v>6633.3700000004119</v>
      </c>
    </row>
    <row r="12" spans="1:22" x14ac:dyDescent="0.3">
      <c r="A12" s="3">
        <f>'Kwh Reading'!A12</f>
        <v>44386</v>
      </c>
      <c r="B12" s="25">
        <f>TOTAL!E10</f>
        <v>19059.99999999904</v>
      </c>
      <c r="C12" s="4">
        <f>('Kwh Reading'!T13-'Kwh Reading'!T12)*1000</f>
        <v>269.99999999998181</v>
      </c>
      <c r="D12" s="2">
        <f>('Kwh Reading'!F13-'Kwh Reading'!F12)*1000000</f>
        <v>2299.9999999999686</v>
      </c>
      <c r="E12" s="2">
        <f>('Kwh Reading'!C13-'Kwh Reading'!C12)*1000</f>
        <v>349.99999999999432</v>
      </c>
      <c r="F12" s="2">
        <f>('Kwh Reading'!J13-'Kwh Reading'!J12)*1000</f>
        <v>230.00000000001819</v>
      </c>
      <c r="G12" s="2">
        <f>('Kwh Reading'!K13-'Kwh Reading'!K12)*1000</f>
        <v>240.00000000000909</v>
      </c>
      <c r="H12" s="2">
        <f>('Kwh Reading'!L13-'Kwh Reading'!L12)*1000</f>
        <v>210.00000000000796</v>
      </c>
      <c r="I12" s="2">
        <f>('Kwh Reading'!R13-'Kwh Reading'!R12)*1000</f>
        <v>289.99999999999204</v>
      </c>
      <c r="J12" s="2">
        <f>('Kwh Reading'!S13-'Kwh Reading'!S12)*1000</f>
        <v>109.99999999999943</v>
      </c>
      <c r="K12" s="2">
        <f>('Kwh Reading'!I13-'Kwh Reading'!I12)*1000</f>
        <v>290.00000000002046</v>
      </c>
      <c r="L12" s="2">
        <f>('Kwh Reading'!B13-'Kwh Reading'!B12)*1000</f>
        <v>1140.0000000001</v>
      </c>
      <c r="M12" s="2">
        <f>('Kwh Reading'!M13-'Kwh Reading'!M12)*1000</f>
        <v>620.00000000000455</v>
      </c>
      <c r="N12" s="2">
        <f>('Kwh Reading'!H13-'Kwh Reading'!H12)*1000</f>
        <v>399.99999999997726</v>
      </c>
      <c r="O12" s="2">
        <f>('Kwh Reading'!P13-'Kwh Reading'!P12)*1000</f>
        <v>870.00000000000455</v>
      </c>
      <c r="P12" s="2">
        <f>('Kwh Reading'!G13-'Kwh Reading'!G12)*1000</f>
        <v>620.00000000000455</v>
      </c>
      <c r="Q12" s="2">
        <f>('Kwh Reading'!Q13-'Kwh Reading'!Q12)*1000</f>
        <v>399.99999999997726</v>
      </c>
      <c r="R12" s="2">
        <f>('Kwh Reading'!N13-'Kwh Reading'!N12)*1000</f>
        <v>590.00000000003183</v>
      </c>
      <c r="S12" s="32">
        <f>'Kwh Reading'!E13-'Kwh Reading'!E12</f>
        <v>2433.3600000003353</v>
      </c>
      <c r="T12" s="32">
        <f>'Kwh Reading'!D13-'Kwh Reading'!D12</f>
        <v>2138.7800000002608</v>
      </c>
      <c r="U12" s="26">
        <f>('Kwh Reading'!O13-'Kwh Reading'!O12)*1000</f>
        <v>219.99999999999886</v>
      </c>
      <c r="V12" s="1">
        <f t="shared" si="1"/>
        <v>5337.8599999983544</v>
      </c>
    </row>
    <row r="13" spans="1:22" x14ac:dyDescent="0.3">
      <c r="A13" s="3">
        <f>'Kwh Reading'!A13</f>
        <v>44387</v>
      </c>
      <c r="B13" s="25">
        <f>TOTAL!E11</f>
        <v>21280.000000001113</v>
      </c>
      <c r="C13" s="4">
        <f>('Kwh Reading'!T14-'Kwh Reading'!T13)*1000</f>
        <v>440.00000000005457</v>
      </c>
      <c r="D13" s="2">
        <f>('Kwh Reading'!F14-'Kwh Reading'!F13)*1000000</f>
        <v>2299.9999999999686</v>
      </c>
      <c r="E13" s="2">
        <f>('Kwh Reading'!C14-'Kwh Reading'!C13)*1000</f>
        <v>219.99999999999886</v>
      </c>
      <c r="F13" s="2">
        <f>('Kwh Reading'!J14-'Kwh Reading'!J13)*1000</f>
        <v>199.99999999998863</v>
      </c>
      <c r="G13" s="2">
        <f>('Kwh Reading'!K14-'Kwh Reading'!K13)*1000</f>
        <v>199.99999999998863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120.00000000000455</v>
      </c>
      <c r="K13" s="2">
        <f>('Kwh Reading'!I14-'Kwh Reading'!I13)*1000</f>
        <v>299.99999999998295</v>
      </c>
      <c r="L13" s="2">
        <f>('Kwh Reading'!B14-'Kwh Reading'!B13)*1000</f>
        <v>1250</v>
      </c>
      <c r="M13" s="2">
        <f>('Kwh Reading'!M14-'Kwh Reading'!M13)*1000</f>
        <v>720.00000000002728</v>
      </c>
      <c r="N13" s="2">
        <f>('Kwh Reading'!H14-'Kwh Reading'!H13)*1000</f>
        <v>440.00000000005457</v>
      </c>
      <c r="O13" s="2">
        <f>('Kwh Reading'!P14-'Kwh Reading'!P13)*1000</f>
        <v>929.99999999994998</v>
      </c>
      <c r="P13" s="2">
        <f>('Kwh Reading'!G14-'Kwh Reading'!G13)*1000</f>
        <v>830.00000000004093</v>
      </c>
      <c r="Q13" s="2">
        <f>('Kwh Reading'!Q14-'Kwh Reading'!Q13)*1000</f>
        <v>600.00000000002274</v>
      </c>
      <c r="R13" s="2">
        <f>('Kwh Reading'!N14-'Kwh Reading'!N13)*1000</f>
        <v>679.99999999994998</v>
      </c>
      <c r="S13" s="32">
        <f>'Kwh Reading'!E14-'Kwh Reading'!E13</f>
        <v>3073.1299999998882</v>
      </c>
      <c r="T13" s="32">
        <f>'Kwh Reading'!D14-'Kwh Reading'!D13</f>
        <v>2086.3099999995902</v>
      </c>
      <c r="U13" s="26">
        <f>('Kwh Reading'!O14-'Kwh Reading'!O13)*1000</f>
        <v>240.00000000000909</v>
      </c>
      <c r="V13" s="1">
        <f t="shared" si="1"/>
        <v>6130.5600000015856</v>
      </c>
    </row>
    <row r="14" spans="1:22" x14ac:dyDescent="0.3">
      <c r="A14" s="3">
        <f>'Kwh Reading'!A14</f>
        <v>44388</v>
      </c>
      <c r="B14" s="25">
        <f>TOTAL!E12</f>
        <v>23830.000000000378</v>
      </c>
      <c r="C14" s="4">
        <f>('Kwh Reading'!T15-'Kwh Reading'!T14)*1000</f>
        <v>459.99999999997954</v>
      </c>
      <c r="D14" s="2">
        <f>('Kwh Reading'!F15-'Kwh Reading'!F14)*1000000</f>
        <v>2499.9999999999468</v>
      </c>
      <c r="E14" s="2">
        <f>('Kwh Reading'!C15-'Kwh Reading'!C14)*1000</f>
        <v>219.99999999999886</v>
      </c>
      <c r="F14" s="2">
        <f>('Kwh Reading'!J15-'Kwh Reading'!J14)*1000</f>
        <v>219.99999999997044</v>
      </c>
      <c r="G14" s="2">
        <f>('Kwh Reading'!K15-'Kwh Reading'!K14)*1000</f>
        <v>230.00000000001819</v>
      </c>
      <c r="H14" s="2">
        <f>('Kwh Reading'!L15-'Kwh Reading'!L14)*1000</f>
        <v>189.99999999999773</v>
      </c>
      <c r="I14" s="2">
        <f>('Kwh Reading'!R15-'Kwh Reading'!R14)*1000</f>
        <v>299.99999999998295</v>
      </c>
      <c r="J14" s="2">
        <f>('Kwh Reading'!S15-'Kwh Reading'!S14)*1000</f>
        <v>119.99999999999034</v>
      </c>
      <c r="K14" s="2">
        <f>('Kwh Reading'!I15-'Kwh Reading'!I14)*1000</f>
        <v>319.99999999999318</v>
      </c>
      <c r="L14" s="2">
        <f>('Kwh Reading'!B15-'Kwh Reading'!B14)*1000</f>
        <v>1379.9999999999955</v>
      </c>
      <c r="M14" s="2">
        <f>('Kwh Reading'!M15-'Kwh Reading'!M14)*1000</f>
        <v>829.99999999992724</v>
      </c>
      <c r="N14" s="2">
        <f>('Kwh Reading'!H15-'Kwh Reading'!H14)*1000</f>
        <v>490.00000000000909</v>
      </c>
      <c r="O14" s="2">
        <f>('Kwh Reading'!P15-'Kwh Reading'!P14)*1000</f>
        <v>1080.0000000000409</v>
      </c>
      <c r="P14" s="2">
        <f>('Kwh Reading'!G15-'Kwh Reading'!G14)*1000</f>
        <v>860.00000000001364</v>
      </c>
      <c r="Q14" s="2">
        <f>('Kwh Reading'!Q15-'Kwh Reading'!Q14)*1000</f>
        <v>740.00000000000909</v>
      </c>
      <c r="R14" s="2">
        <f>('Kwh Reading'!N15-'Kwh Reading'!N14)*1000</f>
        <v>780.00000000002956</v>
      </c>
      <c r="S14" s="32">
        <f>'Kwh Reading'!E15-'Kwh Reading'!E14</f>
        <v>3235.7999999998137</v>
      </c>
      <c r="T14" s="32">
        <f>'Kwh Reading'!D15-'Kwh Reading'!D14</f>
        <v>2539.3100000005215</v>
      </c>
      <c r="U14" s="26">
        <f>('Kwh Reading'!O15-'Kwh Reading'!O14)*1000</f>
        <v>229.99999999998977</v>
      </c>
      <c r="V14" s="1">
        <f t="shared" si="1"/>
        <v>7104.8900000001486</v>
      </c>
    </row>
    <row r="15" spans="1:22" x14ac:dyDescent="0.3">
      <c r="A15" s="3">
        <f>'Kwh Reading'!A15</f>
        <v>44389</v>
      </c>
      <c r="B15" s="25">
        <f>TOTAL!E13</f>
        <v>22739.999999998417</v>
      </c>
      <c r="C15" s="4">
        <f>('Kwh Reading'!T16-'Kwh Reading'!T15)*1000</f>
        <v>490.00000000000909</v>
      </c>
      <c r="D15" s="2">
        <f>('Kwh Reading'!F16-'Kwh Reading'!F15)*1000000</f>
        <v>2200.0000000002019</v>
      </c>
      <c r="E15" s="2">
        <f>('Kwh Reading'!C16-'Kwh Reading'!C15)*1000</f>
        <v>250</v>
      </c>
      <c r="F15" s="2">
        <f>('Kwh Reading'!J16-'Kwh Reading'!J15)*1000</f>
        <v>170.00000000001592</v>
      </c>
      <c r="G15" s="2">
        <f>('Kwh Reading'!K16-'Kwh Reading'!K15)*1000</f>
        <v>230.00000000001819</v>
      </c>
      <c r="H15" s="2">
        <f>('Kwh Reading'!L16-'Kwh Reading'!L15)*1000</f>
        <v>179.9999999999784</v>
      </c>
      <c r="I15" s="2">
        <f>('Kwh Reading'!R16-'Kwh Reading'!R15)*1000</f>
        <v>310.00000000000227</v>
      </c>
      <c r="J15" s="2">
        <f>('Kwh Reading'!S16-'Kwh Reading'!S15)*1000</f>
        <v>120.00000000000455</v>
      </c>
      <c r="K15" s="2">
        <f>('Kwh Reading'!I16-'Kwh Reading'!I15)*1000</f>
        <v>50.000000000011369</v>
      </c>
      <c r="L15" s="2">
        <f>('Kwh Reading'!B16-'Kwh Reading'!B15)*1000</f>
        <v>1409.9999999999682</v>
      </c>
      <c r="M15" s="2">
        <f>('Kwh Reading'!M16-'Kwh Reading'!M15)*1000</f>
        <v>870.00000000000455</v>
      </c>
      <c r="N15" s="2">
        <f>('Kwh Reading'!H16-'Kwh Reading'!H15)*1000</f>
        <v>449.99999999993179</v>
      </c>
      <c r="O15" s="2">
        <f>('Kwh Reading'!P16-'Kwh Reading'!P15)*1000</f>
        <v>1070.00000000005</v>
      </c>
      <c r="P15" s="2">
        <f>('Kwh Reading'!G16-'Kwh Reading'!G15)*1000</f>
        <v>870.00000000000455</v>
      </c>
      <c r="Q15" s="2">
        <f>('Kwh Reading'!Q16-'Kwh Reading'!Q15)*1000</f>
        <v>789.99999999996362</v>
      </c>
      <c r="R15" s="2">
        <f>('Kwh Reading'!N16-'Kwh Reading'!N15)*1000</f>
        <v>750</v>
      </c>
      <c r="S15" s="32">
        <f>'Kwh Reading'!E16-'Kwh Reading'!E15</f>
        <v>3156.5800000000745</v>
      </c>
      <c r="T15" s="32">
        <f>'Kwh Reading'!D16-'Kwh Reading'!D15</f>
        <v>2435.519999999553</v>
      </c>
      <c r="U15" s="26">
        <f>('Kwh Reading'!O16-'Kwh Reading'!O15)*1000</f>
        <v>270.00000000001023</v>
      </c>
      <c r="V15" s="1">
        <f t="shared" si="1"/>
        <v>6667.8999999986154</v>
      </c>
    </row>
    <row r="16" spans="1:22" x14ac:dyDescent="0.3">
      <c r="A16" s="3">
        <f>'Kwh Reading'!A16</f>
        <v>44390</v>
      </c>
      <c r="B16" s="25">
        <f>TOTAL!E14</f>
        <v>22780.000000002023</v>
      </c>
      <c r="C16" s="4">
        <f>('Kwh Reading'!T17-'Kwh Reading'!T16)*1000</f>
        <v>469.99999999997044</v>
      </c>
      <c r="D16" s="2">
        <f>('Kwh Reading'!F17-'Kwh Reading'!F16)*1000000</f>
        <v>2299.9999999999686</v>
      </c>
      <c r="E16" s="2">
        <f>('Kwh Reading'!C17-'Kwh Reading'!C16)*1000</f>
        <v>250</v>
      </c>
      <c r="F16" s="2">
        <f>('Kwh Reading'!J17-'Kwh Reading'!J16)*1000</f>
        <v>160.00000000002501</v>
      </c>
      <c r="G16" s="2">
        <f>('Kwh Reading'!K17-'Kwh Reading'!K16)*1000</f>
        <v>219.99999999997044</v>
      </c>
      <c r="H16" s="2">
        <f>('Kwh Reading'!L17-'Kwh Reading'!L16)*1000</f>
        <v>190.00000000002615</v>
      </c>
      <c r="I16" s="2">
        <f>('Kwh Reading'!R17-'Kwh Reading'!R16)*1000</f>
        <v>310.00000000000227</v>
      </c>
      <c r="J16" s="2">
        <f>('Kwh Reading'!S17-'Kwh Reading'!S16)*1000</f>
        <v>120.00000000000455</v>
      </c>
      <c r="K16" s="2">
        <f>('Kwh Reading'!I17-'Kwh Reading'!I16)*1000</f>
        <v>370.00000000000455</v>
      </c>
      <c r="L16" s="2">
        <f>('Kwh Reading'!B17-'Kwh Reading'!B16)*1000</f>
        <v>1490.0000000000091</v>
      </c>
      <c r="M16" s="2">
        <f>('Kwh Reading'!M17-'Kwh Reading'!M16)*1000</f>
        <v>850.00000000002274</v>
      </c>
      <c r="N16" s="2">
        <f>('Kwh Reading'!H17-'Kwh Reading'!H16)*1000</f>
        <v>470.00000000002728</v>
      </c>
      <c r="O16" s="2">
        <f>('Kwh Reading'!P17-'Kwh Reading'!P16)*1000</f>
        <v>1069.9999999999363</v>
      </c>
      <c r="P16" s="2">
        <f>('Kwh Reading'!G17-'Kwh Reading'!G16)*1000</f>
        <v>869.99999999989086</v>
      </c>
      <c r="Q16" s="2">
        <f>('Kwh Reading'!Q17-'Kwh Reading'!Q16)*1000</f>
        <v>830.00000000004093</v>
      </c>
      <c r="R16" s="2">
        <f>('Kwh Reading'!N17-'Kwh Reading'!N16)*1000</f>
        <v>750</v>
      </c>
      <c r="S16" s="32">
        <f>'Kwh Reading'!E17-'Kwh Reading'!E16</f>
        <v>3387.429999999702</v>
      </c>
      <c r="T16" s="32">
        <f>'Kwh Reading'!D17-'Kwh Reading'!D16</f>
        <v>2578.1399999996647</v>
      </c>
      <c r="U16" s="26">
        <f>('Kwh Reading'!O17-'Kwh Reading'!O16)*1000</f>
        <v>229.99999999998977</v>
      </c>
      <c r="V16" s="1">
        <f t="shared" si="1"/>
        <v>5864.4300000027688</v>
      </c>
    </row>
    <row r="17" spans="1:22" x14ac:dyDescent="0.3">
      <c r="A17" s="3">
        <f>'Kwh Reading'!A17</f>
        <v>44391</v>
      </c>
      <c r="B17" s="25">
        <f>TOTAL!E15</f>
        <v>22879.9999999992</v>
      </c>
      <c r="C17" s="4">
        <f>('Kwh Reading'!T18-'Kwh Reading'!T17)*1000</f>
        <v>470.00000000002728</v>
      </c>
      <c r="D17" s="2">
        <f>('Kwh Reading'!F18-'Kwh Reading'!F17)*1000000</f>
        <v>2499.9999999999468</v>
      </c>
      <c r="E17" s="2">
        <f>('Kwh Reading'!C18-'Kwh Reading'!C17)*1000</f>
        <v>199.99999999998863</v>
      </c>
      <c r="F17" s="2">
        <f>('Kwh Reading'!J18-'Kwh Reading'!J17)*1000</f>
        <v>149.99999999997726</v>
      </c>
      <c r="G17" s="2">
        <f>('Kwh Reading'!K18-'Kwh Reading'!K17)*1000</f>
        <v>189.99999999999773</v>
      </c>
      <c r="H17" s="2">
        <f>('Kwh Reading'!L18-'Kwh Reading'!L17)*1000</f>
        <v>169.99999999998749</v>
      </c>
      <c r="I17" s="2">
        <f>('Kwh Reading'!R18-'Kwh Reading'!R17)*1000</f>
        <v>290.00000000002046</v>
      </c>
      <c r="J17" s="2">
        <f>('Kwh Reading'!S18-'Kwh Reading'!S17)*1000</f>
        <v>109.99999999999943</v>
      </c>
      <c r="K17" s="2">
        <f>('Kwh Reading'!I18-'Kwh Reading'!I17)*1000</f>
        <v>569.99999999999318</v>
      </c>
      <c r="L17" s="2">
        <f>('Kwh Reading'!B18-'Kwh Reading'!B17)*1000</f>
        <v>1379.9999999999955</v>
      </c>
      <c r="M17" s="2">
        <f>('Kwh Reading'!M18-'Kwh Reading'!M17)*1000</f>
        <v>809.99999999994543</v>
      </c>
      <c r="N17" s="2">
        <f>('Kwh Reading'!H18-'Kwh Reading'!H17)*1000</f>
        <v>389.99999999998636</v>
      </c>
      <c r="O17" s="2">
        <f>('Kwh Reading'!P18-'Kwh Reading'!P17)*1000</f>
        <v>1050.0000000000682</v>
      </c>
      <c r="P17" s="2">
        <f>('Kwh Reading'!G18-'Kwh Reading'!G17)*1000</f>
        <v>870.00000000000455</v>
      </c>
      <c r="Q17" s="2">
        <f>('Kwh Reading'!Q18-'Kwh Reading'!Q17)*1000</f>
        <v>769.99999999998181</v>
      </c>
      <c r="R17" s="2">
        <f>('Kwh Reading'!N18-'Kwh Reading'!N17)*1000</f>
        <v>509.99999999999091</v>
      </c>
      <c r="S17" s="32">
        <f>'Kwh Reading'!E18-'Kwh Reading'!E17</f>
        <v>3153.2000000001863</v>
      </c>
      <c r="T17" s="32">
        <f>'Kwh Reading'!D18-'Kwh Reading'!D17</f>
        <v>2412.6300000008196</v>
      </c>
      <c r="U17" s="26">
        <f>('Kwh Reading'!O18-'Kwh Reading'!O17)*1000</f>
        <v>210.00000000000796</v>
      </c>
      <c r="V17" s="1">
        <f t="shared" si="1"/>
        <v>6674.1699999982757</v>
      </c>
    </row>
    <row r="18" spans="1:22" x14ac:dyDescent="0.3">
      <c r="A18" s="3">
        <f>'Kwh Reading'!A18</f>
        <v>44392</v>
      </c>
      <c r="B18" s="25">
        <f>TOTAL!E16</f>
        <v>23499.999999999091</v>
      </c>
      <c r="C18" s="4">
        <f>('Kwh Reading'!T19-'Kwh Reading'!T18)*1000</f>
        <v>479.99999999996135</v>
      </c>
      <c r="D18" s="2">
        <f>('Kwh Reading'!F19-'Kwh Reading'!F18)*1000000</f>
        <v>2600.0000000001578</v>
      </c>
      <c r="E18" s="2">
        <f>('Kwh Reading'!C19-'Kwh Reading'!C18)*1000</f>
        <v>270.00000000001023</v>
      </c>
      <c r="F18" s="2">
        <f>('Kwh Reading'!J19-'Kwh Reading'!J18)*1000</f>
        <v>240.00000000000909</v>
      </c>
      <c r="G18" s="2">
        <f>('Kwh Reading'!K19-'Kwh Reading'!K18)*1000</f>
        <v>300.00000000001137</v>
      </c>
      <c r="H18" s="2">
        <f>('Kwh Reading'!L19-'Kwh Reading'!L18)*1000</f>
        <v>199.99999999998863</v>
      </c>
      <c r="I18" s="2">
        <f>('Kwh Reading'!R19-'Kwh Reading'!R18)*1000</f>
        <v>250</v>
      </c>
      <c r="J18" s="2">
        <f>('Kwh Reading'!S19-'Kwh Reading'!S18)*1000</f>
        <v>129.99999999999545</v>
      </c>
      <c r="K18" s="2">
        <f>('Kwh Reading'!I19-'Kwh Reading'!I18)*1000</f>
        <v>379.99999999999545</v>
      </c>
      <c r="L18" s="2">
        <f>('Kwh Reading'!B19-'Kwh Reading'!B18)*1000</f>
        <v>259.99999999999091</v>
      </c>
      <c r="M18" s="2">
        <f>('Kwh Reading'!M19-'Kwh Reading'!M18)*1000</f>
        <v>790.00000000007731</v>
      </c>
      <c r="N18" s="2">
        <f>('Kwh Reading'!H19-'Kwh Reading'!H18)*1000</f>
        <v>430.00000000006366</v>
      </c>
      <c r="O18" s="2">
        <f>('Kwh Reading'!P19-'Kwh Reading'!P18)*1000</f>
        <v>1049.9999999999545</v>
      </c>
      <c r="P18" s="2">
        <f>('Kwh Reading'!G19-'Kwh Reading'!G18)*1000</f>
        <v>950.00000000004547</v>
      </c>
      <c r="Q18" s="2">
        <f>('Kwh Reading'!Q19-'Kwh Reading'!Q18)*1000</f>
        <v>759.99999999999091</v>
      </c>
      <c r="R18" s="2">
        <f>('Kwh Reading'!N19-'Kwh Reading'!N18)*1000</f>
        <v>949.99999999998863</v>
      </c>
      <c r="S18" s="32">
        <f>'Kwh Reading'!E19-'Kwh Reading'!E18</f>
        <v>3125.5999999996275</v>
      </c>
      <c r="T18" s="32">
        <f>'Kwh Reading'!D19-'Kwh Reading'!D18</f>
        <v>2471.3699999991804</v>
      </c>
      <c r="U18" s="26">
        <f>('Kwh Reading'!O19-'Kwh Reading'!O18)*1000</f>
        <v>219.99999999999886</v>
      </c>
      <c r="V18" s="1">
        <f t="shared" si="1"/>
        <v>7643.0300000000425</v>
      </c>
    </row>
    <row r="19" spans="1:22" x14ac:dyDescent="0.3">
      <c r="A19" s="3">
        <f>'Kwh Reading'!A19</f>
        <v>44393</v>
      </c>
      <c r="B19" s="25">
        <f>TOTAL!E17</f>
        <v>23690.000000000284</v>
      </c>
      <c r="C19" s="4">
        <f>('Kwh Reading'!T20-'Kwh Reading'!T19)*1000</f>
        <v>500</v>
      </c>
      <c r="D19" s="2">
        <f>('Kwh Reading'!F20-'Kwh Reading'!F19)*1000000</f>
        <v>2499.9999999999468</v>
      </c>
      <c r="E19" s="2">
        <f>('Kwh Reading'!C20-'Kwh Reading'!C19)*1000</f>
        <v>259.99999999999091</v>
      </c>
      <c r="F19" s="2">
        <f>('Kwh Reading'!J20-'Kwh Reading'!J19)*1000</f>
        <v>269.99999999998181</v>
      </c>
      <c r="G19" s="2">
        <f>('Kwh Reading'!K20-'Kwh Reading'!K19)*1000</f>
        <v>310.00000000000227</v>
      </c>
      <c r="H19" s="2">
        <f>('Kwh Reading'!L20-'Kwh Reading'!L19)*1000</f>
        <v>189.99999999999773</v>
      </c>
      <c r="I19" s="2">
        <f>('Kwh Reading'!R20-'Kwh Reading'!R19)*1000</f>
        <v>359.99999999998522</v>
      </c>
      <c r="J19" s="2">
        <f>('Kwh Reading'!S20-'Kwh Reading'!S19)*1000</f>
        <v>129.99999999999545</v>
      </c>
      <c r="K19" s="2">
        <f>('Kwh Reading'!I20-'Kwh Reading'!I19)*1000</f>
        <v>360.00000000001364</v>
      </c>
      <c r="L19" s="2">
        <f>('Kwh Reading'!B20-'Kwh Reading'!B19)*1000</f>
        <v>2580.0000000000409</v>
      </c>
      <c r="M19" s="2">
        <f>('Kwh Reading'!M20-'Kwh Reading'!M19)*1000</f>
        <v>769.99999999998181</v>
      </c>
      <c r="N19" s="2">
        <f>('Kwh Reading'!H20-'Kwh Reading'!H19)*1000</f>
        <v>449.99999999993179</v>
      </c>
      <c r="O19" s="2">
        <f>('Kwh Reading'!P20-'Kwh Reading'!P19)*1000</f>
        <v>1060.0000000000591</v>
      </c>
      <c r="P19" s="2">
        <f>('Kwh Reading'!G20-'Kwh Reading'!G19)*1000</f>
        <v>940.00000000005457</v>
      </c>
      <c r="Q19" s="2">
        <f>('Kwh Reading'!Q20-'Kwh Reading'!Q19)*1000</f>
        <v>689.99999999999773</v>
      </c>
      <c r="R19" s="2">
        <f>('Kwh Reading'!N20-'Kwh Reading'!N19)*1000</f>
        <v>780.00000000002956</v>
      </c>
      <c r="S19" s="32">
        <f>'Kwh Reading'!E20-'Kwh Reading'!E19</f>
        <v>3184.8400000007823</v>
      </c>
      <c r="T19" s="32">
        <f>'Kwh Reading'!D20-'Kwh Reading'!D19</f>
        <v>2750.3400000007823</v>
      </c>
      <c r="U19" s="26">
        <f>('Kwh Reading'!O20-'Kwh Reading'!O19)*1000</f>
        <v>210.00000000000796</v>
      </c>
      <c r="V19" s="1">
        <f t="shared" si="1"/>
        <v>5394.8199999987046</v>
      </c>
    </row>
    <row r="20" spans="1:22" x14ac:dyDescent="0.3">
      <c r="A20" s="3">
        <f>'Kwh Reading'!A20</f>
        <v>44394</v>
      </c>
      <c r="B20" s="25">
        <f>TOTAL!E18</f>
        <v>24750.000000001364</v>
      </c>
      <c r="C20" s="4">
        <f>('Kwh Reading'!T21-'Kwh Reading'!T20)*1000</f>
        <v>480.00000000001819</v>
      </c>
      <c r="D20" s="2">
        <f>('Kwh Reading'!F21-'Kwh Reading'!F20)*1000000</f>
        <v>2800.0000000001355</v>
      </c>
      <c r="E20" s="2">
        <f>('Kwh Reading'!C21-'Kwh Reading'!C20)*1000</f>
        <v>260.00000000001933</v>
      </c>
      <c r="F20" s="2">
        <f>('Kwh Reading'!J21-'Kwh Reading'!J20)*1000</f>
        <v>340.00000000003183</v>
      </c>
      <c r="G20" s="2">
        <f>('Kwh Reading'!K21-'Kwh Reading'!K20)*1000</f>
        <v>439.99999999999773</v>
      </c>
      <c r="H20" s="2">
        <f>('Kwh Reading'!L21-'Kwh Reading'!L20)*1000</f>
        <v>260.00000000001933</v>
      </c>
      <c r="I20" s="2">
        <f>('Kwh Reading'!R21-'Kwh Reading'!R20)*1000</f>
        <v>250</v>
      </c>
      <c r="J20" s="2">
        <f>('Kwh Reading'!S21-'Kwh Reading'!S20)*1000</f>
        <v>140.00000000000057</v>
      </c>
      <c r="K20" s="2">
        <f>('Kwh Reading'!I21-'Kwh Reading'!I20)*1000</f>
        <v>0</v>
      </c>
      <c r="L20" s="2">
        <f>('Kwh Reading'!B21-'Kwh Reading'!B20)*1000</f>
        <v>1500</v>
      </c>
      <c r="M20" s="2">
        <f>('Kwh Reading'!M21-'Kwh Reading'!M20)*1000</f>
        <v>809.99999999994543</v>
      </c>
      <c r="N20" s="2">
        <f>('Kwh Reading'!H21-'Kwh Reading'!H20)*1000</f>
        <v>460.00000000003638</v>
      </c>
      <c r="O20" s="2">
        <f>('Kwh Reading'!P21-'Kwh Reading'!P20)*1000</f>
        <v>1139.9999999999864</v>
      </c>
      <c r="P20" s="2">
        <f>('Kwh Reading'!G21-'Kwh Reading'!G20)*1000</f>
        <v>939.99999999994088</v>
      </c>
      <c r="Q20" s="2">
        <f>('Kwh Reading'!Q21-'Kwh Reading'!Q20)*1000</f>
        <v>730.00000000001819</v>
      </c>
      <c r="R20" s="2">
        <f>('Kwh Reading'!N21-'Kwh Reading'!N20)*1000</f>
        <v>819.99999999999318</v>
      </c>
      <c r="S20" s="32">
        <f>'Kwh Reading'!E21-'Kwh Reading'!E20</f>
        <v>3413.4399999994785</v>
      </c>
      <c r="T20" s="32">
        <f>'Kwh Reading'!D21-'Kwh Reading'!D20</f>
        <v>2891.8799999998882</v>
      </c>
      <c r="U20" s="26">
        <f>('Kwh Reading'!O21-'Kwh Reading'!O20)*1000</f>
        <v>259.99999999999091</v>
      </c>
      <c r="V20" s="1">
        <f t="shared" si="1"/>
        <v>6814.6800000018666</v>
      </c>
    </row>
    <row r="21" spans="1:22" ht="16.5" customHeight="1" x14ac:dyDescent="0.3">
      <c r="A21" s="3">
        <f>'Kwh Reading'!A21</f>
        <v>44395</v>
      </c>
      <c r="B21" s="25">
        <f>TOTAL!E19</f>
        <v>23820.00000000016</v>
      </c>
      <c r="C21" s="4">
        <f>('Kwh Reading'!T22-'Kwh Reading'!T21)*1000</f>
        <v>620.00000000000455</v>
      </c>
      <c r="D21" s="2">
        <f>('Kwh Reading'!F22-'Kwh Reading'!F21)*1000000</f>
        <v>2399.9999999997358</v>
      </c>
      <c r="E21" s="2">
        <f>('Kwh Reading'!C22-'Kwh Reading'!C21)*1000</f>
        <v>250</v>
      </c>
      <c r="F21" s="2">
        <f>('Kwh Reading'!J22-'Kwh Reading'!J21)*1000</f>
        <v>250</v>
      </c>
      <c r="G21" s="2">
        <f>('Kwh Reading'!K22-'Kwh Reading'!K21)*1000</f>
        <v>340.00000000003183</v>
      </c>
      <c r="H21" s="2">
        <f>('Kwh Reading'!L22-'Kwh Reading'!L21)*1000</f>
        <v>180.00000000000682</v>
      </c>
      <c r="I21" s="2">
        <f>('Kwh Reading'!R22-'Kwh Reading'!R21)*1000</f>
        <v>360.00000000001364</v>
      </c>
      <c r="J21" s="2">
        <f>('Kwh Reading'!S22-'Kwh Reading'!S21)*1000</f>
        <v>150.00000000000568</v>
      </c>
      <c r="K21" s="2">
        <f>('Kwh Reading'!I22-'Kwh Reading'!I21)*1000</f>
        <v>680.00000000000682</v>
      </c>
      <c r="L21" s="2">
        <f>('Kwh Reading'!B22-'Kwh Reading'!B21)*1000</f>
        <v>1299.9999999999545</v>
      </c>
      <c r="M21" s="2">
        <f>('Kwh Reading'!M22-'Kwh Reading'!M21)*1000</f>
        <v>780.0000000000864</v>
      </c>
      <c r="N21" s="2">
        <f>('Kwh Reading'!H22-'Kwh Reading'!H21)*1000</f>
        <v>490.00000000000909</v>
      </c>
      <c r="O21" s="2">
        <f>('Kwh Reading'!P22-'Kwh Reading'!P21)*1000</f>
        <v>1149.9999999999773</v>
      </c>
      <c r="P21" s="2">
        <f>('Kwh Reading'!G22-'Kwh Reading'!G21)*1000</f>
        <v>950.00000000004547</v>
      </c>
      <c r="Q21" s="2">
        <f>('Kwh Reading'!Q22-'Kwh Reading'!Q21)*1000</f>
        <v>759.99999999999091</v>
      </c>
      <c r="R21" s="2">
        <f>('Kwh Reading'!N22-'Kwh Reading'!N21)*1000</f>
        <v>719.99999999997044</v>
      </c>
      <c r="S21" s="32">
        <f>'Kwh Reading'!E22-'Kwh Reading'!E21</f>
        <v>3580</v>
      </c>
      <c r="T21" s="32">
        <f>'Kwh Reading'!D22-'Kwh Reading'!D21</f>
        <v>2548.3499999996275</v>
      </c>
      <c r="U21" s="26">
        <f>('Kwh Reading'!O22-'Kwh Reading'!O21)*1000</f>
        <v>240.00000000000909</v>
      </c>
      <c r="V21" s="1">
        <f t="shared" si="1"/>
        <v>6071.6500000006854</v>
      </c>
    </row>
    <row r="22" spans="1:22" x14ac:dyDescent="0.3">
      <c r="A22" s="3">
        <f>'Kwh Reading'!A22</f>
        <v>44396</v>
      </c>
      <c r="B22" s="25">
        <f>TOTAL!E20</f>
        <v>23509.999999998628</v>
      </c>
      <c r="C22" s="4">
        <f>('Kwh Reading'!T23-'Kwh Reading'!T22)*1000</f>
        <v>509.99999999999091</v>
      </c>
      <c r="D22" s="2">
        <f>('Kwh Reading'!F23-'Kwh Reading'!F22)*1000000</f>
        <v>2299.9999999999686</v>
      </c>
      <c r="E22" s="2">
        <f>('Kwh Reading'!C23-'Kwh Reading'!C22)*1000</f>
        <v>209.99999999997954</v>
      </c>
      <c r="F22" s="2">
        <f>('Kwh Reading'!J23-'Kwh Reading'!J22)*1000</f>
        <v>209.99999999997954</v>
      </c>
      <c r="G22" s="2">
        <f>('Kwh Reading'!K23-'Kwh Reading'!K22)*1000</f>
        <v>250</v>
      </c>
      <c r="H22" s="2">
        <f>('Kwh Reading'!L23-'Kwh Reading'!L22)*1000</f>
        <v>179.9999999999784</v>
      </c>
      <c r="I22" s="2">
        <f>('Kwh Reading'!R23-'Kwh Reading'!R22)*1000</f>
        <v>269.99999999998181</v>
      </c>
      <c r="J22" s="2">
        <f>('Kwh Reading'!S23-'Kwh Reading'!S22)*1000</f>
        <v>99.999999999994316</v>
      </c>
      <c r="K22" s="2">
        <f>('Kwh Reading'!I23-'Kwh Reading'!I22)*1000</f>
        <v>310.00000000000227</v>
      </c>
      <c r="L22" s="2">
        <f>('Kwh Reading'!B23-'Kwh Reading'!B22)*1000</f>
        <v>1399.9999999999773</v>
      </c>
      <c r="M22" s="2">
        <f>('Kwh Reading'!M23-'Kwh Reading'!M22)*1000</f>
        <v>809.99999999994543</v>
      </c>
      <c r="N22" s="2">
        <f>('Kwh Reading'!H23-'Kwh Reading'!H22)*1000</f>
        <v>449.99999999993179</v>
      </c>
      <c r="O22" s="2">
        <f>('Kwh Reading'!P23-'Kwh Reading'!P22)*1000</f>
        <v>1110.0000000000136</v>
      </c>
      <c r="P22" s="2">
        <f>('Kwh Reading'!G23-'Kwh Reading'!G22)*1000</f>
        <v>969.9999999999136</v>
      </c>
      <c r="Q22" s="2">
        <f>('Kwh Reading'!Q23-'Kwh Reading'!Q22)*1000</f>
        <v>800.00000000001137</v>
      </c>
      <c r="R22" s="2">
        <f>('Kwh Reading'!N23-'Kwh Reading'!N22)*1000</f>
        <v>710.00000000003638</v>
      </c>
      <c r="S22" s="32">
        <f>'Kwh Reading'!E23-'Kwh Reading'!E22</f>
        <v>3320.5300000002608</v>
      </c>
      <c r="T22" s="32">
        <f>'Kwh Reading'!D23-'Kwh Reading'!D22</f>
        <v>2561.6200000001118</v>
      </c>
      <c r="U22" s="26">
        <f>('Kwh Reading'!O23-'Kwh Reading'!O22)*1000</f>
        <v>229.99999999998977</v>
      </c>
      <c r="V22" s="1">
        <f t="shared" si="1"/>
        <v>6807.8499999985615</v>
      </c>
    </row>
    <row r="23" spans="1:22" x14ac:dyDescent="0.3">
      <c r="A23" s="3">
        <f>'Kwh Reading'!A23</f>
        <v>44397</v>
      </c>
      <c r="B23" s="25">
        <f>TOTAL!E21</f>
        <v>25200.000000000728</v>
      </c>
      <c r="C23" s="4">
        <f>('Kwh Reading'!T24-'Kwh Reading'!T23)*1000</f>
        <v>439.99999999999773</v>
      </c>
      <c r="D23" s="2">
        <f>('Kwh Reading'!F24-'Kwh Reading'!F23)*1000000</f>
        <v>2699.9999999999245</v>
      </c>
      <c r="E23" s="2">
        <f>('Kwh Reading'!C24-'Kwh Reading'!C23)*1000</f>
        <v>280.00000000000114</v>
      </c>
      <c r="F23" s="2">
        <f>('Kwh Reading'!J24-'Kwh Reading'!J23)*1000</f>
        <v>399.99999999997726</v>
      </c>
      <c r="G23" s="2">
        <f>('Kwh Reading'!K24-'Kwh Reading'!K23)*1000</f>
        <v>389.99999999998636</v>
      </c>
      <c r="H23" s="2">
        <f>('Kwh Reading'!L24-'Kwh Reading'!L23)*1000</f>
        <v>250</v>
      </c>
      <c r="I23" s="2">
        <f>('Kwh Reading'!R24-'Kwh Reading'!R23)*1000</f>
        <v>310.00000000000227</v>
      </c>
      <c r="J23" s="2">
        <f>('Kwh Reading'!S24-'Kwh Reading'!S23)*1000</f>
        <v>130.00000000000966</v>
      </c>
      <c r="K23" s="2">
        <f>('Kwh Reading'!I24-'Kwh Reading'!I23)*1000</f>
        <v>329.99999999998408</v>
      </c>
      <c r="L23" s="2">
        <f>('Kwh Reading'!B24-'Kwh Reading'!B23)*1000</f>
        <v>1500</v>
      </c>
      <c r="M23" s="2">
        <f>('Kwh Reading'!M24-'Kwh Reading'!M23)*1000</f>
        <v>909.99999999996817</v>
      </c>
      <c r="N23" s="2">
        <f>('Kwh Reading'!H24-'Kwh Reading'!H23)*1000</f>
        <v>520.0000000000955</v>
      </c>
      <c r="O23" s="2">
        <f>('Kwh Reading'!P24-'Kwh Reading'!P23)*1000</f>
        <v>1169.9999999999591</v>
      </c>
      <c r="P23" s="2">
        <f>('Kwh Reading'!G24-'Kwh Reading'!G23)*1000</f>
        <v>1040.0000000000773</v>
      </c>
      <c r="Q23" s="2">
        <f>('Kwh Reading'!Q24-'Kwh Reading'!Q23)*1000</f>
        <v>819.99999999999318</v>
      </c>
      <c r="R23" s="2">
        <f>('Kwh Reading'!N24-'Kwh Reading'!N23)*1000</f>
        <v>759.99999999999091</v>
      </c>
      <c r="S23" s="32">
        <f>'Kwh Reading'!E24-'Kwh Reading'!E23</f>
        <v>3858.109999999404</v>
      </c>
      <c r="T23" s="32">
        <f>'Kwh Reading'!D24-'Kwh Reading'!D23</f>
        <v>2646.9500000001863</v>
      </c>
      <c r="U23" s="26">
        <f>('Kwh Reading'!O24-'Kwh Reading'!O23)*1000</f>
        <v>240.00000000000909</v>
      </c>
      <c r="V23" s="1">
        <f t="shared" si="1"/>
        <v>6504.9400000011665</v>
      </c>
    </row>
    <row r="24" spans="1:22" x14ac:dyDescent="0.3">
      <c r="A24" s="3">
        <f>'Kwh Reading'!A24</f>
        <v>44398</v>
      </c>
      <c r="B24" s="25">
        <f>TOTAL!E22</f>
        <v>22999.999999999091</v>
      </c>
      <c r="C24" s="4">
        <f>('Kwh Reading'!T25-'Kwh Reading'!T24)*1000</f>
        <v>509.99999999999091</v>
      </c>
      <c r="D24" s="2">
        <f>('Kwh Reading'!F25-'Kwh Reading'!F24)*1000000</f>
        <v>2400.0000000001796</v>
      </c>
      <c r="E24" s="2">
        <f>('Kwh Reading'!C25-'Kwh Reading'!C24)*1000</f>
        <v>219.99999999999886</v>
      </c>
      <c r="F24" s="2">
        <f>('Kwh Reading'!J25-'Kwh Reading'!J24)*1000</f>
        <v>240.00000000000909</v>
      </c>
      <c r="G24" s="2">
        <f>('Kwh Reading'!K25-'Kwh Reading'!K24)*1000</f>
        <v>259.99999999999091</v>
      </c>
      <c r="H24" s="2">
        <f>('Kwh Reading'!L25-'Kwh Reading'!L24)*1000</f>
        <v>180.00000000000682</v>
      </c>
      <c r="I24" s="2">
        <f>('Kwh Reading'!R25-'Kwh Reading'!R24)*1000</f>
        <v>200.00000000001705</v>
      </c>
      <c r="J24" s="2">
        <f>('Kwh Reading'!S25-'Kwh Reading'!S24)*1000</f>
        <v>119.99999999999034</v>
      </c>
      <c r="K24" s="2">
        <f>('Kwh Reading'!I25-'Kwh Reading'!I24)*1000</f>
        <v>319.99999999999318</v>
      </c>
      <c r="L24" s="2">
        <f>('Kwh Reading'!B25-'Kwh Reading'!B24)*1000</f>
        <v>1399.9999999999773</v>
      </c>
      <c r="M24" s="2">
        <f>('Kwh Reading'!M25-'Kwh Reading'!M24)*1000</f>
        <v>820.00000000005002</v>
      </c>
      <c r="N24" s="2">
        <f>('Kwh Reading'!H25-'Kwh Reading'!H24)*1000</f>
        <v>479.9999999999045</v>
      </c>
      <c r="O24" s="2">
        <f>('Kwh Reading'!P25-'Kwh Reading'!P24)*1000</f>
        <v>1049.9999999999545</v>
      </c>
      <c r="P24" s="2">
        <f>('Kwh Reading'!G25-'Kwh Reading'!G24)*1000</f>
        <v>889.99999999998636</v>
      </c>
      <c r="Q24" s="2">
        <f>('Kwh Reading'!Q25-'Kwh Reading'!Q24)*1000</f>
        <v>680.00000000000682</v>
      </c>
      <c r="R24" s="2">
        <f>('Kwh Reading'!N25-'Kwh Reading'!N24)*1000</f>
        <v>709.99999999997954</v>
      </c>
      <c r="S24" s="2">
        <f>'Kwh Reading'!E25-'Kwh Reading'!E24</f>
        <v>3725.980000000447</v>
      </c>
      <c r="T24" s="2">
        <f>'Kwh Reading'!D25-'Kwh Reading'!D24</f>
        <v>2374.6499999994412</v>
      </c>
      <c r="U24" s="26">
        <f>('Kwh Reading'!O25-'Kwh Reading'!O24)*1000</f>
        <v>240.00000000000909</v>
      </c>
      <c r="V24" s="1">
        <f t="shared" si="1"/>
        <v>6179.3699999991586</v>
      </c>
    </row>
    <row r="25" spans="1:22" x14ac:dyDescent="0.3">
      <c r="A25" s="3">
        <f>'Kwh Reading'!A25</f>
        <v>44399</v>
      </c>
      <c r="B25" s="25">
        <f>TOTAL!E23</f>
        <v>24500.000000001361</v>
      </c>
      <c r="C25" s="4">
        <f>('Kwh Reading'!T26-'Kwh Reading'!T25)*1000</f>
        <v>520.00000000003865</v>
      </c>
      <c r="D25" s="2">
        <f>('Kwh Reading'!F26-'Kwh Reading'!F25)*1000000</f>
        <v>2699.9999999999245</v>
      </c>
      <c r="E25" s="2">
        <f>('Kwh Reading'!C26-'Kwh Reading'!C25)*1000</f>
        <v>270.00000000001023</v>
      </c>
      <c r="F25" s="2">
        <f>('Kwh Reading'!J26-'Kwh Reading'!J25)*1000</f>
        <v>330.00000000004093</v>
      </c>
      <c r="G25" s="2">
        <f>('Kwh Reading'!K26-'Kwh Reading'!K25)*1000</f>
        <v>430.00000000000682</v>
      </c>
      <c r="H25" s="2">
        <f>('Kwh Reading'!L26-'Kwh Reading'!L25)*1000</f>
        <v>219.99999999999886</v>
      </c>
      <c r="I25" s="2">
        <f>('Kwh Reading'!R26-'Kwh Reading'!R25)*1000</f>
        <v>289.99999999999204</v>
      </c>
      <c r="J25" s="2">
        <f>('Kwh Reading'!S26-'Kwh Reading'!S25)*1000</f>
        <v>140.00000000000057</v>
      </c>
      <c r="K25" s="2">
        <f>('Kwh Reading'!I26-'Kwh Reading'!I25)*1000</f>
        <v>390.00000000001478</v>
      </c>
      <c r="L25" s="2">
        <f>('Kwh Reading'!B26-'Kwh Reading'!B25)*1000</f>
        <v>1500</v>
      </c>
      <c r="M25" s="2">
        <f>('Kwh Reading'!M26-'Kwh Reading'!M25)*1000</f>
        <v>840.00000000003183</v>
      </c>
      <c r="N25" s="2">
        <f>('Kwh Reading'!H26-'Kwh Reading'!H25)*1000</f>
        <v>670.00000000007276</v>
      </c>
      <c r="O25" s="2">
        <f>('Kwh Reading'!P26-'Kwh Reading'!P25)*1000</f>
        <v>1110.0000000000136</v>
      </c>
      <c r="P25" s="2">
        <f>('Kwh Reading'!G26-'Kwh Reading'!G25)*1000</f>
        <v>980.00000000001819</v>
      </c>
      <c r="Q25" s="2">
        <f>('Kwh Reading'!Q26-'Kwh Reading'!Q25)*1000</f>
        <v>769.99999999998181</v>
      </c>
      <c r="R25" s="2">
        <f>('Kwh Reading'!N26-'Kwh Reading'!N25)*1000</f>
        <v>830.00000000004093</v>
      </c>
      <c r="S25" s="2">
        <f>'Kwh Reading'!E26-'Kwh Reading'!E25</f>
        <v>3856.179999999702</v>
      </c>
      <c r="T25" s="2">
        <f>'Kwh Reading'!D26-'Kwh Reading'!D25</f>
        <v>2655.3300000000745</v>
      </c>
      <c r="U25" s="26">
        <f>('Kwh Reading'!O26-'Kwh Reading'!O25)*1000</f>
        <v>319.99999999999318</v>
      </c>
      <c r="V25" s="1">
        <f t="shared" si="1"/>
        <v>5678.4900000014059</v>
      </c>
    </row>
    <row r="26" spans="1:22" x14ac:dyDescent="0.3">
      <c r="A26" s="3">
        <f>'Kwh Reading'!A26</f>
        <v>44400</v>
      </c>
      <c r="B26" s="25">
        <f>TOTAL!E24</f>
        <v>22229.999999998883</v>
      </c>
      <c r="C26" s="4">
        <f>('Kwh Reading'!T27-'Kwh Reading'!T26)*1000</f>
        <v>79.999999999984084</v>
      </c>
      <c r="D26" s="2">
        <f>('Kwh Reading'!F27-'Kwh Reading'!F26)*1000000</f>
        <v>2499.9999999999468</v>
      </c>
      <c r="E26" s="2">
        <f>('Kwh Reading'!C27-'Kwh Reading'!C26)*1000</f>
        <v>270.00000000001023</v>
      </c>
      <c r="F26" s="2">
        <f>('Kwh Reading'!J27-'Kwh Reading'!J26)*1000</f>
        <v>229.99999999996135</v>
      </c>
      <c r="G26" s="2">
        <f>('Kwh Reading'!K27-'Kwh Reading'!K26)*1000</f>
        <v>259.99999999999091</v>
      </c>
      <c r="H26" s="2">
        <f>('Kwh Reading'!L27-'Kwh Reading'!L26)*1000</f>
        <v>170.00000000001592</v>
      </c>
      <c r="I26" s="2">
        <f>('Kwh Reading'!R27-'Kwh Reading'!R26)*1000</f>
        <v>340.00000000000341</v>
      </c>
      <c r="J26" s="2">
        <f>('Kwh Reading'!S27-'Kwh Reading'!S26)*1000</f>
        <v>130.00000000000966</v>
      </c>
      <c r="K26" s="2">
        <f>('Kwh Reading'!I27-'Kwh Reading'!I26)*1000</f>
        <v>310.00000000000227</v>
      </c>
      <c r="L26" s="2">
        <f>('Kwh Reading'!B27-'Kwh Reading'!B26)*1000</f>
        <v>1300.0000000000682</v>
      </c>
      <c r="M26" s="2">
        <f>('Kwh Reading'!M27-'Kwh Reading'!M26)*1000</f>
        <v>689.99999999994088</v>
      </c>
      <c r="N26" s="2">
        <f>('Kwh Reading'!H27-'Kwh Reading'!H26)*1000</f>
        <v>209.99999999992269</v>
      </c>
      <c r="O26" s="2">
        <f>('Kwh Reading'!P27-'Kwh Reading'!P26)*1000</f>
        <v>910.00000000008185</v>
      </c>
      <c r="P26" s="2">
        <f>('Kwh Reading'!G27-'Kwh Reading'!G26)*1000</f>
        <v>860.00000000001364</v>
      </c>
      <c r="Q26" s="2">
        <f>('Kwh Reading'!Q27-'Kwh Reading'!Q26)*1000</f>
        <v>750</v>
      </c>
      <c r="R26" s="2">
        <f>('Kwh Reading'!N27-'Kwh Reading'!N26)*1000</f>
        <v>759.99999999999091</v>
      </c>
      <c r="S26" s="2">
        <f>'Kwh Reading'!E27-'Kwh Reading'!E26</f>
        <v>2740.839999999851</v>
      </c>
      <c r="T26" s="2">
        <f>'Kwh Reading'!D27-'Kwh Reading'!D26</f>
        <v>2167.070000000298</v>
      </c>
      <c r="U26" s="26">
        <f>('Kwh Reading'!O27-'Kwh Reading'!O26)*1000</f>
        <v>259.99999999999091</v>
      </c>
      <c r="V26" s="1">
        <f t="shared" si="1"/>
        <v>7292.0899999987996</v>
      </c>
    </row>
    <row r="27" spans="1:22" x14ac:dyDescent="0.3">
      <c r="A27" s="3">
        <f>'Kwh Reading'!A27</f>
        <v>44401</v>
      </c>
      <c r="B27" s="25">
        <f>TOTAL!E25</f>
        <v>22500.000000000684</v>
      </c>
      <c r="C27" s="4">
        <f>('Kwh Reading'!T28-'Kwh Reading'!T27)*1000</f>
        <v>759.99999999999091</v>
      </c>
      <c r="D27" s="2">
        <f>('Kwh Reading'!F28-'Kwh Reading'!F27)*1000000</f>
        <v>2600.0000000001578</v>
      </c>
      <c r="E27" s="2">
        <f>('Kwh Reading'!C28-'Kwh Reading'!C27)*1000</f>
        <v>250</v>
      </c>
      <c r="F27" s="2">
        <f>('Kwh Reading'!J28-'Kwh Reading'!J27)*1000</f>
        <v>319.99999999999318</v>
      </c>
      <c r="G27" s="2">
        <f>('Kwh Reading'!K28-'Kwh Reading'!K27)*1000</f>
        <v>319.99999999999318</v>
      </c>
      <c r="H27" s="2">
        <f>('Kwh Reading'!L28-'Kwh Reading'!L27)*1000</f>
        <v>209.99999999997954</v>
      </c>
      <c r="I27" s="2">
        <f>('Kwh Reading'!R28-'Kwh Reading'!R27)*1000</f>
        <v>99.999999999994316</v>
      </c>
      <c r="J27" s="2">
        <f>('Kwh Reading'!S28-'Kwh Reading'!S27)*1000</f>
        <v>140.00000000000057</v>
      </c>
      <c r="K27" s="2">
        <f>('Kwh Reading'!I28-'Kwh Reading'!I27)*1000</f>
        <v>319.99999999999318</v>
      </c>
      <c r="L27" s="2">
        <f>('Kwh Reading'!B28-'Kwh Reading'!B27)*1000</f>
        <v>1399.9999999999773</v>
      </c>
      <c r="M27" s="2">
        <f>('Kwh Reading'!M28-'Kwh Reading'!M27)*1000</f>
        <v>710.00000000003638</v>
      </c>
      <c r="N27" s="2">
        <f>('Kwh Reading'!H28-'Kwh Reading'!H27)*1000</f>
        <v>400.00000000009095</v>
      </c>
      <c r="O27" s="2">
        <f>('Kwh Reading'!P28-'Kwh Reading'!P27)*1000</f>
        <v>1009.9999999999909</v>
      </c>
      <c r="P27" s="2">
        <f>('Kwh Reading'!G28-'Kwh Reading'!G27)*1000</f>
        <v>839.99999999991815</v>
      </c>
      <c r="Q27" s="2">
        <f>('Kwh Reading'!Q28-'Kwh Reading'!Q27)*1000</f>
        <v>680.00000000000682</v>
      </c>
      <c r="R27" s="2">
        <f>('Kwh Reading'!N28-'Kwh Reading'!N27)*1000</f>
        <v>750</v>
      </c>
      <c r="S27" s="2">
        <f>'Kwh Reading'!E28-'Kwh Reading'!E27</f>
        <v>3325.0500000007451</v>
      </c>
      <c r="T27" s="2">
        <f>'Kwh Reading'!D28-'Kwh Reading'!D27</f>
        <v>2368.160000000149</v>
      </c>
      <c r="U27" s="26">
        <f>('Kwh Reading'!O28-'Kwh Reading'!O27)*1000</f>
        <v>259.99999999999091</v>
      </c>
      <c r="V27" s="1">
        <f t="shared" si="1"/>
        <v>5736.7899999996735</v>
      </c>
    </row>
    <row r="28" spans="1:22" x14ac:dyDescent="0.3">
      <c r="A28" s="3">
        <f>'Kwh Reading'!A28</f>
        <v>44402</v>
      </c>
      <c r="B28" s="25">
        <f>TOTAL!E26</f>
        <v>22320.000000000393</v>
      </c>
      <c r="C28" s="4">
        <f>('Kwh Reading'!T29-'Kwh Reading'!T28)*1000</f>
        <v>449.99999999998863</v>
      </c>
      <c r="D28" s="2">
        <f>('Kwh Reading'!F29-'Kwh Reading'!F28)*1000000</f>
        <v>2499.9999999999468</v>
      </c>
      <c r="E28" s="2">
        <f>('Kwh Reading'!C29-'Kwh Reading'!C28)*1000</f>
        <v>259.99999999999091</v>
      </c>
      <c r="F28" s="2">
        <f>('Kwh Reading'!J29-'Kwh Reading'!J28)*1000</f>
        <v>410.00000000002501</v>
      </c>
      <c r="G28" s="2">
        <f>('Kwh Reading'!K29-'Kwh Reading'!K28)*1000</f>
        <v>379.99999999999545</v>
      </c>
      <c r="H28" s="2">
        <f>('Kwh Reading'!L29-'Kwh Reading'!L28)*1000</f>
        <v>270.00000000001023</v>
      </c>
      <c r="I28" s="2">
        <f>('Kwh Reading'!R29-'Kwh Reading'!R28)*1000</f>
        <v>289.99999999999204</v>
      </c>
      <c r="J28" s="2">
        <f>('Kwh Reading'!S29-'Kwh Reading'!S28)*1000</f>
        <v>129.99999999999545</v>
      </c>
      <c r="K28" s="2">
        <f>('Kwh Reading'!I29-'Kwh Reading'!I28)*1000</f>
        <v>310.00000000000227</v>
      </c>
      <c r="L28" s="2">
        <f>('Kwh Reading'!B29-'Kwh Reading'!B28)*1000</f>
        <v>1200.0000000000455</v>
      </c>
      <c r="M28" s="2">
        <f>('Kwh Reading'!M29-'Kwh Reading'!M28)*1000</f>
        <v>689.99999999994088</v>
      </c>
      <c r="N28" s="2">
        <f>('Kwh Reading'!H29-'Kwh Reading'!H28)*1000</f>
        <v>459.99999999992269</v>
      </c>
      <c r="O28" s="2">
        <f>('Kwh Reading'!P29-'Kwh Reading'!P28)*1000</f>
        <v>79.99999999992724</v>
      </c>
      <c r="P28" s="2">
        <f>('Kwh Reading'!G29-'Kwh Reading'!G28)*1000</f>
        <v>750</v>
      </c>
      <c r="Q28" s="2">
        <f>('Kwh Reading'!Q29-'Kwh Reading'!Q28)*1000</f>
        <v>689.99999999999773</v>
      </c>
      <c r="R28" s="2">
        <f>('Kwh Reading'!N29-'Kwh Reading'!N28)*1000</f>
        <v>729.99999999996135</v>
      </c>
      <c r="S28" s="2">
        <f>'Kwh Reading'!E29-'Kwh Reading'!E28</f>
        <v>3585.9499999992549</v>
      </c>
      <c r="T28" s="2">
        <f>'Kwh Reading'!D29-'Kwh Reading'!D28</f>
        <v>2328.3700000001118</v>
      </c>
      <c r="U28" s="26">
        <f>('Kwh Reading'!O29-'Kwh Reading'!O28)*1000</f>
        <v>260.00000000001933</v>
      </c>
      <c r="V28" s="1">
        <f t="shared" si="1"/>
        <v>6545.6800000012627</v>
      </c>
    </row>
    <row r="29" spans="1:22" x14ac:dyDescent="0.3">
      <c r="A29" s="3">
        <f>'Kwh Reading'!A29</f>
        <v>44403</v>
      </c>
      <c r="B29" s="25">
        <f>TOTAL!E27</f>
        <v>21090.000000000146</v>
      </c>
      <c r="C29" s="4">
        <f>('Kwh Reading'!T30-'Kwh Reading'!T29)*1000</f>
        <v>580.00000000004093</v>
      </c>
      <c r="D29" s="2">
        <f>('Kwh Reading'!F30-'Kwh Reading'!F29)*1000000</f>
        <v>2499.9999999999468</v>
      </c>
      <c r="E29" s="2">
        <f>('Kwh Reading'!C30-'Kwh Reading'!C29)*1000</f>
        <v>240.00000000000909</v>
      </c>
      <c r="F29" s="2">
        <f>('Kwh Reading'!J30-'Kwh Reading'!J29)*1000</f>
        <v>269.99999999998181</v>
      </c>
      <c r="G29" s="2">
        <f>('Kwh Reading'!K30-'Kwh Reading'!K29)*1000</f>
        <v>310.00000000000227</v>
      </c>
      <c r="H29" s="2">
        <f>('Kwh Reading'!L30-'Kwh Reading'!L29)*1000</f>
        <v>229.99999999998977</v>
      </c>
      <c r="I29" s="2">
        <f>('Kwh Reading'!R30-'Kwh Reading'!R29)*1000</f>
        <v>280.00000000000114</v>
      </c>
      <c r="J29" s="2">
        <f>('Kwh Reading'!S30-'Kwh Reading'!S29)*1000</f>
        <v>129.99999999999545</v>
      </c>
      <c r="K29" s="2">
        <f>('Kwh Reading'!I30-'Kwh Reading'!I29)*1000</f>
        <v>289.99999999999204</v>
      </c>
      <c r="L29" s="2">
        <f>('Kwh Reading'!B30-'Kwh Reading'!B29)*1000</f>
        <v>1299.9999999999545</v>
      </c>
      <c r="M29" s="2">
        <f>('Kwh Reading'!M30-'Kwh Reading'!M29)*1000</f>
        <v>670.00000000007276</v>
      </c>
      <c r="N29" s="2">
        <f>('Kwh Reading'!H30-'Kwh Reading'!H29)*1000</f>
        <v>389.99999999998636</v>
      </c>
      <c r="O29" s="2">
        <f>('Kwh Reading'!P30-'Kwh Reading'!P29)*1000</f>
        <v>1930.0000000000637</v>
      </c>
      <c r="P29" s="2">
        <f>('Kwh Reading'!G30-'Kwh Reading'!G29)*1000</f>
        <v>650.00000000009095</v>
      </c>
      <c r="Q29" s="2">
        <f>('Kwh Reading'!Q30-'Kwh Reading'!Q29)*1000</f>
        <v>629.99999999999545</v>
      </c>
      <c r="R29" s="2">
        <f>('Kwh Reading'!N30-'Kwh Reading'!N29)*1000</f>
        <v>650.00000000003411</v>
      </c>
      <c r="S29" s="2">
        <f>'Kwh Reading'!E30-'Kwh Reading'!E29</f>
        <v>3027.230000000447</v>
      </c>
      <c r="T29" s="2">
        <f>'Kwh Reading'!D30-'Kwh Reading'!D29</f>
        <v>2065.3799999998882</v>
      </c>
      <c r="U29" s="26">
        <f>('Kwh Reading'!O30-'Kwh Reading'!O29)*1000</f>
        <v>239.99999999998067</v>
      </c>
      <c r="V29" s="1">
        <f t="shared" si="1"/>
        <v>4707.389999999672</v>
      </c>
    </row>
    <row r="30" spans="1:22" x14ac:dyDescent="0.3">
      <c r="A30" s="3">
        <f>'Kwh Reading'!A30</f>
        <v>44404</v>
      </c>
      <c r="B30" s="25">
        <f>TOTAL!E28</f>
        <v>21809.999999998807</v>
      </c>
      <c r="C30" s="4">
        <f>('Kwh Reading'!T31-'Kwh Reading'!T30)*1000</f>
        <v>409.99999999996817</v>
      </c>
      <c r="D30" s="2">
        <f>('Kwh Reading'!F31-'Kwh Reading'!F30)*1000000</f>
        <v>2200.0000000002019</v>
      </c>
      <c r="E30" s="2">
        <f>('Kwh Reading'!C31-'Kwh Reading'!C30)*1000</f>
        <v>259.99999999999091</v>
      </c>
      <c r="F30" s="2">
        <f>('Kwh Reading'!J31-'Kwh Reading'!J30)*1000</f>
        <v>280.00000000002956</v>
      </c>
      <c r="G30" s="2">
        <f>('Kwh Reading'!K31-'Kwh Reading'!K30)*1000</f>
        <v>319.99999999999318</v>
      </c>
      <c r="H30" s="2">
        <f>('Kwh Reading'!L31-'Kwh Reading'!L30)*1000</f>
        <v>200.00000000001705</v>
      </c>
      <c r="I30" s="2">
        <f>('Kwh Reading'!R31-'Kwh Reading'!R30)*1000</f>
        <v>300.00000000001137</v>
      </c>
      <c r="J30" s="2">
        <f>('Kwh Reading'!S31-'Kwh Reading'!S30)*1000</f>
        <v>130.00000000000966</v>
      </c>
      <c r="K30" s="2">
        <f>('Kwh Reading'!I31-'Kwh Reading'!I30)*1000</f>
        <v>280.00000000000114</v>
      </c>
      <c r="L30" s="2">
        <f>('Kwh Reading'!B31-'Kwh Reading'!B30)*1000</f>
        <v>1200.0000000000455</v>
      </c>
      <c r="M30" s="2">
        <f>('Kwh Reading'!M31-'Kwh Reading'!M30)*1000</f>
        <v>669.99999999995907</v>
      </c>
      <c r="N30" s="2">
        <f>('Kwh Reading'!H31-'Kwh Reading'!H30)*1000</f>
        <v>390.00000000010004</v>
      </c>
      <c r="O30" s="2">
        <f>('Kwh Reading'!P31-'Kwh Reading'!P30)*1000</f>
        <v>1019.9999999999818</v>
      </c>
      <c r="P30" s="2">
        <f>('Kwh Reading'!G31-'Kwh Reading'!G30)*1000</f>
        <v>619.99999999989086</v>
      </c>
      <c r="Q30" s="2">
        <f>('Kwh Reading'!Q31-'Kwh Reading'!Q30)*1000</f>
        <v>680.00000000000682</v>
      </c>
      <c r="R30" s="2">
        <f>('Kwh Reading'!N31-'Kwh Reading'!N30)*1000</f>
        <v>680.00000000000682</v>
      </c>
      <c r="S30" s="2">
        <f>'Kwh Reading'!E31-'Kwh Reading'!E30</f>
        <v>3094.2900000000373</v>
      </c>
      <c r="T30" s="2">
        <f>'Kwh Reading'!D31-'Kwh Reading'!D30</f>
        <v>2109.679999999702</v>
      </c>
      <c r="U30" s="26">
        <f>('Kwh Reading'!O31-'Kwh Reading'!O30)*1000</f>
        <v>230.00000000001819</v>
      </c>
      <c r="V30" s="1">
        <f t="shared" si="1"/>
        <v>6736.0299999988347</v>
      </c>
    </row>
    <row r="31" spans="1:22" x14ac:dyDescent="0.3">
      <c r="A31" s="3">
        <f>'Kwh Reading'!A31</f>
        <v>44405</v>
      </c>
      <c r="B31" s="25">
        <f>TOTAL!E29</f>
        <v>20820.000000001073</v>
      </c>
      <c r="C31" s="4">
        <f>('Kwh Reading'!T32-'Kwh Reading'!T31)*1000</f>
        <v>620.00000000000455</v>
      </c>
      <c r="D31" s="2">
        <f>('Kwh Reading'!F32-'Kwh Reading'!F31)*1000000</f>
        <v>2299.9999999999686</v>
      </c>
      <c r="E31" s="2">
        <f>('Kwh Reading'!C32-'Kwh Reading'!C31)*1000</f>
        <v>240.00000000000909</v>
      </c>
      <c r="F31" s="2">
        <f>('Kwh Reading'!J32-'Kwh Reading'!J31)*1000</f>
        <v>370.00000000000455</v>
      </c>
      <c r="G31" s="2">
        <f>('Kwh Reading'!K32-'Kwh Reading'!K31)*1000</f>
        <v>259.99999999999091</v>
      </c>
      <c r="H31" s="2">
        <f>('Kwh Reading'!L32-'Kwh Reading'!L31)*1000</f>
        <v>209.99999999997954</v>
      </c>
      <c r="I31" s="2">
        <f>('Kwh Reading'!R32-'Kwh Reading'!R31)*1000</f>
        <v>310.00000000000227</v>
      </c>
      <c r="J31" s="2">
        <f>('Kwh Reading'!S32-'Kwh Reading'!S31)*1000</f>
        <v>129.99999999999545</v>
      </c>
      <c r="K31" s="2">
        <f>('Kwh Reading'!I32-'Kwh Reading'!I31)*1000</f>
        <v>259.99999999999091</v>
      </c>
      <c r="L31" s="2">
        <f>('Kwh Reading'!B32-'Kwh Reading'!B31)*1000</f>
        <v>1000</v>
      </c>
      <c r="M31" s="2">
        <f>('Kwh Reading'!M32-'Kwh Reading'!M31)*1000</f>
        <v>620.00000000000455</v>
      </c>
      <c r="N31" s="2">
        <f>('Kwh Reading'!H32-'Kwh Reading'!H31)*1000</f>
        <v>379.99999999999545</v>
      </c>
      <c r="O31" s="2">
        <f>('Kwh Reading'!P32-'Kwh Reading'!P31)*1000</f>
        <v>870.00000000000455</v>
      </c>
      <c r="P31" s="2">
        <f>('Kwh Reading'!G32-'Kwh Reading'!G31)*1000</f>
        <v>610.00000000001364</v>
      </c>
      <c r="Q31" s="2">
        <f>('Kwh Reading'!Q32-'Kwh Reading'!Q31)*1000</f>
        <v>639.99999999998636</v>
      </c>
      <c r="R31" s="2">
        <f>('Kwh Reading'!N32-'Kwh Reading'!N31)*1000</f>
        <v>629.99999999999545</v>
      </c>
      <c r="S31" s="2">
        <f>'Kwh Reading'!E32-'Kwh Reading'!E31</f>
        <v>2701.9500000001863</v>
      </c>
      <c r="T31" s="2">
        <f>'Kwh Reading'!D32-'Kwh Reading'!D31</f>
        <v>1948.2999999998137</v>
      </c>
      <c r="U31" s="26">
        <f>('Kwh Reading'!O32-'Kwh Reading'!O31)*1000</f>
        <v>199.99999999998863</v>
      </c>
      <c r="V31" s="1">
        <f t="shared" si="1"/>
        <v>6519.7500000011387</v>
      </c>
    </row>
    <row r="32" spans="1:22" x14ac:dyDescent="0.3">
      <c r="A32" s="3">
        <f>'Kwh Reading'!A32</f>
        <v>44406</v>
      </c>
      <c r="B32" s="25">
        <f>TOTAL!E30</f>
        <v>21729.999999999789</v>
      </c>
      <c r="C32" s="4">
        <f>('Kwh Reading'!T33-'Kwh Reading'!T32)*1000</f>
        <v>379.99999999999545</v>
      </c>
      <c r="D32" s="2">
        <f>('Kwh Reading'!F33-'Kwh Reading'!F32)*1000000</f>
        <v>2399.9999999997358</v>
      </c>
      <c r="E32" s="2">
        <f>('Kwh Reading'!C33-'Kwh Reading'!C32)*1000</f>
        <v>250</v>
      </c>
      <c r="F32" s="2">
        <f>('Kwh Reading'!J33-'Kwh Reading'!J32)*1000</f>
        <v>329.99999999998408</v>
      </c>
      <c r="G32" s="2">
        <f>('Kwh Reading'!K33-'Kwh Reading'!K32)*1000</f>
        <v>290.00000000002046</v>
      </c>
      <c r="H32" s="2">
        <f>('Kwh Reading'!L33-'Kwh Reading'!L32)*1000</f>
        <v>219.99999999999886</v>
      </c>
      <c r="I32" s="2">
        <f>('Kwh Reading'!R33-'Kwh Reading'!R32)*1000</f>
        <v>310.00000000000227</v>
      </c>
      <c r="J32" s="2">
        <f>('Kwh Reading'!S33-'Kwh Reading'!S32)*1000</f>
        <v>120.00000000000455</v>
      </c>
      <c r="K32" s="2">
        <f>('Kwh Reading'!I33-'Kwh Reading'!I32)*1000</f>
        <v>330.00000000001251</v>
      </c>
      <c r="L32" s="2">
        <f>('Kwh Reading'!B33-'Kwh Reading'!B32)*1000</f>
        <v>1500</v>
      </c>
      <c r="M32" s="2">
        <f>('Kwh Reading'!M33-'Kwh Reading'!M32)*1000</f>
        <v>759.99999999999091</v>
      </c>
      <c r="N32" s="2">
        <f>('Kwh Reading'!H33-'Kwh Reading'!H32)*1000</f>
        <v>349.99999999990905</v>
      </c>
      <c r="O32" s="2">
        <f>('Kwh Reading'!P33-'Kwh Reading'!P32)*1000</f>
        <v>1009.9999999999909</v>
      </c>
      <c r="P32" s="2">
        <f>('Kwh Reading'!G33-'Kwh Reading'!G32)*1000</f>
        <v>710.00000000003638</v>
      </c>
      <c r="Q32" s="2">
        <f>('Kwh Reading'!Q33-'Kwh Reading'!Q32)*1000</f>
        <v>740.00000000000909</v>
      </c>
      <c r="R32" s="2">
        <f>('Kwh Reading'!N33-'Kwh Reading'!N32)*1000</f>
        <v>670.00000000001592</v>
      </c>
      <c r="S32" s="2">
        <f>'Kwh Reading'!E33-'Kwh Reading'!E32</f>
        <v>2941.7199999997392</v>
      </c>
      <c r="T32" s="2">
        <f>'Kwh Reading'!D33-'Kwh Reading'!D32</f>
        <v>-6793247.4399999995</v>
      </c>
      <c r="U32" s="26">
        <f>('Kwh Reading'!O33-'Kwh Reading'!O32)*1000</f>
        <v>210.00000000000796</v>
      </c>
      <c r="V32" s="1">
        <f t="shared" si="1"/>
        <v>6801455.7199999997</v>
      </c>
    </row>
    <row r="33" spans="1:22" x14ac:dyDescent="0.3">
      <c r="A33" s="3">
        <f>'Kwh Reading'!A33</f>
        <v>44407</v>
      </c>
      <c r="B33" s="25">
        <f>TOTAL!E31</f>
        <v>21699.999999998909</v>
      </c>
      <c r="C33" s="4">
        <f>('Kwh Reading'!T34-'Kwh Reading'!T33)*1000</f>
        <v>230.00000000001819</v>
      </c>
      <c r="D33" s="2">
        <f>('Kwh Reading'!F34-'Kwh Reading'!F33)*1000000</f>
        <v>2499.9999999999468</v>
      </c>
      <c r="E33" s="2">
        <f>('Kwh Reading'!C34-'Kwh Reading'!C33)*1000</f>
        <v>229.99999999998977</v>
      </c>
      <c r="F33" s="2">
        <f>('Kwh Reading'!J34-'Kwh Reading'!J33)*1000</f>
        <v>300.00000000001137</v>
      </c>
      <c r="G33" s="2">
        <f>('Kwh Reading'!K34-'Kwh Reading'!K33)*1000</f>
        <v>339.99999999997499</v>
      </c>
      <c r="H33" s="2">
        <f>('Kwh Reading'!L34-'Kwh Reading'!L33)*1000</f>
        <v>230.00000000001819</v>
      </c>
      <c r="I33" s="2">
        <f>('Kwh Reading'!R34-'Kwh Reading'!R33)*1000</f>
        <v>250</v>
      </c>
      <c r="J33" s="2">
        <f>('Kwh Reading'!S34-'Kwh Reading'!S33)*1000</f>
        <v>129.99999999999545</v>
      </c>
      <c r="K33" s="2">
        <f>('Kwh Reading'!I34-'Kwh Reading'!I33)*1000</f>
        <v>360.00000000001364</v>
      </c>
      <c r="L33" s="2">
        <f>('Kwh Reading'!B34-'Kwh Reading'!B33)*1000</f>
        <v>1500</v>
      </c>
      <c r="M33" s="2">
        <f>('Kwh Reading'!M34-'Kwh Reading'!M33)*1000</f>
        <v>710.00000000003638</v>
      </c>
      <c r="N33" s="2">
        <f>('Kwh Reading'!H34-'Kwh Reading'!H33)*1000</f>
        <v>330.00000000004093</v>
      </c>
      <c r="O33" s="2">
        <f>('Kwh Reading'!P34-'Kwh Reading'!P33)*1000</f>
        <v>919.99999999995907</v>
      </c>
      <c r="P33" s="2">
        <f>('Kwh Reading'!G34-'Kwh Reading'!G33)*1000</f>
        <v>840.00000000003183</v>
      </c>
      <c r="Q33" s="2">
        <f>('Kwh Reading'!Q34-'Kwh Reading'!Q33)*1000</f>
        <v>740.00000000000909</v>
      </c>
      <c r="R33" s="2">
        <f>('Kwh Reading'!N34-'Kwh Reading'!N33)*1000</f>
        <v>549.99999999995453</v>
      </c>
      <c r="S33" s="2">
        <f>'Kwh Reading'!E34-'Kwh Reading'!E33</f>
        <v>2560.5300000002608</v>
      </c>
      <c r="T33" s="2">
        <f>'Kwh Reading'!D34-'Kwh Reading'!D33</f>
        <v>6797657.3399999999</v>
      </c>
      <c r="U33" s="26">
        <f>('Kwh Reading'!O34-'Kwh Reading'!O33)*1000</f>
        <v>219.99999999999886</v>
      </c>
      <c r="V33" s="1">
        <f t="shared" si="1"/>
        <v>-6788897.870000001</v>
      </c>
    </row>
    <row r="34" spans="1:22" x14ac:dyDescent="0.3">
      <c r="A34" s="3">
        <f>'Kwh Reading'!A34</f>
        <v>44408</v>
      </c>
      <c r="B34" s="25">
        <f>TOTAL!E32</f>
        <v>21920.000000000528</v>
      </c>
      <c r="C34" s="4">
        <f>('Kwh Reading'!T35-'Kwh Reading'!T34)*1000</f>
        <v>509.99999999999091</v>
      </c>
      <c r="D34" s="2">
        <f>('Kwh Reading'!F35-'Kwh Reading'!F34)*1000000</f>
        <v>2400.0000000001796</v>
      </c>
      <c r="E34" s="2">
        <f>('Kwh Reading'!C35-'Kwh Reading'!C34)*1000</f>
        <v>229.99999999998977</v>
      </c>
      <c r="F34" s="2">
        <f>('Kwh Reading'!J35-'Kwh Reading'!J34)*1000</f>
        <v>279.99999999997272</v>
      </c>
      <c r="G34" s="2">
        <f>('Kwh Reading'!K35-'Kwh Reading'!K34)*1000</f>
        <v>280.00000000002956</v>
      </c>
      <c r="H34" s="2">
        <f>('Kwh Reading'!L35-'Kwh Reading'!L34)*1000</f>
        <v>189.99999999999773</v>
      </c>
      <c r="I34" s="2">
        <f>('Kwh Reading'!R35-'Kwh Reading'!R34)*1000</f>
        <v>209.99999999997954</v>
      </c>
      <c r="J34" s="2">
        <f>('Kwh Reading'!S35-'Kwh Reading'!S34)*1000</f>
        <v>120.00000000000455</v>
      </c>
      <c r="K34" s="2">
        <f>('Kwh Reading'!I35-'Kwh Reading'!I34)*1000</f>
        <v>319.99999999999318</v>
      </c>
      <c r="L34" s="2">
        <f>('Kwh Reading'!B35-'Kwh Reading'!B34)*1000</f>
        <v>1399.9999999999773</v>
      </c>
      <c r="M34" s="2">
        <f>('Kwh Reading'!M35-'Kwh Reading'!M34)*1000</f>
        <v>750</v>
      </c>
      <c r="N34" s="2">
        <f>('Kwh Reading'!H35-'Kwh Reading'!H34)*1000</f>
        <v>370.00000000000455</v>
      </c>
      <c r="O34" s="2">
        <f>('Kwh Reading'!P35-'Kwh Reading'!P34)*1000</f>
        <v>940.00000000005457</v>
      </c>
      <c r="P34" s="2">
        <f>('Kwh Reading'!G35-'Kwh Reading'!G34)*1000</f>
        <v>899.99999999997726</v>
      </c>
      <c r="Q34" s="2">
        <f>('Kwh Reading'!Q35-'Kwh Reading'!Q34)*1000</f>
        <v>689.99999999999773</v>
      </c>
      <c r="R34" s="2">
        <f>('Kwh Reading'!N35-'Kwh Reading'!N34)*1000</f>
        <v>470.00000000002728</v>
      </c>
      <c r="S34" s="2">
        <f>'Kwh Reading'!E35-'Kwh Reading'!E34</f>
        <v>2891.2999999998137</v>
      </c>
      <c r="T34" s="2">
        <f>'Kwh Reading'!D35-'Kwh Reading'!D34</f>
        <v>2232.0599999995902</v>
      </c>
      <c r="U34" s="26">
        <f>('Kwh Reading'!O35-'Kwh Reading'!O34)*1000</f>
        <v>180.00000000000682</v>
      </c>
      <c r="V34" s="1">
        <f t="shared" si="1"/>
        <v>6556.640000000938</v>
      </c>
    </row>
    <row r="35" spans="1:22" x14ac:dyDescent="0.3">
      <c r="A35" s="74" t="s">
        <v>53</v>
      </c>
      <c r="B35" s="73">
        <f>SUM(B4:B34)</f>
        <v>707310.00000000012</v>
      </c>
      <c r="C35" s="69">
        <f t="shared" ref="C35" si="2">SUM(C4:C34)</f>
        <v>14240.000000000009</v>
      </c>
      <c r="D35" s="69">
        <f t="shared" ref="D35" si="3">SUM(D4:D34)</f>
        <v>75200.000000000175</v>
      </c>
      <c r="E35" s="69">
        <f t="shared" ref="E35" si="4">SUM(E4:E34)</f>
        <v>7429.9999999999782</v>
      </c>
      <c r="F35" s="69">
        <f t="shared" ref="F35" si="5">SUM(F4:F34)</f>
        <v>7740.0000000000091</v>
      </c>
      <c r="G35" s="69">
        <f t="shared" ref="G35:U35" si="6">SUM(G4:G34)</f>
        <v>8759.9999999999891</v>
      </c>
      <c r="H35" s="69">
        <f t="shared" si="6"/>
        <v>6219.9999999999982</v>
      </c>
      <c r="I35" s="69">
        <f t="shared" si="6"/>
        <v>9000</v>
      </c>
      <c r="J35" s="69">
        <f t="shared" si="6"/>
        <v>3850.0000000000082</v>
      </c>
      <c r="K35" s="69">
        <f t="shared" si="6"/>
        <v>10140.000000000015</v>
      </c>
      <c r="L35" s="69">
        <f t="shared" si="6"/>
        <v>41920.000000000065</v>
      </c>
      <c r="M35" s="69">
        <f t="shared" si="6"/>
        <v>23899.999999999978</v>
      </c>
      <c r="N35" s="69">
        <f t="shared" si="6"/>
        <v>13720.000000000025</v>
      </c>
      <c r="O35" s="69">
        <f t="shared" si="6"/>
        <v>32529.999999999978</v>
      </c>
      <c r="P35" s="69">
        <f t="shared" si="6"/>
        <v>25700.000000000044</v>
      </c>
      <c r="Q35" s="69">
        <f t="shared" si="6"/>
        <v>22110.000000000011</v>
      </c>
      <c r="R35" s="69">
        <f t="shared" si="6"/>
        <v>22370</v>
      </c>
      <c r="S35" s="69">
        <f t="shared" si="6"/>
        <v>100057.15000000037</v>
      </c>
      <c r="T35" s="69">
        <f t="shared" si="6"/>
        <v>74370.509999999776</v>
      </c>
      <c r="U35" s="69">
        <f t="shared" si="6"/>
        <v>7110.0000000000164</v>
      </c>
      <c r="V35" s="69">
        <f>SUM(V4:V34)</f>
        <v>200942.3400000002</v>
      </c>
    </row>
    <row r="40" spans="1:22" x14ac:dyDescent="0.3">
      <c r="S40" s="75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4.4" x14ac:dyDescent="0.3"/>
  <cols>
    <col min="1" max="1" width="11.33203125" style="10" customWidth="1"/>
    <col min="2" max="2" width="12.5546875" style="10" customWidth="1"/>
    <col min="3" max="3" width="14.33203125" style="15" customWidth="1"/>
    <col min="4" max="4" width="16.44140625" style="15" customWidth="1"/>
    <col min="5" max="6" width="14.33203125" style="15" customWidth="1"/>
    <col min="7" max="7" width="13.5546875" style="15" bestFit="1" customWidth="1"/>
    <col min="8" max="8" width="18.88671875" style="15" customWidth="1"/>
    <col min="9" max="9" width="26" style="15" customWidth="1"/>
    <col min="10" max="10" width="23.33203125" style="15" customWidth="1"/>
    <col min="11" max="11" width="13.5546875" style="15" bestFit="1" customWidth="1"/>
    <col min="12" max="12" width="15.6640625" customWidth="1"/>
    <col min="13" max="13" width="16" customWidth="1"/>
  </cols>
  <sheetData>
    <row r="1" spans="1:12" ht="15.6" x14ac:dyDescent="0.3">
      <c r="A1" s="9"/>
      <c r="B1" s="9"/>
      <c r="C1" s="5"/>
      <c r="D1" s="5"/>
      <c r="E1" s="5"/>
      <c r="F1" s="5"/>
    </row>
    <row r="2" spans="1:12" ht="42.75" customHeight="1" x14ac:dyDescent="0.3">
      <c r="A2" s="18" t="s">
        <v>2</v>
      </c>
      <c r="B2" s="23" t="s">
        <v>33</v>
      </c>
      <c r="C2" s="33" t="s">
        <v>54</v>
      </c>
      <c r="D2" s="33" t="s">
        <v>55</v>
      </c>
      <c r="E2" s="33" t="s">
        <v>56</v>
      </c>
      <c r="F2" s="33" t="s">
        <v>57</v>
      </c>
      <c r="G2" s="19" t="s">
        <v>58</v>
      </c>
      <c r="H2" s="36" t="s">
        <v>59</v>
      </c>
      <c r="I2" s="22" t="s">
        <v>41</v>
      </c>
      <c r="J2" s="22" t="s">
        <v>60</v>
      </c>
      <c r="K2" s="22" t="s">
        <v>61</v>
      </c>
      <c r="L2" s="36" t="s">
        <v>62</v>
      </c>
    </row>
    <row r="3" spans="1:12" x14ac:dyDescent="0.3">
      <c r="A3" s="14">
        <f>'Kwh Reading'!A4</f>
        <v>44378</v>
      </c>
      <c r="B3" s="77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0">
        <f t="shared" ref="L3:L33" si="0">B3-C3-D3-E3-F3-G3-H3-I3-J3-K3</f>
        <v>5467.1699999989087</v>
      </c>
    </row>
    <row r="4" spans="1:12" x14ac:dyDescent="0.3">
      <c r="A4" s="14">
        <f>'Kwh Reading'!A5</f>
        <v>44379</v>
      </c>
      <c r="B4" s="77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0">
        <f t="shared" si="0"/>
        <v>6921.9400000005089</v>
      </c>
    </row>
    <row r="5" spans="1:12" x14ac:dyDescent="0.3">
      <c r="A5" s="14">
        <f>'Kwh Reading'!A6</f>
        <v>44380</v>
      </c>
      <c r="B5" s="77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0">
        <f t="shared" si="0"/>
        <v>6869.4400000018022</v>
      </c>
    </row>
    <row r="6" spans="1:12" x14ac:dyDescent="0.3">
      <c r="A6" s="14">
        <f>'Kwh Reading'!A7</f>
        <v>44381</v>
      </c>
      <c r="B6" s="77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0">
        <f t="shared" si="0"/>
        <v>7078.9399999988655</v>
      </c>
    </row>
    <row r="7" spans="1:12" x14ac:dyDescent="0.3">
      <c r="A7" s="14">
        <f>'Kwh Reading'!A8</f>
        <v>44382</v>
      </c>
      <c r="B7" s="77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0">
        <f t="shared" si="0"/>
        <v>6020.1299999993089</v>
      </c>
    </row>
    <row r="8" spans="1:12" x14ac:dyDescent="0.3">
      <c r="A8" s="14">
        <f>'Kwh Reading'!A9</f>
        <v>44383</v>
      </c>
      <c r="B8" s="77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0">
        <f t="shared" si="0"/>
        <v>6599.7800000010538</v>
      </c>
    </row>
    <row r="9" spans="1:12" x14ac:dyDescent="0.3">
      <c r="A9" s="14">
        <f>'Kwh Reading'!A10</f>
        <v>44384</v>
      </c>
      <c r="B9" s="77">
        <f>TOTAL!E8</f>
        <v>23189.99999999869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219.99999999999886</v>
      </c>
      <c r="F9" s="1">
        <f>('Kwh Consumption'!F10+'Kwh Consumption'!G10+'Kwh Consumption'!H10)</f>
        <v>650.00000000003411</v>
      </c>
      <c r="G9" s="1">
        <f>('Kwh Consumption'!I10+'Kwh Consumption'!J10)</f>
        <v>449.99999999997442</v>
      </c>
      <c r="H9" s="1">
        <f>('Kwh Consumption'!K10+'Kwh Consumption'!L10)</f>
        <v>1720.0000000000273</v>
      </c>
      <c r="I9" s="1">
        <f>('Kwh Consumption'!M10+'Kwh Consumption'!N10+'Kwh Consumption'!O10+'Kwh Consumption'!P10+'Kwh Consumption'!Q10+'Kwh Consumption'!R10)</f>
        <v>4599.9999999997954</v>
      </c>
      <c r="J9" s="1">
        <f>('Kwh Consumption'!S10+'Kwh Consumption'!T10)</f>
        <v>5955.2900000000373</v>
      </c>
      <c r="K9" s="1">
        <f>'Kwh Consumption'!U10</f>
        <v>200.00000000001705</v>
      </c>
      <c r="L9" s="30">
        <f t="shared" si="0"/>
        <v>6624.7099999988104</v>
      </c>
    </row>
    <row r="10" spans="1:12" x14ac:dyDescent="0.3">
      <c r="A10" s="14">
        <f>'Kwh Reading'!A11</f>
        <v>44385</v>
      </c>
      <c r="B10" s="77">
        <f>TOTAL!E9</f>
        <v>22890.000000000327</v>
      </c>
      <c r="C10" s="1">
        <f>'Kwh Consumption'!C11</f>
        <v>469.99999999997044</v>
      </c>
      <c r="D10" s="1">
        <f>'Kwh Consumption'!D11</f>
        <v>2299.9999999999686</v>
      </c>
      <c r="E10" s="1">
        <f>'Kwh Consumption'!E11</f>
        <v>130.00000000002387</v>
      </c>
      <c r="F10" s="1">
        <f>('Kwh Consumption'!F11+'Kwh Consumption'!G11+'Kwh Consumption'!H11)</f>
        <v>609.9999999999568</v>
      </c>
      <c r="G10" s="1">
        <f>('Kwh Consumption'!I11+'Kwh Consumption'!J11)</f>
        <v>420.00000000001592</v>
      </c>
      <c r="H10" s="1">
        <f>('Kwh Consumption'!K11+'Kwh Consumption'!L11)</f>
        <v>1649.9999999999488</v>
      </c>
      <c r="I10" s="1">
        <f>('Kwh Consumption'!M11+'Kwh Consumption'!N11+'Kwh Consumption'!O11+'Kwh Consumption'!P11+'Kwh Consumption'!Q11+'Kwh Consumption'!R11)</f>
        <v>4570.0000000001637</v>
      </c>
      <c r="J10" s="1">
        <f>('Kwh Consumption'!S11+'Kwh Consumption'!T11)</f>
        <v>5896.6299999998882</v>
      </c>
      <c r="K10" s="1">
        <f>'Kwh Consumption'!U11</f>
        <v>209.99999999997954</v>
      </c>
      <c r="L10" s="30">
        <f t="shared" si="0"/>
        <v>6633.3700000004119</v>
      </c>
    </row>
    <row r="11" spans="1:12" x14ac:dyDescent="0.3">
      <c r="A11" s="14">
        <f>'Kwh Reading'!A12</f>
        <v>44386</v>
      </c>
      <c r="B11" s="77">
        <f>TOTAL!E10</f>
        <v>19059.99999999904</v>
      </c>
      <c r="C11" s="1">
        <f>'Kwh Consumption'!C12</f>
        <v>269.99999999998181</v>
      </c>
      <c r="D11" s="1">
        <f>'Kwh Consumption'!D12</f>
        <v>2299.9999999999686</v>
      </c>
      <c r="E11" s="1">
        <f>'Kwh Consumption'!E12</f>
        <v>349.99999999999432</v>
      </c>
      <c r="F11" s="1">
        <f>('Kwh Consumption'!F12+'Kwh Consumption'!G12+'Kwh Consumption'!H12)</f>
        <v>680.00000000003524</v>
      </c>
      <c r="G11" s="1">
        <f>('Kwh Consumption'!I12+'Kwh Consumption'!J12)</f>
        <v>399.99999999999147</v>
      </c>
      <c r="H11" s="1">
        <f>('Kwh Consumption'!K12+'Kwh Consumption'!L12)</f>
        <v>1430.0000000001205</v>
      </c>
      <c r="I11" s="1">
        <f>('Kwh Consumption'!M12+'Kwh Consumption'!N12+'Kwh Consumption'!O12+'Kwh Consumption'!P12+'Kwh Consumption'!Q12+'Kwh Consumption'!R12)</f>
        <v>3500</v>
      </c>
      <c r="J11" s="1">
        <f>('Kwh Consumption'!S12+'Kwh Consumption'!T12)</f>
        <v>4572.140000000596</v>
      </c>
      <c r="K11" s="1">
        <f>'Kwh Consumption'!U12</f>
        <v>219.99999999999886</v>
      </c>
      <c r="L11" s="30">
        <f t="shared" si="0"/>
        <v>5337.8599999983553</v>
      </c>
    </row>
    <row r="12" spans="1:12" x14ac:dyDescent="0.3">
      <c r="A12" s="14">
        <f>'Kwh Reading'!A13</f>
        <v>44387</v>
      </c>
      <c r="B12" s="77">
        <f>TOTAL!E11</f>
        <v>21280.000000001113</v>
      </c>
      <c r="C12" s="1">
        <f>'Kwh Consumption'!C13</f>
        <v>440.00000000005457</v>
      </c>
      <c r="D12" s="1">
        <f>'Kwh Consumption'!D13</f>
        <v>2299.9999999999686</v>
      </c>
      <c r="E12" s="1">
        <f>'Kwh Consumption'!E13</f>
        <v>219.99999999999886</v>
      </c>
      <c r="F12" s="1">
        <f>('Kwh Consumption'!F13+'Kwh Consumption'!G13+'Kwh Consumption'!H13)</f>
        <v>609.99999999998522</v>
      </c>
      <c r="G12" s="1">
        <f>('Kwh Consumption'!I13+'Kwh Consumption'!J13)</f>
        <v>430.00000000000682</v>
      </c>
      <c r="H12" s="1">
        <f>('Kwh Consumption'!K13+'Kwh Consumption'!L13)</f>
        <v>1549.9999999999829</v>
      </c>
      <c r="I12" s="1">
        <f>('Kwh Consumption'!M13+'Kwh Consumption'!N13+'Kwh Consumption'!O13+'Kwh Consumption'!P13+'Kwh Consumption'!Q13+'Kwh Consumption'!R13)</f>
        <v>4200.0000000000455</v>
      </c>
      <c r="J12" s="1">
        <f>('Kwh Consumption'!S13+'Kwh Consumption'!T13)</f>
        <v>5159.4399999994785</v>
      </c>
      <c r="K12" s="1">
        <f>'Kwh Consumption'!U13</f>
        <v>240.00000000000909</v>
      </c>
      <c r="L12" s="30">
        <f t="shared" si="0"/>
        <v>6130.560000001582</v>
      </c>
    </row>
    <row r="13" spans="1:12" x14ac:dyDescent="0.3">
      <c r="A13" s="14">
        <f>'Kwh Reading'!A14</f>
        <v>44388</v>
      </c>
      <c r="B13" s="77">
        <f>TOTAL!E12</f>
        <v>23830.000000000378</v>
      </c>
      <c r="C13" s="1">
        <f>'Kwh Consumption'!C14</f>
        <v>459.99999999997954</v>
      </c>
      <c r="D13" s="1">
        <f>'Kwh Consumption'!D14</f>
        <v>2499.9999999999468</v>
      </c>
      <c r="E13" s="1">
        <f>'Kwh Consumption'!E14</f>
        <v>219.99999999999886</v>
      </c>
      <c r="F13" s="1">
        <f>('Kwh Consumption'!F14+'Kwh Consumption'!G14+'Kwh Consumption'!H14)</f>
        <v>639.99999999998636</v>
      </c>
      <c r="G13" s="1">
        <f>('Kwh Consumption'!I14+'Kwh Consumption'!J14)</f>
        <v>419.99999999997328</v>
      </c>
      <c r="H13" s="1">
        <f>('Kwh Consumption'!K14+'Kwh Consumption'!L14)</f>
        <v>1699.9999999999886</v>
      </c>
      <c r="I13" s="1">
        <f>('Kwh Consumption'!M14+'Kwh Consumption'!N14+'Kwh Consumption'!O14+'Kwh Consumption'!P14+'Kwh Consumption'!Q14+'Kwh Consumption'!R14)</f>
        <v>4780.0000000000291</v>
      </c>
      <c r="J13" s="1">
        <f>('Kwh Consumption'!S14+'Kwh Consumption'!T14)</f>
        <v>5775.1100000003353</v>
      </c>
      <c r="K13" s="1">
        <f>'Kwh Consumption'!U14</f>
        <v>229.99999999998977</v>
      </c>
      <c r="L13" s="30">
        <f t="shared" si="0"/>
        <v>7104.8900000001513</v>
      </c>
    </row>
    <row r="14" spans="1:12" x14ac:dyDescent="0.3">
      <c r="A14" s="14">
        <f>'Kwh Reading'!A15</f>
        <v>44389</v>
      </c>
      <c r="B14" s="77">
        <f>TOTAL!E13</f>
        <v>22739.999999998417</v>
      </c>
      <c r="C14" s="1">
        <f>'Kwh Consumption'!C15</f>
        <v>490.00000000000909</v>
      </c>
      <c r="D14" s="1">
        <f>'Kwh Consumption'!D15</f>
        <v>2200.0000000002019</v>
      </c>
      <c r="E14" s="1">
        <f>'Kwh Consumption'!E15</f>
        <v>250</v>
      </c>
      <c r="F14" s="1">
        <f>('Kwh Consumption'!F15+'Kwh Consumption'!G15+'Kwh Consumption'!H15)</f>
        <v>580.00000000001251</v>
      </c>
      <c r="G14" s="1">
        <f>('Kwh Consumption'!I15+'Kwh Consumption'!J15)</f>
        <v>430.00000000000682</v>
      </c>
      <c r="H14" s="1">
        <f>('Kwh Consumption'!K15+'Kwh Consumption'!L15)</f>
        <v>1459.9999999999795</v>
      </c>
      <c r="I14" s="1">
        <f>('Kwh Consumption'!M15+'Kwh Consumption'!N15+'Kwh Consumption'!O15+'Kwh Consumption'!P15+'Kwh Consumption'!Q15+'Kwh Consumption'!R15)</f>
        <v>4799.9999999999545</v>
      </c>
      <c r="J14" s="1">
        <f>('Kwh Consumption'!S15+'Kwh Consumption'!T15)</f>
        <v>5592.0999999996275</v>
      </c>
      <c r="K14" s="1">
        <f>'Kwh Consumption'!U15</f>
        <v>270.00000000001023</v>
      </c>
      <c r="L14" s="30">
        <f t="shared" si="0"/>
        <v>6667.8999999986145</v>
      </c>
    </row>
    <row r="15" spans="1:12" x14ac:dyDescent="0.3">
      <c r="A15" s="14">
        <f>'Kwh Reading'!A16</f>
        <v>44390</v>
      </c>
      <c r="B15" s="77">
        <f>TOTAL!E14</f>
        <v>22780.000000002023</v>
      </c>
      <c r="C15" s="1">
        <f>'Kwh Consumption'!C16</f>
        <v>469.99999999997044</v>
      </c>
      <c r="D15" s="1">
        <f>'Kwh Consumption'!D16</f>
        <v>2299.9999999999686</v>
      </c>
      <c r="E15" s="1">
        <f>'Kwh Consumption'!E16</f>
        <v>250</v>
      </c>
      <c r="F15" s="1">
        <f>('Kwh Consumption'!F16+'Kwh Consumption'!G16+'Kwh Consumption'!H16)</f>
        <v>570.0000000000216</v>
      </c>
      <c r="G15" s="1">
        <f>('Kwh Consumption'!I16+'Kwh Consumption'!J16)</f>
        <v>430.00000000000682</v>
      </c>
      <c r="H15" s="1">
        <f>('Kwh Consumption'!K16+'Kwh Consumption'!L16)</f>
        <v>1860.0000000000136</v>
      </c>
      <c r="I15" s="1">
        <f>('Kwh Consumption'!M16+'Kwh Consumption'!N16+'Kwh Consumption'!O16+'Kwh Consumption'!P16+'Kwh Consumption'!Q16+'Kwh Consumption'!R16)</f>
        <v>4839.9999999999181</v>
      </c>
      <c r="J15" s="1">
        <f>('Kwh Consumption'!S16+'Kwh Consumption'!T16)</f>
        <v>5965.5699999993667</v>
      </c>
      <c r="K15" s="1">
        <f>'Kwh Consumption'!U16</f>
        <v>229.99999999998977</v>
      </c>
      <c r="L15" s="30">
        <f t="shared" si="0"/>
        <v>5864.4300000027661</v>
      </c>
    </row>
    <row r="16" spans="1:12" x14ac:dyDescent="0.3">
      <c r="A16" s="14">
        <f>'Kwh Reading'!A17</f>
        <v>44391</v>
      </c>
      <c r="B16" s="77">
        <f>TOTAL!E15</f>
        <v>22879.9999999992</v>
      </c>
      <c r="C16" s="1">
        <f>'Kwh Consumption'!C17</f>
        <v>470.00000000002728</v>
      </c>
      <c r="D16" s="1">
        <f>'Kwh Consumption'!D17</f>
        <v>2499.9999999999468</v>
      </c>
      <c r="E16" s="1">
        <f>'Kwh Consumption'!E17</f>
        <v>199.99999999998863</v>
      </c>
      <c r="F16" s="1">
        <f>('Kwh Consumption'!F17+'Kwh Consumption'!G17+'Kwh Consumption'!H17)</f>
        <v>509.99999999996248</v>
      </c>
      <c r="G16" s="1">
        <f>('Kwh Consumption'!I17+'Kwh Consumption'!J17)</f>
        <v>400.0000000000199</v>
      </c>
      <c r="H16" s="1">
        <f>('Kwh Consumption'!K17+'Kwh Consumption'!L17)</f>
        <v>1949.9999999999886</v>
      </c>
      <c r="I16" s="1">
        <f>('Kwh Consumption'!M17+'Kwh Consumption'!N17+'Kwh Consumption'!O17+'Kwh Consumption'!P17+'Kwh Consumption'!Q17+'Kwh Consumption'!R17)</f>
        <v>4399.9999999999773</v>
      </c>
      <c r="J16" s="1">
        <f>('Kwh Consumption'!S17+'Kwh Consumption'!T17)</f>
        <v>5565.8300000010058</v>
      </c>
      <c r="K16" s="1">
        <f>'Kwh Consumption'!U17</f>
        <v>210.00000000000796</v>
      </c>
      <c r="L16" s="30">
        <f t="shared" si="0"/>
        <v>6674.1699999982729</v>
      </c>
    </row>
    <row r="17" spans="1:12" x14ac:dyDescent="0.3">
      <c r="A17" s="14">
        <f>'Kwh Reading'!A18</f>
        <v>44392</v>
      </c>
      <c r="B17" s="77">
        <f>TOTAL!E16</f>
        <v>23499.999999999091</v>
      </c>
      <c r="C17" s="1">
        <f>'Kwh Consumption'!C18</f>
        <v>479.99999999996135</v>
      </c>
      <c r="D17" s="1">
        <f>'Kwh Consumption'!D18</f>
        <v>2600.0000000001578</v>
      </c>
      <c r="E17" s="1">
        <f>'Kwh Consumption'!E18</f>
        <v>270.00000000001023</v>
      </c>
      <c r="F17" s="1">
        <f>('Kwh Consumption'!F18+'Kwh Consumption'!G18+'Kwh Consumption'!H18)</f>
        <v>740.00000000000909</v>
      </c>
      <c r="G17" s="1">
        <f>('Kwh Consumption'!I18+'Kwh Consumption'!J18)</f>
        <v>379.99999999999545</v>
      </c>
      <c r="H17" s="1">
        <f>('Kwh Consumption'!K18+'Kwh Consumption'!L18)</f>
        <v>639.99999999998636</v>
      </c>
      <c r="I17" s="1">
        <f>('Kwh Consumption'!M18+'Kwh Consumption'!N18+'Kwh Consumption'!O18+'Kwh Consumption'!P18+'Kwh Consumption'!Q18+'Kwh Consumption'!R18)</f>
        <v>4930.0000000001201</v>
      </c>
      <c r="J17" s="1">
        <f>('Kwh Consumption'!S18+'Kwh Consumption'!T18)</f>
        <v>5596.9699999988079</v>
      </c>
      <c r="K17" s="1">
        <f>'Kwh Consumption'!U18</f>
        <v>219.99999999999886</v>
      </c>
      <c r="L17" s="30">
        <f t="shared" si="0"/>
        <v>7643.0300000000434</v>
      </c>
    </row>
    <row r="18" spans="1:12" x14ac:dyDescent="0.3">
      <c r="A18" s="14">
        <f>'Kwh Reading'!A19</f>
        <v>44393</v>
      </c>
      <c r="B18" s="77">
        <f>TOTAL!E17</f>
        <v>23690.000000000284</v>
      </c>
      <c r="C18" s="1">
        <f>'Kwh Consumption'!C19</f>
        <v>500</v>
      </c>
      <c r="D18" s="1">
        <f>'Kwh Consumption'!D19</f>
        <v>2499.9999999999468</v>
      </c>
      <c r="E18" s="1">
        <f>'Kwh Consumption'!E19</f>
        <v>259.99999999999091</v>
      </c>
      <c r="F18" s="1">
        <f>('Kwh Consumption'!F19+'Kwh Consumption'!G19+'Kwh Consumption'!H19)</f>
        <v>769.99999999998181</v>
      </c>
      <c r="G18" s="1">
        <f>('Kwh Consumption'!I19+'Kwh Consumption'!J19)</f>
        <v>489.99999999998067</v>
      </c>
      <c r="H18" s="1">
        <f>('Kwh Consumption'!K19+'Kwh Consumption'!L19)</f>
        <v>2940.0000000000546</v>
      </c>
      <c r="I18" s="1">
        <f>('Kwh Consumption'!M19+'Kwh Consumption'!N19+'Kwh Consumption'!O19+'Kwh Consumption'!P19+'Kwh Consumption'!Q19+'Kwh Consumption'!R19)</f>
        <v>4690.0000000000546</v>
      </c>
      <c r="J18" s="1">
        <f>('Kwh Consumption'!S19+'Kwh Consumption'!T19)</f>
        <v>5935.1800000015646</v>
      </c>
      <c r="K18" s="1">
        <f>'Kwh Consumption'!U19</f>
        <v>210.00000000000796</v>
      </c>
      <c r="L18" s="30">
        <f t="shared" si="0"/>
        <v>5394.8199999987037</v>
      </c>
    </row>
    <row r="19" spans="1:12" x14ac:dyDescent="0.3">
      <c r="A19" s="14">
        <f>'Kwh Reading'!A20</f>
        <v>44394</v>
      </c>
      <c r="B19" s="77">
        <f>TOTAL!E18</f>
        <v>24750.000000001364</v>
      </c>
      <c r="C19" s="1">
        <f>'Kwh Consumption'!C20</f>
        <v>480.00000000001819</v>
      </c>
      <c r="D19" s="1">
        <f>'Kwh Consumption'!D20</f>
        <v>2800.0000000001355</v>
      </c>
      <c r="E19" s="1">
        <f>'Kwh Consumption'!E20</f>
        <v>260.00000000001933</v>
      </c>
      <c r="F19" s="1">
        <f>('Kwh Consumption'!F20+'Kwh Consumption'!G20+'Kwh Consumption'!H20)</f>
        <v>1040.0000000000489</v>
      </c>
      <c r="G19" s="1">
        <f>('Kwh Consumption'!I20+'Kwh Consumption'!J20)</f>
        <v>390.00000000000057</v>
      </c>
      <c r="H19" s="1">
        <f>('Kwh Consumption'!K20+'Kwh Consumption'!L20)</f>
        <v>1500</v>
      </c>
      <c r="I19" s="1">
        <f>('Kwh Consumption'!M20+'Kwh Consumption'!N20+'Kwh Consumption'!O20+'Kwh Consumption'!P20+'Kwh Consumption'!Q20+'Kwh Consumption'!R20)</f>
        <v>4899.99999999992</v>
      </c>
      <c r="J19" s="1">
        <f>('Kwh Consumption'!S20+'Kwh Consumption'!T20)</f>
        <v>6305.3199999993667</v>
      </c>
      <c r="K19" s="1">
        <f>'Kwh Consumption'!U20</f>
        <v>259.99999999999091</v>
      </c>
      <c r="L19" s="30">
        <f t="shared" si="0"/>
        <v>6814.6800000018684</v>
      </c>
    </row>
    <row r="20" spans="1:12" x14ac:dyDescent="0.3">
      <c r="A20" s="14">
        <f>'Kwh Reading'!A21</f>
        <v>44395</v>
      </c>
      <c r="B20" s="77">
        <f>TOTAL!E19</f>
        <v>23820.00000000016</v>
      </c>
      <c r="C20" s="1">
        <f>'Kwh Consumption'!C21</f>
        <v>620.00000000000455</v>
      </c>
      <c r="D20" s="1">
        <f>'Kwh Consumption'!D21</f>
        <v>2399.9999999997358</v>
      </c>
      <c r="E20" s="1">
        <f>'Kwh Consumption'!E21</f>
        <v>250</v>
      </c>
      <c r="F20" s="1">
        <f>('Kwh Consumption'!F21+'Kwh Consumption'!G21+'Kwh Consumption'!H21)</f>
        <v>770.00000000003865</v>
      </c>
      <c r="G20" s="1">
        <f>('Kwh Consumption'!I21+'Kwh Consumption'!J21)</f>
        <v>510.00000000001933</v>
      </c>
      <c r="H20" s="1">
        <f>('Kwh Consumption'!K21+'Kwh Consumption'!L21)</f>
        <v>1979.9999999999613</v>
      </c>
      <c r="I20" s="1">
        <f>('Kwh Consumption'!M21+'Kwh Consumption'!N21+'Kwh Consumption'!O21+'Kwh Consumption'!P21+'Kwh Consumption'!Q21+'Kwh Consumption'!R21)</f>
        <v>4850.00000000008</v>
      </c>
      <c r="J20" s="1">
        <f>('Kwh Consumption'!S21+'Kwh Consumption'!T21)</f>
        <v>6128.3499999996275</v>
      </c>
      <c r="K20" s="1">
        <f>'Kwh Consumption'!U21</f>
        <v>240.00000000000909</v>
      </c>
      <c r="L20" s="30">
        <f t="shared" si="0"/>
        <v>6071.6500000006872</v>
      </c>
    </row>
    <row r="21" spans="1:12" x14ac:dyDescent="0.3">
      <c r="A21" s="14">
        <f>'Kwh Reading'!A22</f>
        <v>44396</v>
      </c>
      <c r="B21" s="77">
        <f>TOTAL!E20</f>
        <v>23509.999999998628</v>
      </c>
      <c r="C21" s="1">
        <f>'Kwh Consumption'!C22</f>
        <v>509.99999999999091</v>
      </c>
      <c r="D21" s="1">
        <f>'Kwh Consumption'!D22</f>
        <v>2299.9999999999686</v>
      </c>
      <c r="E21" s="1">
        <f>'Kwh Consumption'!E22</f>
        <v>209.99999999997954</v>
      </c>
      <c r="F21" s="1">
        <f>('Kwh Consumption'!F22+'Kwh Consumption'!G22+'Kwh Consumption'!H22)</f>
        <v>639.99999999995794</v>
      </c>
      <c r="G21" s="1">
        <f>('Kwh Consumption'!I22+'Kwh Consumption'!J22)</f>
        <v>369.99999999997613</v>
      </c>
      <c r="H21" s="1">
        <f>('Kwh Consumption'!K22+'Kwh Consumption'!L22)</f>
        <v>1709.9999999999795</v>
      </c>
      <c r="I21" s="1">
        <f>('Kwh Consumption'!M22+'Kwh Consumption'!N22+'Kwh Consumption'!O22+'Kwh Consumption'!P22+'Kwh Consumption'!Q22+'Kwh Consumption'!R22)</f>
        <v>4849.9999999998527</v>
      </c>
      <c r="J21" s="1">
        <f>('Kwh Consumption'!S22+'Kwh Consumption'!T22)</f>
        <v>5882.1500000003725</v>
      </c>
      <c r="K21" s="1">
        <f>'Kwh Consumption'!U22</f>
        <v>229.99999999998977</v>
      </c>
      <c r="L21" s="30">
        <f t="shared" si="0"/>
        <v>6807.8499999985697</v>
      </c>
    </row>
    <row r="22" spans="1:12" x14ac:dyDescent="0.3">
      <c r="A22" s="14">
        <f>'Kwh Reading'!A23</f>
        <v>44397</v>
      </c>
      <c r="B22" s="77">
        <f>TOTAL!E21</f>
        <v>25200.000000000728</v>
      </c>
      <c r="C22" s="1">
        <f>'Kwh Consumption'!C23</f>
        <v>439.99999999999773</v>
      </c>
      <c r="D22" s="1">
        <f>'Kwh Consumption'!D23</f>
        <v>2699.9999999999245</v>
      </c>
      <c r="E22" s="1">
        <f>'Kwh Consumption'!E23</f>
        <v>280.00000000000114</v>
      </c>
      <c r="F22" s="1">
        <f>('Kwh Consumption'!F23+'Kwh Consumption'!G23+'Kwh Consumption'!H23)</f>
        <v>1039.9999999999636</v>
      </c>
      <c r="G22" s="1">
        <f>('Kwh Consumption'!I23+'Kwh Consumption'!J23)</f>
        <v>440.00000000001194</v>
      </c>
      <c r="H22" s="1">
        <f>('Kwh Consumption'!K23+'Kwh Consumption'!L23)</f>
        <v>1829.9999999999841</v>
      </c>
      <c r="I22" s="1">
        <f>('Kwh Consumption'!M23+'Kwh Consumption'!N23+'Kwh Consumption'!O23+'Kwh Consumption'!P23+'Kwh Consumption'!Q23+'Kwh Consumption'!R23)</f>
        <v>5220.0000000000837</v>
      </c>
      <c r="J22" s="1">
        <f>('Kwh Consumption'!S23+'Kwh Consumption'!T23)</f>
        <v>6505.0599999995902</v>
      </c>
      <c r="K22" s="1">
        <f>'Kwh Consumption'!U23</f>
        <v>240.00000000000909</v>
      </c>
      <c r="L22" s="30">
        <f t="shared" si="0"/>
        <v>6504.9400000011647</v>
      </c>
    </row>
    <row r="23" spans="1:12" x14ac:dyDescent="0.3">
      <c r="A23" s="14">
        <f>'Kwh Reading'!A24</f>
        <v>44398</v>
      </c>
      <c r="B23" s="77">
        <f>TOTAL!E22</f>
        <v>22999.999999999091</v>
      </c>
      <c r="C23" s="1">
        <f>'Kwh Consumption'!C24</f>
        <v>509.99999999999091</v>
      </c>
      <c r="D23" s="1">
        <f>'Kwh Consumption'!D24</f>
        <v>2400.0000000001796</v>
      </c>
      <c r="E23" s="1">
        <f>'Kwh Consumption'!E24</f>
        <v>219.99999999999886</v>
      </c>
      <c r="F23" s="1">
        <f>('Kwh Consumption'!F24+'Kwh Consumption'!G24+'Kwh Consumption'!H24)</f>
        <v>680.00000000000682</v>
      </c>
      <c r="G23" s="1">
        <f>('Kwh Consumption'!I24+'Kwh Consumption'!J24)</f>
        <v>320.00000000000739</v>
      </c>
      <c r="H23" s="1">
        <f>('Kwh Consumption'!K24+'Kwh Consumption'!L24)</f>
        <v>1719.9999999999704</v>
      </c>
      <c r="I23" s="1">
        <f>('Kwh Consumption'!M24+'Kwh Consumption'!N24+'Kwh Consumption'!O24+'Kwh Consumption'!P24+'Kwh Consumption'!Q24+'Kwh Consumption'!R24)</f>
        <v>4629.9999999998818</v>
      </c>
      <c r="J23" s="1">
        <f>('Kwh Consumption'!S24+'Kwh Consumption'!T24)</f>
        <v>6100.6299999998882</v>
      </c>
      <c r="K23" s="1">
        <f>'Kwh Consumption'!U24</f>
        <v>240.00000000000909</v>
      </c>
      <c r="L23" s="30">
        <f t="shared" si="0"/>
        <v>6179.369999999155</v>
      </c>
    </row>
    <row r="24" spans="1:12" x14ac:dyDescent="0.3">
      <c r="A24" s="14">
        <f>'Kwh Reading'!A25</f>
        <v>44399</v>
      </c>
      <c r="B24" s="77">
        <f>TOTAL!E23</f>
        <v>24500.000000001361</v>
      </c>
      <c r="C24" s="1">
        <f>'Kwh Consumption'!C25</f>
        <v>520.00000000003865</v>
      </c>
      <c r="D24" s="1">
        <f>'Kwh Consumption'!D25</f>
        <v>2699.9999999999245</v>
      </c>
      <c r="E24" s="1">
        <f>'Kwh Consumption'!E25</f>
        <v>270.00000000001023</v>
      </c>
      <c r="F24" s="1">
        <f>('Kwh Consumption'!F25+'Kwh Consumption'!G25+'Kwh Consumption'!H25)</f>
        <v>980.00000000004661</v>
      </c>
      <c r="G24" s="1">
        <f>('Kwh Consumption'!I25+'Kwh Consumption'!J25)</f>
        <v>429.99999999999261</v>
      </c>
      <c r="H24" s="1">
        <f>('Kwh Consumption'!K25+'Kwh Consumption'!L25)</f>
        <v>1890.0000000000148</v>
      </c>
      <c r="I24" s="1">
        <f>('Kwh Consumption'!M25+'Kwh Consumption'!N25+'Kwh Consumption'!O25+'Kwh Consumption'!P25+'Kwh Consumption'!Q25+'Kwh Consumption'!R25)</f>
        <v>5200.0000000001592</v>
      </c>
      <c r="J24" s="1">
        <f>('Kwh Consumption'!S25+'Kwh Consumption'!T25)</f>
        <v>6511.5099999997765</v>
      </c>
      <c r="K24" s="1">
        <f>'Kwh Consumption'!U25</f>
        <v>319.99999999999318</v>
      </c>
      <c r="L24" s="30">
        <f t="shared" si="0"/>
        <v>5678.4900000014022</v>
      </c>
    </row>
    <row r="25" spans="1:12" x14ac:dyDescent="0.3">
      <c r="A25" s="14">
        <f>'Kwh Reading'!A26</f>
        <v>44400</v>
      </c>
      <c r="B25" s="77">
        <f>TOTAL!E24</f>
        <v>22229.999999998883</v>
      </c>
      <c r="C25" s="1">
        <f>'Kwh Consumption'!C26</f>
        <v>79.999999999984084</v>
      </c>
      <c r="D25" s="1">
        <f>'Kwh Consumption'!D26</f>
        <v>2499.9999999999468</v>
      </c>
      <c r="E25" s="1">
        <f>'Kwh Consumption'!E26</f>
        <v>270.00000000001023</v>
      </c>
      <c r="F25" s="1">
        <f>('Kwh Consumption'!F26+'Kwh Consumption'!G26+'Kwh Consumption'!H26)</f>
        <v>659.99999999996817</v>
      </c>
      <c r="G25" s="1">
        <f>('Kwh Consumption'!I26+'Kwh Consumption'!J26)</f>
        <v>470.00000000001307</v>
      </c>
      <c r="H25" s="1">
        <f>('Kwh Consumption'!K26+'Kwh Consumption'!L26)</f>
        <v>1610.0000000000705</v>
      </c>
      <c r="I25" s="1">
        <f>('Kwh Consumption'!M26+'Kwh Consumption'!N26+'Kwh Consumption'!O26+'Kwh Consumption'!P26+'Kwh Consumption'!Q26+'Kwh Consumption'!R26)</f>
        <v>4179.99999999995</v>
      </c>
      <c r="J25" s="1">
        <f>('Kwh Consumption'!S26+'Kwh Consumption'!T26)</f>
        <v>4907.910000000149</v>
      </c>
      <c r="K25" s="1">
        <f>'Kwh Consumption'!U26</f>
        <v>259.99999999999091</v>
      </c>
      <c r="L25" s="30">
        <f t="shared" si="0"/>
        <v>7292.0899999988014</v>
      </c>
    </row>
    <row r="26" spans="1:12" x14ac:dyDescent="0.3">
      <c r="A26" s="14">
        <f>'Kwh Reading'!A27</f>
        <v>44401</v>
      </c>
      <c r="B26" s="77">
        <f>TOTAL!E25</f>
        <v>22500.000000000684</v>
      </c>
      <c r="C26" s="1">
        <f>'Kwh Consumption'!C27</f>
        <v>759.99999999999091</v>
      </c>
      <c r="D26" s="1">
        <f>'Kwh Consumption'!D27</f>
        <v>2600.0000000001578</v>
      </c>
      <c r="E26" s="1">
        <f>'Kwh Consumption'!E27</f>
        <v>250</v>
      </c>
      <c r="F26" s="1">
        <f>('Kwh Consumption'!F27+'Kwh Consumption'!G27+'Kwh Consumption'!H27)</f>
        <v>849.99999999996589</v>
      </c>
      <c r="G26" s="1">
        <f>('Kwh Consumption'!I27+'Kwh Consumption'!J27)</f>
        <v>239.99999999999488</v>
      </c>
      <c r="H26" s="1">
        <f>('Kwh Consumption'!K27+'Kwh Consumption'!L27)</f>
        <v>1719.9999999999704</v>
      </c>
      <c r="I26" s="1">
        <f>('Kwh Consumption'!M27+'Kwh Consumption'!N27+'Kwh Consumption'!O27+'Kwh Consumption'!P27+'Kwh Consumption'!Q27+'Kwh Consumption'!R27)</f>
        <v>4390.0000000000437</v>
      </c>
      <c r="J26" s="1">
        <f>('Kwh Consumption'!S27+'Kwh Consumption'!T27)</f>
        <v>5693.2100000008941</v>
      </c>
      <c r="K26" s="1">
        <f>'Kwh Consumption'!U27</f>
        <v>259.99999999999091</v>
      </c>
      <c r="L26" s="30">
        <f t="shared" si="0"/>
        <v>5736.7899999996716</v>
      </c>
    </row>
    <row r="27" spans="1:12" x14ac:dyDescent="0.3">
      <c r="A27" s="14">
        <f>'Kwh Reading'!A28</f>
        <v>44402</v>
      </c>
      <c r="B27" s="77">
        <f>TOTAL!E26</f>
        <v>22320.000000000393</v>
      </c>
      <c r="C27" s="1">
        <f>'Kwh Consumption'!C28</f>
        <v>449.99999999998863</v>
      </c>
      <c r="D27" s="1">
        <f>'Kwh Consumption'!D28</f>
        <v>2499.9999999999468</v>
      </c>
      <c r="E27" s="1">
        <f>'Kwh Consumption'!E28</f>
        <v>259.99999999999091</v>
      </c>
      <c r="F27" s="1">
        <f>('Kwh Consumption'!F28+'Kwh Consumption'!G28+'Kwh Consumption'!H28)</f>
        <v>1060.0000000000307</v>
      </c>
      <c r="G27" s="1">
        <f>('Kwh Consumption'!I28+'Kwh Consumption'!J28)</f>
        <v>419.99999999998749</v>
      </c>
      <c r="H27" s="1">
        <f>('Kwh Consumption'!K28+'Kwh Consumption'!L28)</f>
        <v>1510.0000000000477</v>
      </c>
      <c r="I27" s="1">
        <f>('Kwh Consumption'!M28+'Kwh Consumption'!N28+'Kwh Consumption'!O28+'Kwh Consumption'!P28+'Kwh Consumption'!Q28+'Kwh Consumption'!R28)</f>
        <v>3399.9999999997499</v>
      </c>
      <c r="J27" s="1">
        <f>('Kwh Consumption'!S28+'Kwh Consumption'!T28)</f>
        <v>5914.3199999993667</v>
      </c>
      <c r="K27" s="1">
        <f>'Kwh Consumption'!U28</f>
        <v>260.00000000001933</v>
      </c>
      <c r="L27" s="30">
        <f t="shared" si="0"/>
        <v>6545.6800000012654</v>
      </c>
    </row>
    <row r="28" spans="1:12" x14ac:dyDescent="0.3">
      <c r="A28" s="14">
        <f>'Kwh Reading'!A29</f>
        <v>44403</v>
      </c>
      <c r="B28" s="77">
        <f>TOTAL!E27</f>
        <v>21090.000000000146</v>
      </c>
      <c r="C28" s="1">
        <f>'Kwh Consumption'!C29</f>
        <v>580.00000000004093</v>
      </c>
      <c r="D28" s="1">
        <f>'Kwh Consumption'!D29</f>
        <v>2499.9999999999468</v>
      </c>
      <c r="E28" s="1">
        <f>'Kwh Consumption'!E29</f>
        <v>240.00000000000909</v>
      </c>
      <c r="F28" s="1">
        <f>('Kwh Consumption'!F29+'Kwh Consumption'!G29+'Kwh Consumption'!H29)</f>
        <v>809.99999999997385</v>
      </c>
      <c r="G28" s="1">
        <f>('Kwh Consumption'!I29+'Kwh Consumption'!J29)</f>
        <v>409.99999999999659</v>
      </c>
      <c r="H28" s="1">
        <f>('Kwh Consumption'!K29+'Kwh Consumption'!L29)</f>
        <v>1589.9999999999466</v>
      </c>
      <c r="I28" s="1">
        <f>('Kwh Consumption'!M29+'Kwh Consumption'!N29+'Kwh Consumption'!O29+'Kwh Consumption'!P29+'Kwh Consumption'!Q29+'Kwh Consumption'!R29)</f>
        <v>4920.0000000002437</v>
      </c>
      <c r="J28" s="1">
        <f>('Kwh Consumption'!S29+'Kwh Consumption'!T29)</f>
        <v>5092.6100000003353</v>
      </c>
      <c r="K28" s="1">
        <f>'Kwh Consumption'!U29</f>
        <v>239.99999999998067</v>
      </c>
      <c r="L28" s="30">
        <f t="shared" si="0"/>
        <v>4707.3899999996747</v>
      </c>
    </row>
    <row r="29" spans="1:12" x14ac:dyDescent="0.3">
      <c r="A29" s="14">
        <f>'Kwh Reading'!A30</f>
        <v>44404</v>
      </c>
      <c r="B29" s="77">
        <f>TOTAL!E28</f>
        <v>21809.999999998807</v>
      </c>
      <c r="C29" s="1">
        <f>'Kwh Consumption'!C30</f>
        <v>409.99999999996817</v>
      </c>
      <c r="D29" s="1">
        <f>'Kwh Consumption'!D30</f>
        <v>2200.0000000002019</v>
      </c>
      <c r="E29" s="1">
        <f>'Kwh Consumption'!E30</f>
        <v>259.99999999999091</v>
      </c>
      <c r="F29" s="1">
        <f>('Kwh Consumption'!F30+'Kwh Consumption'!G30+'Kwh Consumption'!H30)</f>
        <v>800.00000000003979</v>
      </c>
      <c r="G29" s="1">
        <f>('Kwh Consumption'!I30+'Kwh Consumption'!J30)</f>
        <v>430.00000000002103</v>
      </c>
      <c r="H29" s="1">
        <f>('Kwh Consumption'!K30+'Kwh Consumption'!L30)</f>
        <v>1480.0000000000466</v>
      </c>
      <c r="I29" s="1">
        <f>('Kwh Consumption'!M30+'Kwh Consumption'!N30+'Kwh Consumption'!O30+'Kwh Consumption'!P30+'Kwh Consumption'!Q30+'Kwh Consumption'!R30)</f>
        <v>4059.9999999999454</v>
      </c>
      <c r="J29" s="1">
        <f>('Kwh Consumption'!S30+'Kwh Consumption'!T30)</f>
        <v>5203.9699999997392</v>
      </c>
      <c r="K29" s="1">
        <f>'Kwh Consumption'!U30</f>
        <v>230.00000000001819</v>
      </c>
      <c r="L29" s="30">
        <f t="shared" si="0"/>
        <v>6736.0299999988347</v>
      </c>
    </row>
    <row r="30" spans="1:12" x14ac:dyDescent="0.3">
      <c r="A30" s="14">
        <f>'Kwh Reading'!A31</f>
        <v>44405</v>
      </c>
      <c r="B30" s="77">
        <f>TOTAL!E29</f>
        <v>20820.000000001073</v>
      </c>
      <c r="C30" s="1">
        <f>'Kwh Consumption'!C31</f>
        <v>620.00000000000455</v>
      </c>
      <c r="D30" s="1">
        <f>'Kwh Consumption'!D31</f>
        <v>2299.9999999999686</v>
      </c>
      <c r="E30" s="1">
        <f>'Kwh Consumption'!E31</f>
        <v>240.00000000000909</v>
      </c>
      <c r="F30" s="1">
        <f>('Kwh Consumption'!F31+'Kwh Consumption'!G31+'Kwh Consumption'!H31)</f>
        <v>839.99999999997499</v>
      </c>
      <c r="G30" s="1">
        <f>('Kwh Consumption'!I31+'Kwh Consumption'!J31)</f>
        <v>439.99999999999773</v>
      </c>
      <c r="H30" s="1">
        <f>('Kwh Consumption'!K31+'Kwh Consumption'!L31)</f>
        <v>1259.9999999999909</v>
      </c>
      <c r="I30" s="1">
        <f>('Kwh Consumption'!M31+'Kwh Consumption'!N31+'Kwh Consumption'!O31+'Kwh Consumption'!P31+'Kwh Consumption'!Q31+'Kwh Consumption'!R31)</f>
        <v>3750</v>
      </c>
      <c r="J30" s="1">
        <f>('Kwh Consumption'!S31+'Kwh Consumption'!T31)</f>
        <v>4650.25</v>
      </c>
      <c r="K30" s="1">
        <f>'Kwh Consumption'!U31</f>
        <v>199.99999999998863</v>
      </c>
      <c r="L30" s="30">
        <f t="shared" si="0"/>
        <v>6519.7500000011387</v>
      </c>
    </row>
    <row r="31" spans="1:12" x14ac:dyDescent="0.3">
      <c r="A31" s="14">
        <f>'Kwh Reading'!A32</f>
        <v>44406</v>
      </c>
      <c r="B31" s="77">
        <f>TOTAL!E30</f>
        <v>21729.999999999789</v>
      </c>
      <c r="C31" s="1">
        <f>'Kwh Consumption'!C32</f>
        <v>379.99999999999545</v>
      </c>
      <c r="D31" s="1">
        <f>'Kwh Consumption'!D32</f>
        <v>2399.9999999997358</v>
      </c>
      <c r="E31" s="1">
        <f>'Kwh Consumption'!E32</f>
        <v>250</v>
      </c>
      <c r="F31" s="1">
        <f>('Kwh Consumption'!F32+'Kwh Consumption'!G32+'Kwh Consumption'!H32)</f>
        <v>840.00000000000341</v>
      </c>
      <c r="G31" s="1">
        <f>('Kwh Consumption'!I32+'Kwh Consumption'!J32)</f>
        <v>430.00000000000682</v>
      </c>
      <c r="H31" s="1">
        <f>('Kwh Consumption'!K32+'Kwh Consumption'!L32)</f>
        <v>1830.0000000000125</v>
      </c>
      <c r="I31" s="1">
        <f>('Kwh Consumption'!M32+'Kwh Consumption'!N32+'Kwh Consumption'!O32+'Kwh Consumption'!P32+'Kwh Consumption'!Q32+'Kwh Consumption'!R32)</f>
        <v>4239.9999999999527</v>
      </c>
      <c r="J31" s="1">
        <f>('Kwh Consumption'!S32+'Kwh Consumption'!T32)</f>
        <v>-6790305.7199999997</v>
      </c>
      <c r="K31" s="1">
        <f>'Kwh Consumption'!U32</f>
        <v>210.00000000000796</v>
      </c>
      <c r="L31" s="30">
        <f t="shared" si="0"/>
        <v>6801455.7199999997</v>
      </c>
    </row>
    <row r="32" spans="1:12" x14ac:dyDescent="0.3">
      <c r="A32" s="14">
        <f>'Kwh Reading'!A33</f>
        <v>44407</v>
      </c>
      <c r="B32" s="77">
        <f>TOTAL!E31</f>
        <v>21699.999999998909</v>
      </c>
      <c r="C32" s="1">
        <f>'Kwh Consumption'!C33</f>
        <v>230.00000000001819</v>
      </c>
      <c r="D32" s="1">
        <f>'Kwh Consumption'!D33</f>
        <v>2499.9999999999468</v>
      </c>
      <c r="E32" s="1">
        <f>'Kwh Consumption'!E33</f>
        <v>229.99999999998977</v>
      </c>
      <c r="F32" s="1">
        <f>('Kwh Consumption'!F33+'Kwh Consumption'!G33+'Kwh Consumption'!H33)</f>
        <v>870.00000000000455</v>
      </c>
      <c r="G32" s="1">
        <f>('Kwh Consumption'!I33+'Kwh Consumption'!J33)</f>
        <v>379.99999999999545</v>
      </c>
      <c r="H32" s="1">
        <f>('Kwh Consumption'!K33+'Kwh Consumption'!L33)</f>
        <v>1860.0000000000136</v>
      </c>
      <c r="I32" s="1">
        <f>('Kwh Consumption'!M33+'Kwh Consumption'!N33+'Kwh Consumption'!O33+'Kwh Consumption'!P33+'Kwh Consumption'!Q33+'Kwh Consumption'!R33)</f>
        <v>4090.0000000000318</v>
      </c>
      <c r="J32" s="1">
        <f>('Kwh Consumption'!S33+'Kwh Consumption'!T33)</f>
        <v>6800217.8700000001</v>
      </c>
      <c r="K32" s="1">
        <f>'Kwh Consumption'!U33</f>
        <v>219.99999999999886</v>
      </c>
      <c r="L32" s="30">
        <f t="shared" si="0"/>
        <v>-6788897.870000001</v>
      </c>
    </row>
    <row r="33" spans="1:13" x14ac:dyDescent="0.3">
      <c r="A33" s="14">
        <f>'Kwh Reading'!A34</f>
        <v>44408</v>
      </c>
      <c r="B33" s="77">
        <f>TOTAL!E32</f>
        <v>21920.000000000528</v>
      </c>
      <c r="C33" s="1">
        <f>'Kwh Consumption'!C34</f>
        <v>509.99999999999091</v>
      </c>
      <c r="D33" s="1">
        <f>'Kwh Consumption'!D34</f>
        <v>2400.0000000001796</v>
      </c>
      <c r="E33" s="1">
        <f>'Kwh Consumption'!E34</f>
        <v>229.99999999998977</v>
      </c>
      <c r="F33" s="1">
        <f>('Kwh Consumption'!F34+'Kwh Consumption'!G34+'Kwh Consumption'!H34)</f>
        <v>750</v>
      </c>
      <c r="G33" s="1">
        <f>('Kwh Consumption'!I34+'Kwh Consumption'!J34)</f>
        <v>329.99999999998408</v>
      </c>
      <c r="H33" s="1">
        <f>('Kwh Consumption'!K34+'Kwh Consumption'!L34)</f>
        <v>1719.9999999999704</v>
      </c>
      <c r="I33" s="1">
        <f>('Kwh Consumption'!M34+'Kwh Consumption'!N34+'Kwh Consumption'!O34+'Kwh Consumption'!P34+'Kwh Consumption'!Q34+'Kwh Consumption'!R34)</f>
        <v>4120.0000000000618</v>
      </c>
      <c r="J33" s="1">
        <f>('Kwh Consumption'!S34+'Kwh Consumption'!T34)</f>
        <v>5123.359999999404</v>
      </c>
      <c r="K33" s="1">
        <f>'Kwh Consumption'!U34</f>
        <v>180.00000000000682</v>
      </c>
      <c r="L33" s="30">
        <f t="shared" si="0"/>
        <v>6556.6400000009417</v>
      </c>
    </row>
    <row r="34" spans="1:13" ht="15.6" x14ac:dyDescent="0.3">
      <c r="A34" s="79" t="s">
        <v>121</v>
      </c>
      <c r="B34" s="69">
        <f>SUM(B3:B33)</f>
        <v>704110.00000000023</v>
      </c>
      <c r="C34" s="69">
        <f>SUM(C3:C33)</f>
        <v>14240.000000000009</v>
      </c>
      <c r="D34" s="69">
        <f t="shared" ref="D34:L34" si="1">SUM(D3:D33)</f>
        <v>75200.000000000175</v>
      </c>
      <c r="E34" s="69">
        <f t="shared" si="1"/>
        <v>7429.9999999999782</v>
      </c>
      <c r="F34" s="69">
        <f t="shared" si="1"/>
        <v>22720</v>
      </c>
      <c r="G34" s="69">
        <f t="shared" si="1"/>
        <v>12850.000000000009</v>
      </c>
      <c r="H34" s="69">
        <f t="shared" si="1"/>
        <v>52060.000000000095</v>
      </c>
      <c r="I34" s="69">
        <f t="shared" si="1"/>
        <v>140330.00000000006</v>
      </c>
      <c r="J34" s="69">
        <f t="shared" si="1"/>
        <v>174427.66000000015</v>
      </c>
      <c r="K34" s="69">
        <f t="shared" si="1"/>
        <v>7110.0000000000164</v>
      </c>
      <c r="L34" s="69">
        <f t="shared" si="1"/>
        <v>197742.3400000002</v>
      </c>
      <c r="M34" s="78">
        <f>C34+D34+E34+F34+G34+H34+I34+J34+K34+L34</f>
        <v>704110.0000000007</v>
      </c>
    </row>
    <row r="36" spans="1:13" ht="15.6" x14ac:dyDescent="0.3">
      <c r="A36" s="79" t="s">
        <v>64</v>
      </c>
      <c r="B36" s="80">
        <f>TOTAL!F2</f>
        <v>0.15</v>
      </c>
      <c r="C36" s="69">
        <f>C34*B36</f>
        <v>2136.0000000000014</v>
      </c>
      <c r="D36" s="69">
        <f>D34*B36</f>
        <v>11280.000000000025</v>
      </c>
      <c r="E36" s="69">
        <f>E34*B36</f>
        <v>1114.4999999999966</v>
      </c>
      <c r="F36" s="69">
        <f>F34*B36</f>
        <v>3408</v>
      </c>
      <c r="G36" s="69">
        <f>G34*B36</f>
        <v>1927.5000000000014</v>
      </c>
      <c r="H36" s="69">
        <f>H34*B36</f>
        <v>7809.0000000000136</v>
      </c>
      <c r="I36" s="69">
        <f>I34*B36</f>
        <v>21049.500000000007</v>
      </c>
      <c r="J36" s="69">
        <f>J34*B36</f>
        <v>26164.149000000023</v>
      </c>
      <c r="K36" s="69">
        <f>K34*B36</f>
        <v>1066.5000000000025</v>
      </c>
      <c r="L36" s="69">
        <f>L34*B36</f>
        <v>29661.351000000028</v>
      </c>
      <c r="M36" s="78">
        <f>C36+D36+E36+F36+G36+H36+I36+J36+K36+L36</f>
        <v>105616.50000000009</v>
      </c>
    </row>
    <row r="37" spans="1:13" x14ac:dyDescent="0.3">
      <c r="J37" s="76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4.4" x14ac:dyDescent="0.3"/>
  <cols>
    <col min="1" max="1" width="9.44140625" style="10" customWidth="1"/>
    <col min="2" max="3" width="14.5546875" style="10" customWidth="1"/>
    <col min="4" max="4" width="14.88671875" style="15" customWidth="1"/>
    <col min="5" max="5" width="16" style="15" customWidth="1"/>
    <col min="6" max="6" width="13.5546875" style="15" customWidth="1"/>
    <col min="7" max="8" width="15.33203125" style="15" customWidth="1"/>
    <col min="9" max="9" width="18.33203125" style="15" customWidth="1"/>
    <col min="10" max="10" width="25.33203125" style="15" customWidth="1"/>
    <col min="11" max="11" width="19.44140625" style="15" customWidth="1"/>
    <col min="12" max="12" width="10.88671875" style="15" customWidth="1"/>
    <col min="13" max="13" width="11.6640625" customWidth="1"/>
    <col min="14" max="14" width="14.109375" customWidth="1"/>
  </cols>
  <sheetData>
    <row r="1" spans="1:13" ht="15.6" x14ac:dyDescent="0.3">
      <c r="A1" s="9"/>
      <c r="B1" s="9"/>
      <c r="C1" s="9"/>
      <c r="D1" s="5"/>
      <c r="E1" s="5"/>
      <c r="F1" s="5"/>
      <c r="G1" s="5"/>
    </row>
    <row r="2" spans="1:13" ht="36" customHeight="1" x14ac:dyDescent="0.3">
      <c r="A2" s="18" t="s">
        <v>2</v>
      </c>
      <c r="B2" s="35" t="s">
        <v>63</v>
      </c>
      <c r="C2" s="34" t="s">
        <v>64</v>
      </c>
      <c r="D2" s="33" t="s">
        <v>65</v>
      </c>
      <c r="E2" s="33" t="s">
        <v>66</v>
      </c>
      <c r="F2" s="34" t="s">
        <v>67</v>
      </c>
      <c r="G2" s="33" t="s">
        <v>68</v>
      </c>
      <c r="H2" s="19" t="s">
        <v>69</v>
      </c>
      <c r="I2" s="20" t="s">
        <v>70</v>
      </c>
      <c r="J2" s="21" t="s">
        <v>71</v>
      </c>
      <c r="K2" s="22" t="s">
        <v>72</v>
      </c>
      <c r="L2" s="24" t="s">
        <v>73</v>
      </c>
      <c r="M2" s="24" t="s">
        <v>74</v>
      </c>
    </row>
    <row r="3" spans="1:13" x14ac:dyDescent="0.3">
      <c r="A3" s="14">
        <f>'Kwh Reading'!A4</f>
        <v>44378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76.499999999998636</v>
      </c>
      <c r="E3" s="1">
        <f>'Kwh Consumption'!D4*' Kwh area wise $ '!B3</f>
        <v>360.00000000002694</v>
      </c>
      <c r="F3" s="1">
        <f>'Kwh Consumption'!E4*' Kwh area wise $ '!B3</f>
        <v>31.49999999999693</v>
      </c>
      <c r="G3" s="1">
        <f>('Kwh Consumption'!F4+'Kwh Consumption'!G4+'Kwh Consumption'!H4)*' Kwh area wise $ '!B3</f>
        <v>91.500000000002046</v>
      </c>
      <c r="H3" s="1">
        <f>('Kwh Consumption'!I4+'Kwh Consumption'!J4)*' Kwh area wise $ '!B3</f>
        <v>64.500000000001023</v>
      </c>
      <c r="I3" s="1">
        <f>('Kwh Consumption'!K4+'Kwh Consumption'!L4)*' Kwh area wise $ '!B3</f>
        <v>253.50000000000392</v>
      </c>
      <c r="J3" s="1">
        <f>('Kwh Consumption'!M4+'Kwh Consumption'!N4+'Kwh Consumption'!O4+'Kwh Consumption'!P4+'Kwh Consumption'!Q4+'Kwh Consumption'!R4)*' Kwh area wise $ '!B3</f>
        <v>790.50000000000568</v>
      </c>
      <c r="K3" s="1">
        <f>('Kwh Consumption'!S4+'Kwh Consumption'!T4)*' Kwh area wise $ '!B3</f>
        <v>825.42450000015083</v>
      </c>
      <c r="L3" s="1">
        <f>'Kwh Consumption'!U4*' Kwh area wise $ '!B3</f>
        <v>34.500000000002728</v>
      </c>
      <c r="M3" s="1">
        <f>'Kwh Consumption'!V4*' Kwh area wise $ '!B3</f>
        <v>1300.075499999811</v>
      </c>
    </row>
    <row r="4" spans="1:13" x14ac:dyDescent="0.3">
      <c r="A4" s="14">
        <f>'Kwh Reading'!A5</f>
        <v>44379</v>
      </c>
      <c r="B4" s="11">
        <f>TOTAL!F3</f>
        <v>0.15</v>
      </c>
      <c r="C4" s="11">
        <f>'Kwh Consumption'!B5*' Kwh area wise $ '!B4</f>
        <v>3436.5000000000459</v>
      </c>
      <c r="D4" s="1">
        <f>'Kwh Consumption'!C5*' Kwh area wise $ '!B4</f>
        <v>40.500000000005798</v>
      </c>
      <c r="E4" s="1">
        <f>'Kwh Consumption'!D5*' Kwh area wise $ '!B4</f>
        <v>360.00000000002694</v>
      </c>
      <c r="F4" s="1">
        <f>'Kwh Consumption'!E5*' Kwh area wise $ '!B4</f>
        <v>36.000000000001364</v>
      </c>
      <c r="G4" s="1">
        <f>('Kwh Consumption'!F5+'Kwh Consumption'!G5+'Kwh Consumption'!H5)*' Kwh area wise $ '!B4</f>
        <v>84.000000000004604</v>
      </c>
      <c r="H4" s="1">
        <f>('Kwh Consumption'!I5+'Kwh Consumption'!J5)*' Kwh area wise $ '!B4</f>
        <v>63.000000000000256</v>
      </c>
      <c r="I4" s="1">
        <f>('Kwh Consumption'!K5+'Kwh Consumption'!L5)*' Kwh area wise $ '!B4</f>
        <v>246.00000000000648</v>
      </c>
      <c r="J4" s="1">
        <f>('Kwh Consumption'!M5+'Kwh Consumption'!N5+'Kwh Consumption'!O5+'Kwh Consumption'!P5+'Kwh Consumption'!Q5+'Kwh Consumption'!R5)*' Kwh area wise $ '!B4</f>
        <v>688.49999999998772</v>
      </c>
      <c r="K4" s="1">
        <f>('Kwh Consumption'!S5+'Kwh Consumption'!T5)*' Kwh area wise $ '!B4</f>
        <v>845.70899999993856</v>
      </c>
      <c r="L4" s="1">
        <f>'Kwh Consumption'!U5*' Kwh area wise $ '!B4</f>
        <v>34.499999999998465</v>
      </c>
      <c r="M4" s="1">
        <f>'Kwh Consumption'!V5*' Kwh area wise $ '!B4</f>
        <v>1038.2910000000759</v>
      </c>
    </row>
    <row r="5" spans="1:13" x14ac:dyDescent="0.3">
      <c r="A5" s="14">
        <f>'Kwh Reading'!A6</f>
        <v>44380</v>
      </c>
      <c r="B5" s="11">
        <f>TOTAL!F4</f>
        <v>0.15</v>
      </c>
      <c r="C5" s="11">
        <f>'Kwh Consumption'!B6*' Kwh area wise $ '!B5</f>
        <v>3534.0000000001623</v>
      </c>
      <c r="D5" s="1">
        <f>'Kwh Consumption'!C6*' Kwh area wise $ '!B5</f>
        <v>68.99999999999693</v>
      </c>
      <c r="E5" s="1">
        <f>'Kwh Consumption'!D6*' Kwh area wise $ '!B5</f>
        <v>359.99999999996038</v>
      </c>
      <c r="F5" s="1">
        <f>'Kwh Consumption'!E6*' Kwh area wise $ '!B5</f>
        <v>29.999999999998295</v>
      </c>
      <c r="G5" s="1">
        <f>('Kwh Consumption'!F6+'Kwh Consumption'!G6+'Kwh Consumption'!H6)*' Kwh area wise $ '!B5</f>
        <v>94.499999999999318</v>
      </c>
      <c r="H5" s="1">
        <f>('Kwh Consumption'!I6+'Kwh Consumption'!J6)*' Kwh area wise $ '!B5</f>
        <v>42.000000000000171</v>
      </c>
      <c r="I5" s="1">
        <f>('Kwh Consumption'!K6+'Kwh Consumption'!L6)*' Kwh area wise $ '!B5</f>
        <v>253.50000000000392</v>
      </c>
      <c r="J5" s="1">
        <f>('Kwh Consumption'!M6+'Kwh Consumption'!N6+'Kwh Consumption'!O6+'Kwh Consumption'!P6+'Kwh Consumption'!Q6+'Kwh Consumption'!R6)*' Kwh area wise $ '!B5</f>
        <v>697.49999999999659</v>
      </c>
      <c r="K5" s="1">
        <f>('Kwh Consumption'!S6+'Kwh Consumption'!T6)*' Kwh area wise $ '!B5</f>
        <v>922.58399999993844</v>
      </c>
      <c r="L5" s="1">
        <f>'Kwh Consumption'!U6*' Kwh area wise $ '!B5</f>
        <v>34.499999999998465</v>
      </c>
      <c r="M5" s="1">
        <f>'Kwh Consumption'!V6*' Kwh area wise $ '!B5</f>
        <v>1030.4160000002705</v>
      </c>
    </row>
    <row r="6" spans="1:13" x14ac:dyDescent="0.3">
      <c r="A6" s="14">
        <f>'Kwh Reading'!A7</f>
        <v>44381</v>
      </c>
      <c r="B6" s="11">
        <f>TOTAL!F5</f>
        <v>0.15</v>
      </c>
      <c r="C6" s="11">
        <f>'Kwh Consumption'!B7*' Kwh area wise $ '!B6</f>
        <v>3479.9999999998022</v>
      </c>
      <c r="D6" s="1">
        <f>'Kwh Consumption'!C7*' Kwh area wise $ '!B6</f>
        <v>67.499999999998295</v>
      </c>
      <c r="E6" s="1">
        <f>'Kwh Consumption'!D7*' Kwh area wise $ '!B6</f>
        <v>360.00000000002694</v>
      </c>
      <c r="F6" s="1">
        <f>'Kwh Consumption'!E7*' Kwh area wise $ '!B6</f>
        <v>34.500000000002728</v>
      </c>
      <c r="G6" s="1">
        <f>('Kwh Consumption'!F7+'Kwh Consumption'!G7+'Kwh Consumption'!H7)*' Kwh area wise $ '!B6</f>
        <v>104.99999999999829</v>
      </c>
      <c r="H6" s="1">
        <f>('Kwh Consumption'!I7+'Kwh Consumption'!J7)*' Kwh area wise $ '!B6</f>
        <v>88.49999999999838</v>
      </c>
      <c r="I6" s="1">
        <f>('Kwh Consumption'!K7+'Kwh Consumption'!L7)*' Kwh area wise $ '!B6</f>
        <v>241.49999999999352</v>
      </c>
      <c r="J6" s="1">
        <f>('Kwh Consumption'!M7+'Kwh Consumption'!N7+'Kwh Consumption'!O7+'Kwh Consumption'!P7+'Kwh Consumption'!Q7+'Kwh Consumption'!R7)*' Kwh area wise $ '!B6</f>
        <v>657.00000000001637</v>
      </c>
      <c r="K6" s="1">
        <f>('Kwh Consumption'!S7+'Kwh Consumption'!T7)*' Kwh area wise $ '!B6</f>
        <v>835.65899999993849</v>
      </c>
      <c r="L6" s="1">
        <f>'Kwh Consumption'!U7*' Kwh area wise $ '!B6</f>
        <v>28.499999999999659</v>
      </c>
      <c r="M6" s="1">
        <f>'Kwh Consumption'!V7*' Kwh area wise $ '!B6</f>
        <v>1061.8409999998296</v>
      </c>
    </row>
    <row r="7" spans="1:13" x14ac:dyDescent="0.3">
      <c r="A7" s="14">
        <f>'Kwh Reading'!A8</f>
        <v>44382</v>
      </c>
      <c r="B7" s="11">
        <f>TOTAL!F6</f>
        <v>0.15</v>
      </c>
      <c r="C7" s="11">
        <f>'Kwh Consumption'!B8*' Kwh area wise $ '!B7</f>
        <v>3400.4999999998399</v>
      </c>
      <c r="D7" s="1">
        <f>'Kwh Consumption'!C8*' Kwh area wise $ '!B7</f>
        <v>72.000000000002728</v>
      </c>
      <c r="E7" s="1">
        <f>'Kwh Consumption'!D8*' Kwh area wise $ '!B7</f>
        <v>329.99999999996362</v>
      </c>
      <c r="F7" s="1">
        <f>'Kwh Consumption'!E8*' Kwh area wise $ '!B7</f>
        <v>31.49999999999693</v>
      </c>
      <c r="G7" s="1">
        <f>('Kwh Consumption'!F8+'Kwh Consumption'!G8+'Kwh Consumption'!H8)*' Kwh area wise $ '!B7</f>
        <v>97.499999999996589</v>
      </c>
      <c r="H7" s="1">
        <f>('Kwh Consumption'!I8+'Kwh Consumption'!J8)*' Kwh area wise $ '!B7</f>
        <v>64.500000000001023</v>
      </c>
      <c r="I7" s="1">
        <f>('Kwh Consumption'!K8+'Kwh Consumption'!L8)*' Kwh area wise $ '!B7</f>
        <v>245.99999999999369</v>
      </c>
      <c r="J7" s="1">
        <f>('Kwh Consumption'!M8+'Kwh Consumption'!N8+'Kwh Consumption'!O8+'Kwh Consumption'!P8+'Kwh Consumption'!Q8+'Kwh Consumption'!R8)*' Kwh area wise $ '!B7</f>
        <v>715.49999999997158</v>
      </c>
      <c r="K7" s="1">
        <f>('Kwh Consumption'!S8+'Kwh Consumption'!T8)*' Kwh area wise $ '!B7</f>
        <v>908.98050000001672</v>
      </c>
      <c r="L7" s="1">
        <f>'Kwh Consumption'!U8*' Kwh area wise $ '!B7</f>
        <v>31.500000000001194</v>
      </c>
      <c r="M7" s="1">
        <f>'Kwh Consumption'!V8*' Kwh area wise $ '!B7</f>
        <v>903.0194999998954</v>
      </c>
    </row>
    <row r="8" spans="1:13" x14ac:dyDescent="0.3">
      <c r="A8" s="14">
        <f>'Kwh Reading'!A9</f>
        <v>44383</v>
      </c>
      <c r="B8" s="11">
        <f>TOTAL!F7</f>
        <v>0.15</v>
      </c>
      <c r="C8" s="11">
        <f>'Kwh Consumption'!B9*' Kwh area wise $ '!B8</f>
        <v>3406.500000000312</v>
      </c>
      <c r="D8" s="1">
        <f>'Kwh Consumption'!C9*' Kwh area wise $ '!B8</f>
        <v>67.499999999998295</v>
      </c>
      <c r="E8" s="1">
        <f>'Kwh Consumption'!D9*' Kwh area wise $ '!B8</f>
        <v>360.00000000002694</v>
      </c>
      <c r="F8" s="1">
        <f>'Kwh Consumption'!E9*' Kwh area wise $ '!B8</f>
        <v>37.5</v>
      </c>
      <c r="G8" s="1">
        <f>('Kwh Consumption'!F9+'Kwh Consumption'!G9+'Kwh Consumption'!H9)*' Kwh area wise $ '!B8</f>
        <v>86.999999999997613</v>
      </c>
      <c r="H8" s="1">
        <f>('Kwh Consumption'!I9+'Kwh Consumption'!J9)*' Kwh area wise $ '!B8</f>
        <v>66.000000000003922</v>
      </c>
      <c r="I8" s="1">
        <f>('Kwh Consumption'!K9+'Kwh Consumption'!L9)*' Kwh area wise $ '!B8</f>
        <v>252.00000000000102</v>
      </c>
      <c r="J8" s="1">
        <f>('Kwh Consumption'!M9+'Kwh Consumption'!N9+'Kwh Consumption'!O9+'Kwh Consumption'!P9+'Kwh Consumption'!Q9+'Kwh Consumption'!R9)*' Kwh area wise $ '!B8</f>
        <v>684.00000000002592</v>
      </c>
      <c r="K8" s="1">
        <f>('Kwh Consumption'!S9+'Kwh Consumption'!T9)*' Kwh area wise $ '!B8</f>
        <v>834.03300000010051</v>
      </c>
      <c r="L8" s="1">
        <f>'Kwh Consumption'!U9*' Kwh area wise $ '!B8</f>
        <v>28.499999999999659</v>
      </c>
      <c r="M8" s="1">
        <f>'Kwh Consumption'!V9*' Kwh area wise $ '!B8</f>
        <v>989.96700000015801</v>
      </c>
    </row>
    <row r="9" spans="1:13" x14ac:dyDescent="0.3">
      <c r="A9" s="14">
        <f>'Kwh Reading'!A10</f>
        <v>44384</v>
      </c>
      <c r="B9" s="11">
        <f>TOTAL!F8</f>
        <v>0.15</v>
      </c>
      <c r="C9" s="11">
        <f>'Kwh Consumption'!B10*' Kwh area wise $ '!B9</f>
        <v>3478.4999999998035</v>
      </c>
      <c r="D9" s="1">
        <f>'Kwh Consumption'!C10*' Kwh area wise $ '!B9</f>
        <v>70.500000000004093</v>
      </c>
      <c r="E9" s="1">
        <f>'Kwh Consumption'!D10*' Kwh area wise $ '!B9</f>
        <v>344.99999999999528</v>
      </c>
      <c r="F9" s="1">
        <f>'Kwh Consumption'!E10*' Kwh area wise $ '!B9</f>
        <v>32.999999999999829</v>
      </c>
      <c r="G9" s="1">
        <f>('Kwh Consumption'!F10+'Kwh Consumption'!G10+'Kwh Consumption'!H10)*' Kwh area wise $ '!B9</f>
        <v>97.500000000005116</v>
      </c>
      <c r="H9" s="1">
        <f>('Kwh Consumption'!I10+'Kwh Consumption'!J10)*' Kwh area wise $ '!B9</f>
        <v>67.499999999996163</v>
      </c>
      <c r="I9" s="1">
        <f>('Kwh Consumption'!K10+'Kwh Consumption'!L10)*' Kwh area wise $ '!B9</f>
        <v>258.00000000000409</v>
      </c>
      <c r="J9" s="1">
        <f>('Kwh Consumption'!M10+'Kwh Consumption'!N10+'Kwh Consumption'!O10+'Kwh Consumption'!P10+'Kwh Consumption'!Q10+'Kwh Consumption'!R10)*' Kwh area wise $ '!B9</f>
        <v>689.9999999999693</v>
      </c>
      <c r="K9" s="1">
        <f>('Kwh Consumption'!S10+'Kwh Consumption'!T10)*' Kwh area wise $ '!B9</f>
        <v>893.29350000000557</v>
      </c>
      <c r="L9" s="1">
        <f>'Kwh Consumption'!U10*' Kwh area wise $ '!B9</f>
        <v>30.000000000002558</v>
      </c>
      <c r="M9" s="1">
        <f>'Kwh Consumption'!V10*' Kwh area wise $ '!B9</f>
        <v>993.7064999998214</v>
      </c>
    </row>
    <row r="10" spans="1:13" x14ac:dyDescent="0.3">
      <c r="A10" s="14">
        <f>'Kwh Reading'!A11</f>
        <v>44385</v>
      </c>
      <c r="B10" s="11">
        <f>TOTAL!F9</f>
        <v>0.15</v>
      </c>
      <c r="C10" s="11">
        <f>'Kwh Consumption'!B11*' Kwh area wise $ '!B10</f>
        <v>3433.5000000000491</v>
      </c>
      <c r="D10" s="1">
        <f>'Kwh Consumption'!C11*' Kwh area wise $ '!B10</f>
        <v>70.499999999995566</v>
      </c>
      <c r="E10" s="1">
        <f>'Kwh Consumption'!D11*' Kwh area wise $ '!B10</f>
        <v>344.99999999999528</v>
      </c>
      <c r="F10" s="1">
        <f>'Kwh Consumption'!E11*' Kwh area wise $ '!B10</f>
        <v>19.500000000003581</v>
      </c>
      <c r="G10" s="1">
        <f>('Kwh Consumption'!F11+'Kwh Consumption'!G11+'Kwh Consumption'!H11)*' Kwh area wise $ '!B10</f>
        <v>91.49999999999352</v>
      </c>
      <c r="H10" s="1">
        <f>('Kwh Consumption'!I11+'Kwh Consumption'!J11)*' Kwh area wise $ '!B10</f>
        <v>63.000000000002387</v>
      </c>
      <c r="I10" s="1">
        <f>('Kwh Consumption'!K11+'Kwh Consumption'!L11)*' Kwh area wise $ '!B10</f>
        <v>247.49999999999233</v>
      </c>
      <c r="J10" s="1">
        <f>('Kwh Consumption'!M11+'Kwh Consumption'!N11+'Kwh Consumption'!O11+'Kwh Consumption'!P11+'Kwh Consumption'!Q11+'Kwh Consumption'!R11)*' Kwh area wise $ '!B10</f>
        <v>685.50000000002456</v>
      </c>
      <c r="K10" s="1">
        <f>('Kwh Consumption'!S11+'Kwh Consumption'!T11)*' Kwh area wise $ '!B10</f>
        <v>884.49449999998319</v>
      </c>
      <c r="L10" s="1">
        <f>'Kwh Consumption'!U11*' Kwh area wise $ '!B10</f>
        <v>31.49999999999693</v>
      </c>
      <c r="M10" s="1">
        <f>'Kwh Consumption'!V11*' Kwh area wise $ '!B10</f>
        <v>995.00550000006172</v>
      </c>
    </row>
    <row r="11" spans="1:13" x14ac:dyDescent="0.3">
      <c r="A11" s="14">
        <f>'Kwh Reading'!A12</f>
        <v>44386</v>
      </c>
      <c r="B11" s="11">
        <f>TOTAL!F10</f>
        <v>0.15</v>
      </c>
      <c r="C11" s="11">
        <f>'Kwh Consumption'!B12*' Kwh area wise $ '!B11</f>
        <v>2858.9999999998558</v>
      </c>
      <c r="D11" s="1">
        <f>'Kwh Consumption'!C12*' Kwh area wise $ '!B11</f>
        <v>40.499999999997272</v>
      </c>
      <c r="E11" s="1">
        <f>'Kwh Consumption'!D12*' Kwh area wise $ '!B11</f>
        <v>344.99999999999528</v>
      </c>
      <c r="F11" s="1">
        <f>'Kwh Consumption'!E12*' Kwh area wise $ '!B11</f>
        <v>52.499999999999147</v>
      </c>
      <c r="G11" s="1">
        <f>('Kwh Consumption'!F12+'Kwh Consumption'!G12+'Kwh Consumption'!H12)*' Kwh area wise $ '!B11</f>
        <v>102.00000000000529</v>
      </c>
      <c r="H11" s="1">
        <f>('Kwh Consumption'!I12+'Kwh Consumption'!J12)*' Kwh area wise $ '!B11</f>
        <v>59.999999999998721</v>
      </c>
      <c r="I11" s="1">
        <f>('Kwh Consumption'!K12+'Kwh Consumption'!L12)*' Kwh area wise $ '!B11</f>
        <v>214.50000000001808</v>
      </c>
      <c r="J11" s="1">
        <f>('Kwh Consumption'!M12+'Kwh Consumption'!N12+'Kwh Consumption'!O12+'Kwh Consumption'!P12+'Kwh Consumption'!Q12+'Kwh Consumption'!R12)*' Kwh area wise $ '!B11</f>
        <v>525</v>
      </c>
      <c r="K11" s="1">
        <f>('Kwh Consumption'!S12+'Kwh Consumption'!T12)*' Kwh area wise $ '!B11</f>
        <v>685.82100000008938</v>
      </c>
      <c r="L11" s="1">
        <f>'Kwh Consumption'!U12*' Kwh area wise $ '!B11</f>
        <v>32.999999999999829</v>
      </c>
      <c r="M11" s="1">
        <f>'Kwh Consumption'!V12*' Kwh area wise $ '!B11</f>
        <v>800.67899999975316</v>
      </c>
    </row>
    <row r="12" spans="1:13" x14ac:dyDescent="0.3">
      <c r="A12" s="14">
        <f>'Kwh Reading'!A13</f>
        <v>44387</v>
      </c>
      <c r="B12" s="11">
        <f>TOTAL!F11</f>
        <v>0.15</v>
      </c>
      <c r="C12" s="11">
        <f>'Kwh Consumption'!B13*' Kwh area wise $ '!B12</f>
        <v>3192.0000000001669</v>
      </c>
      <c r="D12" s="1">
        <f>'Kwh Consumption'!C13*' Kwh area wise $ '!B12</f>
        <v>66.000000000008185</v>
      </c>
      <c r="E12" s="1">
        <f>'Kwh Consumption'!D13*' Kwh area wise $ '!B12</f>
        <v>344.99999999999528</v>
      </c>
      <c r="F12" s="1">
        <f>'Kwh Consumption'!E13*' Kwh area wise $ '!B12</f>
        <v>32.999999999999829</v>
      </c>
      <c r="G12" s="1">
        <f>('Kwh Consumption'!F13+'Kwh Consumption'!G13+'Kwh Consumption'!H13)*' Kwh area wise $ '!B12</f>
        <v>91.499999999997783</v>
      </c>
      <c r="H12" s="1">
        <f>('Kwh Consumption'!I13+'Kwh Consumption'!J13)*' Kwh area wise $ '!B12</f>
        <v>64.500000000001023</v>
      </c>
      <c r="I12" s="1">
        <f>('Kwh Consumption'!K13+'Kwh Consumption'!L13)*' Kwh area wise $ '!B12</f>
        <v>232.49999999999744</v>
      </c>
      <c r="J12" s="1">
        <f>('Kwh Consumption'!M13+'Kwh Consumption'!N13+'Kwh Consumption'!O13+'Kwh Consumption'!P13+'Kwh Consumption'!Q13+'Kwh Consumption'!R13)*' Kwh area wise $ '!B12</f>
        <v>630.00000000000682</v>
      </c>
      <c r="K12" s="1">
        <f>('Kwh Consumption'!S13+'Kwh Consumption'!T13)*' Kwh area wise $ '!B12</f>
        <v>773.91599999992172</v>
      </c>
      <c r="L12" s="1">
        <f>'Kwh Consumption'!U13*' Kwh area wise $ '!B12</f>
        <v>36.000000000001364</v>
      </c>
      <c r="M12" s="1">
        <f>'Kwh Consumption'!V13*' Kwh area wise $ '!B12</f>
        <v>919.58400000023778</v>
      </c>
    </row>
    <row r="13" spans="1:13" x14ac:dyDescent="0.3">
      <c r="A13" s="14">
        <f>'Kwh Reading'!A14</f>
        <v>44388</v>
      </c>
      <c r="B13" s="11">
        <f>TOTAL!F12</f>
        <v>0.15</v>
      </c>
      <c r="C13" s="11">
        <f>'Kwh Consumption'!B14*' Kwh area wise $ '!B13</f>
        <v>3574.5000000000568</v>
      </c>
      <c r="D13" s="1">
        <f>'Kwh Consumption'!C14*' Kwh area wise $ '!B13</f>
        <v>68.99999999999693</v>
      </c>
      <c r="E13" s="1">
        <f>'Kwh Consumption'!D14*' Kwh area wise $ '!B13</f>
        <v>374.99999999999199</v>
      </c>
      <c r="F13" s="1">
        <f>'Kwh Consumption'!E14*' Kwh area wise $ '!B13</f>
        <v>32.999999999999829</v>
      </c>
      <c r="G13" s="1">
        <f>('Kwh Consumption'!F14+'Kwh Consumption'!G14+'Kwh Consumption'!H14)*' Kwh area wise $ '!B13</f>
        <v>95.999999999997954</v>
      </c>
      <c r="H13" s="1">
        <f>('Kwh Consumption'!I14+'Kwh Consumption'!J14)*' Kwh area wise $ '!B13</f>
        <v>62.999999999995993</v>
      </c>
      <c r="I13" s="1">
        <f>('Kwh Consumption'!K14+'Kwh Consumption'!L14)*' Kwh area wise $ '!B13</f>
        <v>254.99999999999829</v>
      </c>
      <c r="J13" s="1">
        <f>('Kwh Consumption'!M14+'Kwh Consumption'!N14+'Kwh Consumption'!O14+'Kwh Consumption'!P14+'Kwh Consumption'!Q14+'Kwh Consumption'!R14)*' Kwh area wise $ '!B13</f>
        <v>717.00000000000432</v>
      </c>
      <c r="K13" s="1">
        <f>('Kwh Consumption'!S14+'Kwh Consumption'!T14)*' Kwh area wise $ '!B13</f>
        <v>866.26650000005031</v>
      </c>
      <c r="L13" s="1">
        <f>'Kwh Consumption'!U14*' Kwh area wise $ '!B13</f>
        <v>34.499999999998465</v>
      </c>
      <c r="M13" s="1">
        <f>'Kwh Consumption'!V14*' Kwh area wise $ '!B13</f>
        <v>1065.7335000000223</v>
      </c>
    </row>
    <row r="14" spans="1:13" x14ac:dyDescent="0.3">
      <c r="A14" s="14">
        <f>'Kwh Reading'!A15</f>
        <v>44389</v>
      </c>
      <c r="B14" s="11">
        <f>TOTAL!F13</f>
        <v>0.15</v>
      </c>
      <c r="C14" s="11">
        <f>'Kwh Consumption'!B15*' Kwh area wise $ '!B14</f>
        <v>3410.9999999997626</v>
      </c>
      <c r="D14" s="1">
        <f>'Kwh Consumption'!C15*' Kwh area wise $ '!B14</f>
        <v>73.500000000001364</v>
      </c>
      <c r="E14" s="1">
        <f>'Kwh Consumption'!D15*' Kwh area wise $ '!B14</f>
        <v>330.0000000000303</v>
      </c>
      <c r="F14" s="1">
        <f>'Kwh Consumption'!E15*' Kwh area wise $ '!B14</f>
        <v>37.5</v>
      </c>
      <c r="G14" s="1">
        <f>('Kwh Consumption'!F15+'Kwh Consumption'!G15+'Kwh Consumption'!H15)*' Kwh area wise $ '!B14</f>
        <v>87.000000000001876</v>
      </c>
      <c r="H14" s="1">
        <f>('Kwh Consumption'!I15+'Kwh Consumption'!J15)*' Kwh area wise $ '!B14</f>
        <v>64.500000000001023</v>
      </c>
      <c r="I14" s="1">
        <f>('Kwh Consumption'!K15+'Kwh Consumption'!L15)*' Kwh area wise $ '!B14</f>
        <v>218.99999999999693</v>
      </c>
      <c r="J14" s="1">
        <f>('Kwh Consumption'!M15+'Kwh Consumption'!N15+'Kwh Consumption'!O15+'Kwh Consumption'!P15+'Kwh Consumption'!Q15+'Kwh Consumption'!R15)*' Kwh area wise $ '!B14</f>
        <v>719.99999999999318</v>
      </c>
      <c r="K14" s="1">
        <f>('Kwh Consumption'!S15+'Kwh Consumption'!T15)*' Kwh area wise $ '!B14</f>
        <v>838.81499999994412</v>
      </c>
      <c r="L14" s="1">
        <f>'Kwh Consumption'!U15*' Kwh area wise $ '!B14</f>
        <v>40.500000000001535</v>
      </c>
      <c r="M14" s="1">
        <f>'Kwh Consumption'!V15*' Kwh area wise $ '!B14</f>
        <v>1000.1849999997922</v>
      </c>
    </row>
    <row r="15" spans="1:13" x14ac:dyDescent="0.3">
      <c r="A15" s="14">
        <f>'Kwh Reading'!A16</f>
        <v>44390</v>
      </c>
      <c r="B15" s="11">
        <f>TOTAL!F14</f>
        <v>0.15</v>
      </c>
      <c r="C15" s="11">
        <f>'Kwh Consumption'!B16*' Kwh area wise $ '!B15</f>
        <v>3417.0000000003033</v>
      </c>
      <c r="D15" s="1">
        <f>'Kwh Consumption'!C16*' Kwh area wise $ '!B15</f>
        <v>70.499999999995566</v>
      </c>
      <c r="E15" s="1">
        <f>'Kwh Consumption'!D16*' Kwh area wise $ '!B15</f>
        <v>344.99999999999528</v>
      </c>
      <c r="F15" s="1">
        <f>'Kwh Consumption'!E16*' Kwh area wise $ '!B15</f>
        <v>37.5</v>
      </c>
      <c r="G15" s="1">
        <f>('Kwh Consumption'!F16+'Kwh Consumption'!G16+'Kwh Consumption'!H16)*' Kwh area wise $ '!B15</f>
        <v>85.50000000000324</v>
      </c>
      <c r="H15" s="1">
        <f>('Kwh Consumption'!I16+'Kwh Consumption'!J16)*' Kwh area wise $ '!B15</f>
        <v>64.500000000001023</v>
      </c>
      <c r="I15" s="1">
        <f>('Kwh Consumption'!K16+'Kwh Consumption'!L16)*' Kwh area wise $ '!B15</f>
        <v>279.00000000000205</v>
      </c>
      <c r="J15" s="1">
        <f>('Kwh Consumption'!M16+'Kwh Consumption'!N16+'Kwh Consumption'!O16+'Kwh Consumption'!P16+'Kwh Consumption'!Q16+'Kwh Consumption'!R16)*' Kwh area wise $ '!B15</f>
        <v>725.99999999998772</v>
      </c>
      <c r="K15" s="1">
        <f>('Kwh Consumption'!S16+'Kwh Consumption'!T16)*' Kwh area wise $ '!B15</f>
        <v>894.83549999990498</v>
      </c>
      <c r="L15" s="1">
        <f>'Kwh Consumption'!U16*' Kwh area wise $ '!B15</f>
        <v>34.499999999998465</v>
      </c>
      <c r="M15" s="1">
        <f>'Kwh Consumption'!V16*' Kwh area wise $ '!B15</f>
        <v>879.66450000041527</v>
      </c>
    </row>
    <row r="16" spans="1:13" x14ac:dyDescent="0.3">
      <c r="A16" s="14">
        <f>'Kwh Reading'!A17</f>
        <v>44391</v>
      </c>
      <c r="B16" s="11">
        <f>TOTAL!F15</f>
        <v>0.15</v>
      </c>
      <c r="C16" s="11">
        <f>'Kwh Consumption'!B17*' Kwh area wise $ '!B16</f>
        <v>3431.9999999998799</v>
      </c>
      <c r="D16" s="1">
        <f>'Kwh Consumption'!C17*' Kwh area wise $ '!B16</f>
        <v>70.500000000004093</v>
      </c>
      <c r="E16" s="1">
        <f>'Kwh Consumption'!D17*' Kwh area wise $ '!B16</f>
        <v>374.99999999999199</v>
      </c>
      <c r="F16" s="1">
        <f>'Kwh Consumption'!E17*' Kwh area wise $ '!B16</f>
        <v>29.999999999998295</v>
      </c>
      <c r="G16" s="1">
        <f>('Kwh Consumption'!F17+'Kwh Consumption'!G17+'Kwh Consumption'!H17)*' Kwh area wise $ '!B16</f>
        <v>76.499999999994373</v>
      </c>
      <c r="H16" s="1">
        <f>('Kwh Consumption'!I17+'Kwh Consumption'!J17)*' Kwh area wise $ '!B16</f>
        <v>60.000000000002984</v>
      </c>
      <c r="I16" s="1">
        <f>('Kwh Consumption'!K17+'Kwh Consumption'!L17)*' Kwh area wise $ '!B16</f>
        <v>292.49999999999829</v>
      </c>
      <c r="J16" s="1">
        <f>('Kwh Consumption'!M17+'Kwh Consumption'!N17+'Kwh Consumption'!O17+'Kwh Consumption'!P17+'Kwh Consumption'!Q17+'Kwh Consumption'!R17)*' Kwh area wise $ '!B16</f>
        <v>659.99999999999659</v>
      </c>
      <c r="K16" s="1">
        <f>('Kwh Consumption'!S17+'Kwh Consumption'!T17)*' Kwh area wise $ '!B16</f>
        <v>834.87450000015087</v>
      </c>
      <c r="L16" s="1">
        <f>'Kwh Consumption'!U17*' Kwh area wise $ '!B16</f>
        <v>31.500000000001194</v>
      </c>
      <c r="M16" s="1">
        <f>'Kwh Consumption'!V17*' Kwh area wise $ '!B16</f>
        <v>1001.1254999997414</v>
      </c>
    </row>
    <row r="17" spans="1:13" x14ac:dyDescent="0.3">
      <c r="A17" s="14">
        <f>'Kwh Reading'!A18</f>
        <v>44392</v>
      </c>
      <c r="B17" s="11">
        <f>TOTAL!F16</f>
        <v>0.15</v>
      </c>
      <c r="C17" s="11">
        <f>'Kwh Consumption'!B18*' Kwh area wise $ '!B17</f>
        <v>3524.9999999998636</v>
      </c>
      <c r="D17" s="1">
        <f>'Kwh Consumption'!C18*' Kwh area wise $ '!B17</f>
        <v>71.999999999994202</v>
      </c>
      <c r="E17" s="1">
        <f>'Kwh Consumption'!D18*' Kwh area wise $ '!B17</f>
        <v>390.00000000002365</v>
      </c>
      <c r="F17" s="1">
        <f>'Kwh Consumption'!E18*' Kwh area wise $ '!B17</f>
        <v>40.500000000001535</v>
      </c>
      <c r="G17" s="1">
        <f>('Kwh Consumption'!F18+'Kwh Consumption'!G18+'Kwh Consumption'!H18)*' Kwh area wise $ '!B17</f>
        <v>111.00000000000136</v>
      </c>
      <c r="H17" s="1">
        <f>('Kwh Consumption'!I18+'Kwh Consumption'!J18)*' Kwh area wise $ '!B17</f>
        <v>56.999999999999318</v>
      </c>
      <c r="I17" s="1">
        <f>('Kwh Consumption'!K18+'Kwh Consumption'!L18)*' Kwh area wise $ '!B17</f>
        <v>95.999999999997954</v>
      </c>
      <c r="J17" s="1">
        <f>('Kwh Consumption'!M18+'Kwh Consumption'!N18+'Kwh Consumption'!O18+'Kwh Consumption'!P18+'Kwh Consumption'!Q18+'Kwh Consumption'!R18)*' Kwh area wise $ '!B17</f>
        <v>739.50000000001796</v>
      </c>
      <c r="K17" s="1">
        <f>('Kwh Consumption'!S18+'Kwh Consumption'!T18)*' Kwh area wise $ '!B17</f>
        <v>839.54549999982112</v>
      </c>
      <c r="L17" s="1">
        <f>'Kwh Consumption'!U18*' Kwh area wise $ '!B17</f>
        <v>32.999999999999829</v>
      </c>
      <c r="M17" s="1">
        <f>'Kwh Consumption'!V18*' Kwh area wise $ '!B17</f>
        <v>1146.4545000000064</v>
      </c>
    </row>
    <row r="18" spans="1:13" x14ac:dyDescent="0.3">
      <c r="A18" s="14">
        <f>'Kwh Reading'!A19</f>
        <v>44393</v>
      </c>
      <c r="B18" s="11">
        <f>TOTAL!F17</f>
        <v>0.15</v>
      </c>
      <c r="C18" s="11">
        <f>'Kwh Consumption'!B19*' Kwh area wise $ '!B18</f>
        <v>3553.5000000000423</v>
      </c>
      <c r="D18" s="1">
        <f>'Kwh Consumption'!C19*' Kwh area wise $ '!B18</f>
        <v>75</v>
      </c>
      <c r="E18" s="1">
        <f>'Kwh Consumption'!D19*' Kwh area wise $ '!B18</f>
        <v>374.99999999999199</v>
      </c>
      <c r="F18" s="1">
        <f>'Kwh Consumption'!E19*' Kwh area wise $ '!B18</f>
        <v>38.999999999998636</v>
      </c>
      <c r="G18" s="1">
        <f>('Kwh Consumption'!F19+'Kwh Consumption'!G19+'Kwh Consumption'!H19)*' Kwh area wise $ '!B18</f>
        <v>115.49999999999727</v>
      </c>
      <c r="H18" s="1">
        <f>('Kwh Consumption'!I19+'Kwh Consumption'!J19)*' Kwh area wise $ '!B18</f>
        <v>73.499999999997101</v>
      </c>
      <c r="I18" s="1">
        <f>('Kwh Consumption'!K19+'Kwh Consumption'!L19)*' Kwh area wise $ '!B18</f>
        <v>441.00000000000819</v>
      </c>
      <c r="J18" s="1">
        <f>('Kwh Consumption'!M19+'Kwh Consumption'!N19+'Kwh Consumption'!O19+'Kwh Consumption'!P19+'Kwh Consumption'!Q19+'Kwh Consumption'!R19)*' Kwh area wise $ '!B18</f>
        <v>703.50000000000819</v>
      </c>
      <c r="K18" s="1">
        <f>('Kwh Consumption'!S19+'Kwh Consumption'!T19)*' Kwh area wise $ '!B18</f>
        <v>890.27700000023469</v>
      </c>
      <c r="L18" s="1">
        <f>'Kwh Consumption'!U19*' Kwh area wise $ '!B18</f>
        <v>31.500000000001194</v>
      </c>
      <c r="M18" s="1">
        <f>'Kwh Consumption'!V19*' Kwh area wise $ '!B18</f>
        <v>809.22299999980567</v>
      </c>
    </row>
    <row r="19" spans="1:13" x14ac:dyDescent="0.3">
      <c r="A19" s="14">
        <f>'Kwh Reading'!A20</f>
        <v>44394</v>
      </c>
      <c r="B19" s="11">
        <f>TOTAL!F18</f>
        <v>0.15</v>
      </c>
      <c r="C19" s="11">
        <f>'Kwh Consumption'!B20*' Kwh area wise $ '!B19</f>
        <v>3712.5000000002046</v>
      </c>
      <c r="D19" s="1">
        <f>'Kwh Consumption'!C20*' Kwh area wise $ '!B19</f>
        <v>72.000000000002728</v>
      </c>
      <c r="E19" s="1">
        <f>'Kwh Consumption'!D20*' Kwh area wise $ '!B19</f>
        <v>420.00000000002029</v>
      </c>
      <c r="F19" s="1">
        <f>'Kwh Consumption'!E20*' Kwh area wise $ '!B19</f>
        <v>39.000000000002899</v>
      </c>
      <c r="G19" s="1">
        <f>('Kwh Consumption'!F20+'Kwh Consumption'!G20+'Kwh Consumption'!H20)*' Kwh area wise $ '!B19</f>
        <v>156.00000000000733</v>
      </c>
      <c r="H19" s="1">
        <f>('Kwh Consumption'!I20+'Kwh Consumption'!J20)*' Kwh area wise $ '!B19</f>
        <v>58.500000000000085</v>
      </c>
      <c r="I19" s="1">
        <f>('Kwh Consumption'!K20+'Kwh Consumption'!L20)*' Kwh area wise $ '!B19</f>
        <v>225</v>
      </c>
      <c r="J19" s="1">
        <f>('Kwh Consumption'!M20+'Kwh Consumption'!N20+'Kwh Consumption'!O20+'Kwh Consumption'!P20+'Kwh Consumption'!Q20+'Kwh Consumption'!R20)*' Kwh area wise $ '!B19</f>
        <v>734.99999999998795</v>
      </c>
      <c r="K19" s="1">
        <f>('Kwh Consumption'!S20+'Kwh Consumption'!T20)*' Kwh area wise $ '!B19</f>
        <v>945.79799999990496</v>
      </c>
      <c r="L19" s="1">
        <f>'Kwh Consumption'!U20*' Kwh area wise $ '!B19</f>
        <v>38.999999999998636</v>
      </c>
      <c r="M19" s="1">
        <f>'Kwh Consumption'!V20*' Kwh area wise $ '!B19</f>
        <v>1022.2020000002799</v>
      </c>
    </row>
    <row r="20" spans="1:13" x14ac:dyDescent="0.3">
      <c r="A20" s="14">
        <f>'Kwh Reading'!A21</f>
        <v>44395</v>
      </c>
      <c r="B20" s="11">
        <f>TOTAL!F19</f>
        <v>0.15</v>
      </c>
      <c r="C20" s="11">
        <f>'Kwh Consumption'!B21*' Kwh area wise $ '!B20</f>
        <v>3573.0000000000241</v>
      </c>
      <c r="D20" s="1">
        <f>'Kwh Consumption'!C21*' Kwh area wise $ '!B20</f>
        <v>93.000000000000682</v>
      </c>
      <c r="E20" s="1">
        <f>'Kwh Consumption'!D21*' Kwh area wise $ '!B20</f>
        <v>359.99999999996038</v>
      </c>
      <c r="F20" s="1">
        <f>'Kwh Consumption'!E21*' Kwh area wise $ '!B20</f>
        <v>37.5</v>
      </c>
      <c r="G20" s="1">
        <f>('Kwh Consumption'!F21+'Kwh Consumption'!G21+'Kwh Consumption'!H21)*' Kwh area wise $ '!B20</f>
        <v>115.5000000000058</v>
      </c>
      <c r="H20" s="1">
        <f>('Kwh Consumption'!I21+'Kwh Consumption'!J21)*' Kwh area wise $ '!B20</f>
        <v>76.500000000002899</v>
      </c>
      <c r="I20" s="1">
        <f>('Kwh Consumption'!K21+'Kwh Consumption'!L21)*' Kwh area wise $ '!B20</f>
        <v>296.9999999999942</v>
      </c>
      <c r="J20" s="1">
        <f>('Kwh Consumption'!M21+'Kwh Consumption'!N21+'Kwh Consumption'!O21+'Kwh Consumption'!P21+'Kwh Consumption'!Q21+'Kwh Consumption'!R21)*' Kwh area wise $ '!B20</f>
        <v>727.50000000001194</v>
      </c>
      <c r="K20" s="1">
        <f>('Kwh Consumption'!S21+'Kwh Consumption'!T21)*' Kwh area wise $ '!B20</f>
        <v>919.25249999994412</v>
      </c>
      <c r="L20" s="1">
        <f>'Kwh Consumption'!U21*' Kwh area wise $ '!B20</f>
        <v>36.000000000001364</v>
      </c>
      <c r="M20" s="1">
        <f>'Kwh Consumption'!V21*' Kwh area wise $ '!B20</f>
        <v>910.74750000010283</v>
      </c>
    </row>
    <row r="21" spans="1:13" x14ac:dyDescent="0.3">
      <c r="A21" s="14">
        <f>'Kwh Reading'!A22</f>
        <v>44396</v>
      </c>
      <c r="B21" s="11">
        <f>TOTAL!F20</f>
        <v>0.15</v>
      </c>
      <c r="C21" s="11">
        <f>'Kwh Consumption'!B22*' Kwh area wise $ '!B21</f>
        <v>3526.499999999794</v>
      </c>
      <c r="D21" s="1">
        <f>'Kwh Consumption'!C22*' Kwh area wise $ '!B21</f>
        <v>76.499999999998636</v>
      </c>
      <c r="E21" s="1">
        <f>'Kwh Consumption'!D22*' Kwh area wise $ '!B21</f>
        <v>344.99999999999528</v>
      </c>
      <c r="F21" s="1">
        <f>'Kwh Consumption'!E22*' Kwh area wise $ '!B21</f>
        <v>31.49999999999693</v>
      </c>
      <c r="G21" s="1">
        <f>('Kwh Consumption'!F22+'Kwh Consumption'!G22+'Kwh Consumption'!H22)*' Kwh area wise $ '!B21</f>
        <v>95.99999999999369</v>
      </c>
      <c r="H21" s="1">
        <f>('Kwh Consumption'!I22+'Kwh Consumption'!J22)*' Kwh area wise $ '!B21</f>
        <v>55.499999999996419</v>
      </c>
      <c r="I21" s="1">
        <f>('Kwh Consumption'!K22+'Kwh Consumption'!L22)*' Kwh area wise $ '!B21</f>
        <v>256.49999999999693</v>
      </c>
      <c r="J21" s="1">
        <f>('Kwh Consumption'!M22+'Kwh Consumption'!N22+'Kwh Consumption'!O22+'Kwh Consumption'!P22+'Kwh Consumption'!Q22+'Kwh Consumption'!R22)*' Kwh area wise $ '!B21</f>
        <v>727.49999999997783</v>
      </c>
      <c r="K21" s="1">
        <f>('Kwh Consumption'!S22+'Kwh Consumption'!T22)*' Kwh area wise $ '!B21</f>
        <v>882.32250000005581</v>
      </c>
      <c r="L21" s="1">
        <f>'Kwh Consumption'!U22*' Kwh area wise $ '!B21</f>
        <v>34.499999999998465</v>
      </c>
      <c r="M21" s="1">
        <f>'Kwh Consumption'!V22*' Kwh area wise $ '!B21</f>
        <v>1021.1774999997842</v>
      </c>
    </row>
    <row r="22" spans="1:13" x14ac:dyDescent="0.3">
      <c r="A22" s="14">
        <f>'Kwh Reading'!A23</f>
        <v>44397</v>
      </c>
      <c r="B22" s="11">
        <f>TOTAL!F21</f>
        <v>0.15</v>
      </c>
      <c r="C22" s="11">
        <f>'Kwh Consumption'!B23*' Kwh area wise $ '!B22</f>
        <v>3780.0000000001091</v>
      </c>
      <c r="D22" s="1">
        <f>'Kwh Consumption'!C23*' Kwh area wise $ '!B22</f>
        <v>65.999999999999659</v>
      </c>
      <c r="E22" s="1">
        <f>'Kwh Consumption'!D23*' Kwh area wise $ '!B22</f>
        <v>404.99999999998869</v>
      </c>
      <c r="F22" s="1">
        <f>'Kwh Consumption'!E23*' Kwh area wise $ '!B22</f>
        <v>42.000000000000171</v>
      </c>
      <c r="G22" s="1">
        <f>('Kwh Consumption'!F23+'Kwh Consumption'!G23+'Kwh Consumption'!H23)*' Kwh area wise $ '!B22</f>
        <v>155.99999999999454</v>
      </c>
      <c r="H22" s="1">
        <f>('Kwh Consumption'!I23+'Kwh Consumption'!J23)*' Kwh area wise $ '!B22</f>
        <v>66.000000000001791</v>
      </c>
      <c r="I22" s="1">
        <f>('Kwh Consumption'!K23+'Kwh Consumption'!L23)*' Kwh area wise $ '!B22</f>
        <v>274.49999999999761</v>
      </c>
      <c r="J22" s="1">
        <f>('Kwh Consumption'!M23+'Kwh Consumption'!N23+'Kwh Consumption'!O23+'Kwh Consumption'!P23+'Kwh Consumption'!Q23+'Kwh Consumption'!R23)*' Kwh area wise $ '!B22</f>
        <v>783.00000000001251</v>
      </c>
      <c r="K22" s="1">
        <f>('Kwh Consumption'!S23+'Kwh Consumption'!T23)*' Kwh area wise $ '!B22</f>
        <v>975.75899999993851</v>
      </c>
      <c r="L22" s="1">
        <f>'Kwh Consumption'!U23*' Kwh area wise $ '!B22</f>
        <v>36.000000000001364</v>
      </c>
      <c r="M22" s="1">
        <f>'Kwh Consumption'!V23*' Kwh area wise $ '!B22</f>
        <v>975.74100000017495</v>
      </c>
    </row>
    <row r="23" spans="1:13" x14ac:dyDescent="0.3">
      <c r="A23" s="14">
        <f>'Kwh Reading'!A24</f>
        <v>44398</v>
      </c>
      <c r="B23" s="11">
        <f>TOTAL!F22</f>
        <v>0.15</v>
      </c>
      <c r="C23" s="11">
        <f>'Kwh Consumption'!B24*' Kwh area wise $ '!B23</f>
        <v>3449.9999999998636</v>
      </c>
      <c r="D23" s="1">
        <f>'Kwh Consumption'!C24*' Kwh area wise $ '!B23</f>
        <v>76.499999999998636</v>
      </c>
      <c r="E23" s="1">
        <f>'Kwh Consumption'!D24*' Kwh area wise $ '!B23</f>
        <v>360.00000000002694</v>
      </c>
      <c r="F23" s="1">
        <f>'Kwh Consumption'!E24*' Kwh area wise $ '!B23</f>
        <v>32.999999999999829</v>
      </c>
      <c r="G23" s="1">
        <f>('Kwh Consumption'!F24+'Kwh Consumption'!G24+'Kwh Consumption'!H24)*' Kwh area wise $ '!B23</f>
        <v>102.00000000000102</v>
      </c>
      <c r="H23" s="1">
        <f>('Kwh Consumption'!I24+'Kwh Consumption'!J24)*' Kwh area wise $ '!B23</f>
        <v>48.000000000001108</v>
      </c>
      <c r="I23" s="1">
        <f>('Kwh Consumption'!K24+'Kwh Consumption'!L24)*' Kwh area wise $ '!B23</f>
        <v>257.99999999999557</v>
      </c>
      <c r="J23" s="1">
        <f>('Kwh Consumption'!M24+'Kwh Consumption'!N24+'Kwh Consumption'!O24+'Kwh Consumption'!P24+'Kwh Consumption'!Q24+'Kwh Consumption'!R24)*' Kwh area wise $ '!B23</f>
        <v>694.49999999998226</v>
      </c>
      <c r="K23" s="1">
        <f>('Kwh Consumption'!S24+'Kwh Consumption'!T24)*' Kwh area wise $ '!B23</f>
        <v>915.09449999998321</v>
      </c>
      <c r="L23" s="1">
        <f>'Kwh Consumption'!U24*' Kwh area wise $ '!B23</f>
        <v>36.000000000001364</v>
      </c>
      <c r="M23" s="1">
        <f>'Kwh Consumption'!V24*' Kwh area wise $ '!B23</f>
        <v>926.90549999987377</v>
      </c>
    </row>
    <row r="24" spans="1:13" x14ac:dyDescent="0.3">
      <c r="A24" s="14">
        <f>'Kwh Reading'!A25</f>
        <v>44399</v>
      </c>
      <c r="B24" s="11">
        <f>TOTAL!F23</f>
        <v>0.15</v>
      </c>
      <c r="C24" s="11">
        <f>'Kwh Consumption'!B25*' Kwh area wise $ '!B24</f>
        <v>3675.0000000002042</v>
      </c>
      <c r="D24" s="1">
        <f>'Kwh Consumption'!C25*' Kwh area wise $ '!B24</f>
        <v>78.000000000005798</v>
      </c>
      <c r="E24" s="1">
        <f>'Kwh Consumption'!D25*' Kwh area wise $ '!B24</f>
        <v>404.99999999998869</v>
      </c>
      <c r="F24" s="1">
        <f>'Kwh Consumption'!E25*' Kwh area wise $ '!B24</f>
        <v>40.500000000001535</v>
      </c>
      <c r="G24" s="1">
        <f>('Kwh Consumption'!F25+'Kwh Consumption'!G25+'Kwh Consumption'!H25)*' Kwh area wise $ '!B24</f>
        <v>147.00000000000699</v>
      </c>
      <c r="H24" s="1">
        <f>('Kwh Consumption'!I25+'Kwh Consumption'!J25)*' Kwh area wise $ '!B24</f>
        <v>64.499999999998892</v>
      </c>
      <c r="I24" s="1">
        <f>('Kwh Consumption'!K25+'Kwh Consumption'!L25)*' Kwh area wise $ '!B24</f>
        <v>283.50000000000222</v>
      </c>
      <c r="J24" s="1">
        <f>('Kwh Consumption'!M25+'Kwh Consumption'!N25+'Kwh Consumption'!O25+'Kwh Consumption'!P25+'Kwh Consumption'!Q25+'Kwh Consumption'!R25)*' Kwh area wise $ '!B24</f>
        <v>780.00000000002387</v>
      </c>
      <c r="K24" s="1">
        <f>('Kwh Consumption'!S25+'Kwh Consumption'!T25)*' Kwh area wise $ '!B24</f>
        <v>976.72649999996645</v>
      </c>
      <c r="L24" s="1">
        <f>'Kwh Consumption'!U25*' Kwh area wise $ '!B24</f>
        <v>47.999999999998977</v>
      </c>
      <c r="M24" s="1">
        <f>'Kwh Consumption'!V25*' Kwh area wise $ '!B24</f>
        <v>851.7735000002109</v>
      </c>
    </row>
    <row r="25" spans="1:13" x14ac:dyDescent="0.3">
      <c r="A25" s="14">
        <f>'Kwh Reading'!A26</f>
        <v>44400</v>
      </c>
      <c r="B25" s="11">
        <f>TOTAL!F24</f>
        <v>0.15</v>
      </c>
      <c r="C25" s="11">
        <f>'Kwh Consumption'!B26*' Kwh area wise $ '!B25</f>
        <v>3334.4999999998322</v>
      </c>
      <c r="D25" s="1">
        <f>'Kwh Consumption'!C26*' Kwh area wise $ '!B25</f>
        <v>11.999999999997613</v>
      </c>
      <c r="E25" s="1">
        <f>'Kwh Consumption'!D26*' Kwh area wise $ '!B25</f>
        <v>374.99999999999199</v>
      </c>
      <c r="F25" s="1">
        <f>'Kwh Consumption'!E26*' Kwh area wise $ '!B25</f>
        <v>40.500000000001535</v>
      </c>
      <c r="G25" s="1">
        <f>('Kwh Consumption'!F26+'Kwh Consumption'!G26+'Kwh Consumption'!H26)*' Kwh area wise $ '!B25</f>
        <v>98.999999999995225</v>
      </c>
      <c r="H25" s="1">
        <f>('Kwh Consumption'!I26+'Kwh Consumption'!J26)*' Kwh area wise $ '!B25</f>
        <v>70.500000000001961</v>
      </c>
      <c r="I25" s="1">
        <f>('Kwh Consumption'!K26+'Kwh Consumption'!L26)*' Kwh area wise $ '!B25</f>
        <v>241.50000000001057</v>
      </c>
      <c r="J25" s="1">
        <f>('Kwh Consumption'!M26+'Kwh Consumption'!N26+'Kwh Consumption'!O26+'Kwh Consumption'!P26+'Kwh Consumption'!Q26+'Kwh Consumption'!R26)*' Kwh area wise $ '!B25</f>
        <v>626.9999999999925</v>
      </c>
      <c r="K25" s="1">
        <f>('Kwh Consumption'!S26+'Kwh Consumption'!T26)*' Kwh area wise $ '!B25</f>
        <v>736.18650000002231</v>
      </c>
      <c r="L25" s="1">
        <f>'Kwh Consumption'!U26*' Kwh area wise $ '!B25</f>
        <v>38.999999999998636</v>
      </c>
      <c r="M25" s="1">
        <f>'Kwh Consumption'!V26*' Kwh area wise $ '!B25</f>
        <v>1093.8134999998199</v>
      </c>
    </row>
    <row r="26" spans="1:13" x14ac:dyDescent="0.3">
      <c r="A26" s="14">
        <f>'Kwh Reading'!A27</f>
        <v>44401</v>
      </c>
      <c r="B26" s="11">
        <f>TOTAL!F25</f>
        <v>0.15</v>
      </c>
      <c r="C26" s="11">
        <f>'Kwh Consumption'!B27*' Kwh area wise $ '!B26</f>
        <v>3375.0000000001023</v>
      </c>
      <c r="D26" s="1">
        <f>'Kwh Consumption'!C27*' Kwh area wise $ '!B26</f>
        <v>113.99999999999864</v>
      </c>
      <c r="E26" s="1">
        <f>'Kwh Consumption'!D27*' Kwh area wise $ '!B26</f>
        <v>390.00000000002365</v>
      </c>
      <c r="F26" s="1">
        <f>'Kwh Consumption'!E27*' Kwh area wise $ '!B26</f>
        <v>37.5</v>
      </c>
      <c r="G26" s="1">
        <f>('Kwh Consumption'!F27+'Kwh Consumption'!G27+'Kwh Consumption'!H27)*' Kwh area wise $ '!B26</f>
        <v>127.49999999999488</v>
      </c>
      <c r="H26" s="1">
        <f>('Kwh Consumption'!I27+'Kwh Consumption'!J27)*' Kwh area wise $ '!B26</f>
        <v>35.999999999999233</v>
      </c>
      <c r="I26" s="1">
        <f>('Kwh Consumption'!K27+'Kwh Consumption'!L27)*' Kwh area wise $ '!B26</f>
        <v>257.99999999999557</v>
      </c>
      <c r="J26" s="1">
        <f>('Kwh Consumption'!M27+'Kwh Consumption'!N27+'Kwh Consumption'!O27+'Kwh Consumption'!P27+'Kwh Consumption'!Q27+'Kwh Consumption'!R27)*' Kwh area wise $ '!B26</f>
        <v>658.50000000000648</v>
      </c>
      <c r="K26" s="1">
        <f>('Kwh Consumption'!S27+'Kwh Consumption'!T27)*' Kwh area wise $ '!B26</f>
        <v>853.98150000013413</v>
      </c>
      <c r="L26" s="1">
        <f>'Kwh Consumption'!U27*' Kwh area wise $ '!B26</f>
        <v>38.999999999998636</v>
      </c>
      <c r="M26" s="1">
        <f>'Kwh Consumption'!V27*' Kwh area wise $ '!B26</f>
        <v>860.51849999995102</v>
      </c>
    </row>
    <row r="27" spans="1:13" x14ac:dyDescent="0.3">
      <c r="A27" s="14">
        <f>'Kwh Reading'!A28</f>
        <v>44402</v>
      </c>
      <c r="B27" s="11">
        <f>TOTAL!F26</f>
        <v>0.15</v>
      </c>
      <c r="C27" s="11">
        <f>'Kwh Consumption'!B28*' Kwh area wise $ '!B27</f>
        <v>3348.0000000000587</v>
      </c>
      <c r="D27" s="1">
        <f>'Kwh Consumption'!C28*' Kwh area wise $ '!B27</f>
        <v>67.499999999998295</v>
      </c>
      <c r="E27" s="1">
        <f>'Kwh Consumption'!D28*' Kwh area wise $ '!B27</f>
        <v>374.99999999999199</v>
      </c>
      <c r="F27" s="1">
        <f>'Kwh Consumption'!E28*' Kwh area wise $ '!B27</f>
        <v>38.999999999998636</v>
      </c>
      <c r="G27" s="1">
        <f>('Kwh Consumption'!F28+'Kwh Consumption'!G28+'Kwh Consumption'!H28)*' Kwh area wise $ '!B27</f>
        <v>159.0000000000046</v>
      </c>
      <c r="H27" s="1">
        <f>('Kwh Consumption'!I28+'Kwh Consumption'!J28)*' Kwh area wise $ '!B27</f>
        <v>62.999999999998124</v>
      </c>
      <c r="I27" s="1">
        <f>('Kwh Consumption'!K28+'Kwh Consumption'!L28)*' Kwh area wise $ '!B27</f>
        <v>226.50000000000716</v>
      </c>
      <c r="J27" s="1">
        <f>('Kwh Consumption'!M28+'Kwh Consumption'!N28+'Kwh Consumption'!O28+'Kwh Consumption'!P28+'Kwh Consumption'!Q28+'Kwh Consumption'!R28)*' Kwh area wise $ '!B27</f>
        <v>509.99999999996248</v>
      </c>
      <c r="K27" s="1">
        <f>('Kwh Consumption'!S28+'Kwh Consumption'!T28)*' Kwh area wise $ '!B27</f>
        <v>887.14799999990498</v>
      </c>
      <c r="L27" s="1">
        <f>'Kwh Consumption'!U28*' Kwh area wise $ '!B27</f>
        <v>39.000000000002899</v>
      </c>
      <c r="M27" s="1">
        <f>'Kwh Consumption'!V28*' Kwh area wise $ '!B27</f>
        <v>981.85200000018938</v>
      </c>
    </row>
    <row r="28" spans="1:13" x14ac:dyDescent="0.3">
      <c r="A28" s="14">
        <f>'Kwh Reading'!A29</f>
        <v>44403</v>
      </c>
      <c r="B28" s="11">
        <f>TOTAL!F27</f>
        <v>0.15</v>
      </c>
      <c r="C28" s="11">
        <f>'Kwh Consumption'!B29*' Kwh area wise $ '!B28</f>
        <v>3163.5000000000218</v>
      </c>
      <c r="D28" s="1">
        <f>'Kwh Consumption'!C29*' Kwh area wise $ '!B28</f>
        <v>87.000000000006139</v>
      </c>
      <c r="E28" s="1">
        <f>'Kwh Consumption'!D29*' Kwh area wise $ '!B28</f>
        <v>374.99999999999199</v>
      </c>
      <c r="F28" s="1">
        <f>'Kwh Consumption'!E29*' Kwh area wise $ '!B28</f>
        <v>36.000000000001364</v>
      </c>
      <c r="G28" s="1">
        <f>('Kwh Consumption'!F29+'Kwh Consumption'!G29+'Kwh Consumption'!H29)*' Kwh area wise $ '!B28</f>
        <v>121.49999999999608</v>
      </c>
      <c r="H28" s="1">
        <f>('Kwh Consumption'!I29+'Kwh Consumption'!J29)*' Kwh area wise $ '!B28</f>
        <v>61.499999999999488</v>
      </c>
      <c r="I28" s="1">
        <f>('Kwh Consumption'!K29+'Kwh Consumption'!L29)*' Kwh area wise $ '!B28</f>
        <v>238.49999999999199</v>
      </c>
      <c r="J28" s="1">
        <f>('Kwh Consumption'!M29+'Kwh Consumption'!N29+'Kwh Consumption'!O29+'Kwh Consumption'!P29+'Kwh Consumption'!Q29+'Kwh Consumption'!R29)*' Kwh area wise $ '!B28</f>
        <v>738.00000000003649</v>
      </c>
      <c r="K28" s="1">
        <f>('Kwh Consumption'!S29+'Kwh Consumption'!T29)*' Kwh area wise $ '!B28</f>
        <v>763.89150000005031</v>
      </c>
      <c r="L28" s="1">
        <f>'Kwh Consumption'!U29*' Kwh area wise $ '!B28</f>
        <v>35.999999999997101</v>
      </c>
      <c r="M28" s="1">
        <f>'Kwh Consumption'!V29*' Kwh area wise $ '!B28</f>
        <v>706.10849999995082</v>
      </c>
    </row>
    <row r="29" spans="1:13" x14ac:dyDescent="0.3">
      <c r="A29" s="14">
        <f>'Kwh Reading'!A30</f>
        <v>44404</v>
      </c>
      <c r="B29" s="11">
        <f>TOTAL!F28</f>
        <v>0.15</v>
      </c>
      <c r="C29" s="11">
        <f>'Kwh Consumption'!B30*' Kwh area wise $ '!B29</f>
        <v>3271.4999999998208</v>
      </c>
      <c r="D29" s="1">
        <f>'Kwh Consumption'!C30*' Kwh area wise $ '!B29</f>
        <v>61.499999999995225</v>
      </c>
      <c r="E29" s="1">
        <f>'Kwh Consumption'!D30*' Kwh area wise $ '!B29</f>
        <v>330.0000000000303</v>
      </c>
      <c r="F29" s="1">
        <f>'Kwh Consumption'!E30*' Kwh area wise $ '!B29</f>
        <v>38.999999999998636</v>
      </c>
      <c r="G29" s="1">
        <f>('Kwh Consumption'!F30+'Kwh Consumption'!G30+'Kwh Consumption'!H30)*' Kwh area wise $ '!B29</f>
        <v>120.00000000000597</v>
      </c>
      <c r="H29" s="1">
        <f>('Kwh Consumption'!I30+'Kwh Consumption'!J30)*' Kwh area wise $ '!B29</f>
        <v>64.500000000003155</v>
      </c>
      <c r="I29" s="1">
        <f>('Kwh Consumption'!K30+'Kwh Consumption'!L30)*' Kwh area wise $ '!B29</f>
        <v>222.00000000000699</v>
      </c>
      <c r="J29" s="1">
        <f>('Kwh Consumption'!M30+'Kwh Consumption'!N30+'Kwh Consumption'!O30+'Kwh Consumption'!P30+'Kwh Consumption'!Q30+'Kwh Consumption'!R30)*' Kwh area wise $ '!B29</f>
        <v>608.99999999999181</v>
      </c>
      <c r="K29" s="1">
        <f>('Kwh Consumption'!S30+'Kwh Consumption'!T30)*' Kwh area wise $ '!B29</f>
        <v>780.59549999996091</v>
      </c>
      <c r="L29" s="1">
        <f>'Kwh Consumption'!U30*' Kwh area wise $ '!B29</f>
        <v>34.500000000002728</v>
      </c>
      <c r="M29" s="1">
        <f>'Kwh Consumption'!V30*' Kwh area wise $ '!B29</f>
        <v>1010.4044999998251</v>
      </c>
    </row>
    <row r="30" spans="1:13" x14ac:dyDescent="0.3">
      <c r="A30" s="14">
        <f>'Kwh Reading'!A31</f>
        <v>44405</v>
      </c>
      <c r="B30" s="11">
        <f>TOTAL!F29</f>
        <v>0.15</v>
      </c>
      <c r="C30" s="11">
        <f>'Kwh Consumption'!B31*' Kwh area wise $ '!B30</f>
        <v>3123.000000000161</v>
      </c>
      <c r="D30" s="1">
        <f>'Kwh Consumption'!C31*' Kwh area wise $ '!B30</f>
        <v>93.000000000000682</v>
      </c>
      <c r="E30" s="1">
        <f>'Kwh Consumption'!D31*' Kwh area wise $ '!B30</f>
        <v>344.99999999999528</v>
      </c>
      <c r="F30" s="1">
        <f>'Kwh Consumption'!E31*' Kwh area wise $ '!B30</f>
        <v>36.000000000001364</v>
      </c>
      <c r="G30" s="1">
        <f>('Kwh Consumption'!F31+'Kwh Consumption'!G31+'Kwh Consumption'!H31)*' Kwh area wise $ '!B30</f>
        <v>125.99999999999625</v>
      </c>
      <c r="H30" s="1">
        <f>('Kwh Consumption'!I31+'Kwh Consumption'!J31)*' Kwh area wise $ '!B30</f>
        <v>65.999999999999659</v>
      </c>
      <c r="I30" s="1">
        <f>('Kwh Consumption'!K31+'Kwh Consumption'!L31)*' Kwh area wise $ '!B30</f>
        <v>188.99999999999864</v>
      </c>
      <c r="J30" s="1">
        <f>('Kwh Consumption'!M31+'Kwh Consumption'!N31+'Kwh Consumption'!O31+'Kwh Consumption'!P31+'Kwh Consumption'!Q31+'Kwh Consumption'!R31)*' Kwh area wise $ '!B30</f>
        <v>562.5</v>
      </c>
      <c r="K30" s="1">
        <f>('Kwh Consumption'!S31+'Kwh Consumption'!T31)*' Kwh area wise $ '!B30</f>
        <v>697.53750000000002</v>
      </c>
      <c r="L30" s="1">
        <f>'Kwh Consumption'!U31*' Kwh area wise $ '!B30</f>
        <v>29.999999999998295</v>
      </c>
      <c r="M30" s="1">
        <f>'Kwh Consumption'!V31*' Kwh area wise $ '!B30</f>
        <v>977.96250000017073</v>
      </c>
    </row>
    <row r="31" spans="1:13" x14ac:dyDescent="0.3">
      <c r="A31" s="14">
        <f>'Kwh Reading'!A32</f>
        <v>44406</v>
      </c>
      <c r="B31" s="11">
        <f>TOTAL!F30</f>
        <v>0.15</v>
      </c>
      <c r="C31" s="11">
        <f>'Kwh Consumption'!B32*' Kwh area wise $ '!B31</f>
        <v>3259.4999999999682</v>
      </c>
      <c r="D31" s="1">
        <f>'Kwh Consumption'!C32*' Kwh area wise $ '!B31</f>
        <v>56.999999999999318</v>
      </c>
      <c r="E31" s="1">
        <f>'Kwh Consumption'!D32*' Kwh area wise $ '!B31</f>
        <v>359.99999999996038</v>
      </c>
      <c r="F31" s="1">
        <f>'Kwh Consumption'!E32*' Kwh area wise $ '!B31</f>
        <v>37.5</v>
      </c>
      <c r="G31" s="1">
        <f>('Kwh Consumption'!F32+'Kwh Consumption'!G32+'Kwh Consumption'!H32)*' Kwh area wise $ '!B31</f>
        <v>126.00000000000051</v>
      </c>
      <c r="H31" s="1">
        <f>('Kwh Consumption'!I32+'Kwh Consumption'!J32)*' Kwh area wise $ '!B31</f>
        <v>64.500000000001023</v>
      </c>
      <c r="I31" s="1">
        <f>('Kwh Consumption'!K32+'Kwh Consumption'!L32)*' Kwh area wise $ '!B31</f>
        <v>274.50000000000188</v>
      </c>
      <c r="J31" s="1">
        <f>('Kwh Consumption'!M32+'Kwh Consumption'!N32+'Kwh Consumption'!O32+'Kwh Consumption'!P32+'Kwh Consumption'!Q32+'Kwh Consumption'!R32)*' Kwh area wise $ '!B31</f>
        <v>635.99999999999284</v>
      </c>
      <c r="K31" s="1">
        <f>('Kwh Consumption'!S32+'Kwh Consumption'!T32)*' Kwh area wise $ '!B31</f>
        <v>-1018545.8579999999</v>
      </c>
      <c r="L31" s="1">
        <f>'Kwh Consumption'!U32*' Kwh area wise $ '!B31</f>
        <v>31.500000000001194</v>
      </c>
      <c r="M31" s="1">
        <f>'Kwh Consumption'!V32*' Kwh area wise $ '!B31</f>
        <v>1020218.3579999999</v>
      </c>
    </row>
    <row r="32" spans="1:13" x14ac:dyDescent="0.3">
      <c r="A32" s="14">
        <f>'Kwh Reading'!A33</f>
        <v>44407</v>
      </c>
      <c r="B32" s="11">
        <f>TOTAL!F31</f>
        <v>0.15</v>
      </c>
      <c r="C32" s="11">
        <f>'Kwh Consumption'!B33*' Kwh area wise $ '!B32</f>
        <v>3254.9999999998363</v>
      </c>
      <c r="D32" s="1">
        <f>'Kwh Consumption'!C33*' Kwh area wise $ '!B32</f>
        <v>34.500000000002728</v>
      </c>
      <c r="E32" s="1">
        <f>'Kwh Consumption'!D33*' Kwh area wise $ '!B32</f>
        <v>374.99999999999199</v>
      </c>
      <c r="F32" s="1">
        <f>'Kwh Consumption'!E33*' Kwh area wise $ '!B32</f>
        <v>34.499999999998465</v>
      </c>
      <c r="G32" s="1">
        <f>('Kwh Consumption'!F33+'Kwh Consumption'!G33+'Kwh Consumption'!H33)*' Kwh area wise $ '!B32</f>
        <v>130.50000000000068</v>
      </c>
      <c r="H32" s="1">
        <f>('Kwh Consumption'!I33+'Kwh Consumption'!J33)*' Kwh area wise $ '!B32</f>
        <v>56.999999999999318</v>
      </c>
      <c r="I32" s="1">
        <f>('Kwh Consumption'!K33+'Kwh Consumption'!L33)*' Kwh area wise $ '!B32</f>
        <v>279.00000000000205</v>
      </c>
      <c r="J32" s="1">
        <f>('Kwh Consumption'!M33+'Kwh Consumption'!N33+'Kwh Consumption'!O33+'Kwh Consumption'!P33+'Kwh Consumption'!Q33+'Kwh Consumption'!R33)*' Kwh area wise $ '!B32</f>
        <v>613.50000000000477</v>
      </c>
      <c r="K32" s="1">
        <f>('Kwh Consumption'!S33+'Kwh Consumption'!T33)*' Kwh area wise $ '!B32</f>
        <v>1020032.6805</v>
      </c>
      <c r="L32" s="1">
        <f>'Kwh Consumption'!U33*' Kwh area wise $ '!B32</f>
        <v>32.999999999999829</v>
      </c>
      <c r="M32" s="1">
        <f>'Kwh Consumption'!V33*' Kwh area wise $ '!B32</f>
        <v>-1018334.6805000001</v>
      </c>
    </row>
    <row r="33" spans="1:14" x14ac:dyDescent="0.3">
      <c r="A33" s="14">
        <f>'Kwh Reading'!A34</f>
        <v>44408</v>
      </c>
      <c r="B33" s="11">
        <f>TOTAL!F32</f>
        <v>0.15</v>
      </c>
      <c r="C33" s="11">
        <f>'Kwh Consumption'!B34*' Kwh area wise $ '!B33</f>
        <v>3288.0000000000791</v>
      </c>
      <c r="D33" s="1">
        <f>'Kwh Consumption'!C34*' Kwh area wise $ '!B33</f>
        <v>76.499999999998636</v>
      </c>
      <c r="E33" s="1">
        <f>'Kwh Consumption'!D34*' Kwh area wise $ '!B33</f>
        <v>360.00000000002694</v>
      </c>
      <c r="F33" s="1">
        <f>'Kwh Consumption'!E34*' Kwh area wise $ '!B33</f>
        <v>34.499999999998465</v>
      </c>
      <c r="G33" s="1">
        <f>('Kwh Consumption'!F34+'Kwh Consumption'!G34+'Kwh Consumption'!H34)*' Kwh area wise $ '!B33</f>
        <v>112.5</v>
      </c>
      <c r="H33" s="1">
        <f>('Kwh Consumption'!I34+'Kwh Consumption'!J34)*' Kwh area wise $ '!B33</f>
        <v>49.499999999997613</v>
      </c>
      <c r="I33" s="1">
        <f>('Kwh Consumption'!K34+'Kwh Consumption'!L34)*' Kwh area wise $ '!B33</f>
        <v>257.99999999999557</v>
      </c>
      <c r="J33" s="1">
        <f>('Kwh Consumption'!M34+'Kwh Consumption'!N34+'Kwh Consumption'!O34+'Kwh Consumption'!P34+'Kwh Consumption'!Q34+'Kwh Consumption'!R34)*' Kwh area wise $ '!B33</f>
        <v>618.00000000000921</v>
      </c>
      <c r="K33" s="1">
        <f>('Kwh Consumption'!S34+'Kwh Consumption'!T34)*' Kwh area wise $ '!B33</f>
        <v>768.50399999991055</v>
      </c>
      <c r="L33" s="1">
        <f>'Kwh Consumption'!U34*' Kwh area wise $ '!B33</f>
        <v>27.000000000001023</v>
      </c>
      <c r="M33" s="1">
        <f>'Kwh Consumption'!V34*' Kwh area wise $ '!B33</f>
        <v>983.49600000014061</v>
      </c>
    </row>
    <row r="34" spans="1:14" ht="15.6" x14ac:dyDescent="0.3">
      <c r="A34" s="126" t="s">
        <v>53</v>
      </c>
      <c r="B34" s="126"/>
      <c r="C34" s="69">
        <f t="shared" ref="C34:L34" si="0">SUM(C3:C33)</f>
        <v>106096.50000000004</v>
      </c>
      <c r="D34" s="69">
        <f t="shared" si="0"/>
        <v>2136.0000000000014</v>
      </c>
      <c r="E34" s="69">
        <f t="shared" si="0"/>
        <v>11280.000000000025</v>
      </c>
      <c r="F34" s="69">
        <f t="shared" si="0"/>
        <v>1114.4999999999966</v>
      </c>
      <c r="G34" s="69">
        <f t="shared" si="0"/>
        <v>3407.9999999999991</v>
      </c>
      <c r="H34" s="69">
        <f t="shared" si="0"/>
        <v>1927.5000000000014</v>
      </c>
      <c r="I34" s="69">
        <f t="shared" si="0"/>
        <v>7809.0000000000136</v>
      </c>
      <c r="J34" s="69">
        <f t="shared" si="0"/>
        <v>21049.500000000007</v>
      </c>
      <c r="K34" s="69">
        <f t="shared" si="0"/>
        <v>26164.149000000045</v>
      </c>
      <c r="L34" s="69">
        <f t="shared" si="0"/>
        <v>1066.5000000000018</v>
      </c>
      <c r="M34" s="69">
        <f>SUM(M3:M33)</f>
        <v>30141.35099999989</v>
      </c>
      <c r="N34" s="78">
        <f>D34+E34+F34+G34+H34+I34+J34+K34+L34+M34</f>
        <v>106096.49999999999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34" sqref="R34"/>
    </sheetView>
  </sheetViews>
  <sheetFormatPr defaultColWidth="9.109375" defaultRowHeight="14.4" x14ac:dyDescent="0.3"/>
  <cols>
    <col min="1" max="1" width="12.44140625" style="10" customWidth="1"/>
    <col min="2" max="2" width="14.33203125" style="10" customWidth="1"/>
    <col min="3" max="3" width="12.44140625" style="10" customWidth="1"/>
    <col min="4" max="14" width="10.88671875" style="10" customWidth="1"/>
    <col min="15" max="15" width="14.33203125" style="10" customWidth="1"/>
    <col min="16" max="18" width="10.88671875" style="10" customWidth="1"/>
    <col min="19" max="16384" width="9.109375" style="10"/>
  </cols>
  <sheetData>
    <row r="1" spans="1:21" ht="15" thickBot="1" x14ac:dyDescent="0.35">
      <c r="B1" s="47" t="s">
        <v>75</v>
      </c>
      <c r="C1" s="47" t="s">
        <v>76</v>
      </c>
      <c r="D1" s="47" t="s">
        <v>77</v>
      </c>
      <c r="E1" s="47" t="s">
        <v>78</v>
      </c>
      <c r="F1" s="47" t="s">
        <v>79</v>
      </c>
      <c r="G1" s="47" t="s">
        <v>80</v>
      </c>
      <c r="H1" s="47" t="s">
        <v>81</v>
      </c>
      <c r="I1" s="47" t="s">
        <v>82</v>
      </c>
      <c r="J1" s="47" t="s">
        <v>83</v>
      </c>
      <c r="K1" s="47" t="s">
        <v>84</v>
      </c>
      <c r="L1" s="47" t="s">
        <v>85</v>
      </c>
      <c r="M1" s="47" t="s">
        <v>86</v>
      </c>
      <c r="N1" s="47" t="s">
        <v>87</v>
      </c>
      <c r="O1" s="47" t="s">
        <v>88</v>
      </c>
      <c r="P1" s="47" t="s">
        <v>89</v>
      </c>
      <c r="Q1" s="47" t="s">
        <v>90</v>
      </c>
      <c r="R1" s="47" t="s">
        <v>91</v>
      </c>
    </row>
    <row r="2" spans="1:21" s="51" customFormat="1" ht="29.4" thickTop="1" x14ac:dyDescent="0.3">
      <c r="A2" s="48" t="s">
        <v>32</v>
      </c>
      <c r="B2" s="49" t="s">
        <v>92</v>
      </c>
      <c r="C2" s="49" t="s">
        <v>93</v>
      </c>
      <c r="D2" s="50" t="s">
        <v>94</v>
      </c>
      <c r="E2" s="50" t="s">
        <v>95</v>
      </c>
      <c r="F2" s="50" t="s">
        <v>96</v>
      </c>
      <c r="G2" s="50" t="s">
        <v>97</v>
      </c>
      <c r="H2" s="50" t="s">
        <v>98</v>
      </c>
      <c r="I2" s="50" t="s">
        <v>99</v>
      </c>
      <c r="J2" s="50" t="s">
        <v>100</v>
      </c>
      <c r="K2" s="50" t="s">
        <v>101</v>
      </c>
      <c r="L2" s="50" t="s">
        <v>102</v>
      </c>
      <c r="M2" s="50" t="s">
        <v>103</v>
      </c>
      <c r="N2" s="50" t="s">
        <v>104</v>
      </c>
      <c r="O2" s="50" t="s">
        <v>105</v>
      </c>
      <c r="P2" s="50" t="s">
        <v>106</v>
      </c>
      <c r="Q2" s="50" t="s">
        <v>107</v>
      </c>
      <c r="R2" s="50" t="s">
        <v>108</v>
      </c>
    </row>
    <row r="3" spans="1:21" x14ac:dyDescent="0.3">
      <c r="A3" s="52">
        <v>44378</v>
      </c>
      <c r="B3" s="31">
        <v>169330</v>
      </c>
      <c r="C3" s="53">
        <v>128135</v>
      </c>
      <c r="D3" s="31">
        <v>209296</v>
      </c>
      <c r="E3" s="31">
        <v>247852</v>
      </c>
      <c r="F3" s="31">
        <v>66928</v>
      </c>
      <c r="G3" s="31">
        <v>111641</v>
      </c>
      <c r="H3" s="31">
        <v>52942</v>
      </c>
      <c r="I3" s="31">
        <v>63628</v>
      </c>
      <c r="J3" s="31">
        <v>20282</v>
      </c>
      <c r="K3" s="31">
        <v>1024</v>
      </c>
      <c r="L3" s="31">
        <v>17229</v>
      </c>
      <c r="M3" s="31">
        <v>24158</v>
      </c>
      <c r="N3" s="31">
        <v>7292</v>
      </c>
      <c r="O3" s="31">
        <v>1670</v>
      </c>
      <c r="P3" s="31">
        <v>27014</v>
      </c>
      <c r="Q3" s="31">
        <v>641.5</v>
      </c>
      <c r="R3" s="31">
        <v>6229</v>
      </c>
    </row>
    <row r="4" spans="1:21" x14ac:dyDescent="0.3">
      <c r="A4" s="52">
        <v>44379</v>
      </c>
      <c r="B4" s="53">
        <v>169882</v>
      </c>
      <c r="C4" s="53">
        <v>128197</v>
      </c>
      <c r="D4" s="31">
        <v>209425</v>
      </c>
      <c r="E4" s="31">
        <v>247907</v>
      </c>
      <c r="F4" s="31">
        <v>66929</v>
      </c>
      <c r="G4" s="31">
        <v>111656</v>
      </c>
      <c r="H4" s="31">
        <v>52967</v>
      </c>
      <c r="I4" s="31">
        <v>63657</v>
      </c>
      <c r="J4" s="31">
        <v>20302</v>
      </c>
      <c r="K4" s="31">
        <v>1024</v>
      </c>
      <c r="L4" s="31">
        <v>17236</v>
      </c>
      <c r="M4" s="31">
        <v>24174</v>
      </c>
      <c r="N4" s="31">
        <v>7298</v>
      </c>
      <c r="O4" s="31">
        <v>1671</v>
      </c>
      <c r="P4" s="31">
        <v>27027</v>
      </c>
      <c r="Q4" s="31">
        <v>649.29999999999995</v>
      </c>
      <c r="R4" s="31">
        <v>6233</v>
      </c>
    </row>
    <row r="5" spans="1:21" x14ac:dyDescent="0.3">
      <c r="A5" s="52">
        <v>44380</v>
      </c>
      <c r="B5" s="31">
        <v>170086</v>
      </c>
      <c r="C5" s="31">
        <v>128487</v>
      </c>
      <c r="D5" s="31">
        <v>209595</v>
      </c>
      <c r="E5" s="31">
        <v>247966</v>
      </c>
      <c r="F5" s="31">
        <v>66931</v>
      </c>
      <c r="G5" s="31">
        <v>111672</v>
      </c>
      <c r="H5" s="31">
        <v>53006</v>
      </c>
      <c r="I5" s="31">
        <v>63668</v>
      </c>
      <c r="J5" s="31">
        <v>20322</v>
      </c>
      <c r="K5" s="31">
        <v>1024</v>
      </c>
      <c r="L5" s="31">
        <v>17244</v>
      </c>
      <c r="M5" s="31">
        <v>24188</v>
      </c>
      <c r="N5" s="31">
        <v>7304</v>
      </c>
      <c r="O5" s="31">
        <v>1672</v>
      </c>
      <c r="P5" s="31">
        <v>27027</v>
      </c>
      <c r="Q5" s="31">
        <v>652</v>
      </c>
      <c r="R5" s="31">
        <v>6234</v>
      </c>
    </row>
    <row r="6" spans="1:21" x14ac:dyDescent="0.3">
      <c r="A6" s="52">
        <v>44381</v>
      </c>
      <c r="B6" s="53">
        <v>170694</v>
      </c>
      <c r="C6" s="53">
        <v>128594</v>
      </c>
      <c r="D6" s="31">
        <v>209781</v>
      </c>
      <c r="E6" s="31">
        <v>248016</v>
      </c>
      <c r="F6" s="31">
        <v>66932</v>
      </c>
      <c r="G6" s="31">
        <v>111683</v>
      </c>
      <c r="H6" s="31">
        <v>53031</v>
      </c>
      <c r="I6" s="31">
        <v>63693</v>
      </c>
      <c r="J6" s="31">
        <v>20341</v>
      </c>
      <c r="K6" s="31">
        <v>1024</v>
      </c>
      <c r="L6" s="31">
        <v>17250</v>
      </c>
      <c r="M6" s="31">
        <v>24204</v>
      </c>
      <c r="N6" s="31">
        <v>7309</v>
      </c>
      <c r="O6" s="31">
        <v>1673</v>
      </c>
      <c r="P6" s="31">
        <v>27040</v>
      </c>
      <c r="Q6" s="31">
        <v>657</v>
      </c>
      <c r="R6" s="31">
        <v>6238</v>
      </c>
    </row>
    <row r="7" spans="1:21" x14ac:dyDescent="0.3">
      <c r="A7" s="52">
        <v>44382</v>
      </c>
      <c r="B7" s="53">
        <v>171066</v>
      </c>
      <c r="C7" s="31">
        <v>128664</v>
      </c>
      <c r="D7" s="31">
        <v>209876</v>
      </c>
      <c r="E7" s="31">
        <v>248084</v>
      </c>
      <c r="F7" s="31">
        <v>66933</v>
      </c>
      <c r="G7" s="31">
        <v>111699</v>
      </c>
      <c r="H7" s="31">
        <v>53072</v>
      </c>
      <c r="I7" s="31">
        <v>63718</v>
      </c>
      <c r="J7" s="31">
        <v>20357</v>
      </c>
      <c r="K7" s="31">
        <v>1024</v>
      </c>
      <c r="L7" s="31">
        <v>17257</v>
      </c>
      <c r="M7" s="31">
        <v>24218</v>
      </c>
      <c r="N7" s="31">
        <v>7315</v>
      </c>
      <c r="O7" s="31">
        <v>1674</v>
      </c>
      <c r="P7" s="31">
        <v>27049</v>
      </c>
      <c r="Q7" s="31">
        <v>662</v>
      </c>
      <c r="R7" s="31">
        <v>6242</v>
      </c>
    </row>
    <row r="8" spans="1:21" x14ac:dyDescent="0.3">
      <c r="A8" s="52">
        <v>44383</v>
      </c>
      <c r="B8" s="31">
        <v>171066</v>
      </c>
      <c r="C8" s="53">
        <v>129174</v>
      </c>
      <c r="D8" s="31">
        <v>209994</v>
      </c>
      <c r="E8" s="31">
        <v>248146</v>
      </c>
      <c r="F8" s="31">
        <v>66933</v>
      </c>
      <c r="G8" s="31">
        <v>111715</v>
      </c>
      <c r="H8" s="31">
        <v>53105</v>
      </c>
      <c r="I8" s="31">
        <v>63743</v>
      </c>
      <c r="J8" s="31">
        <v>20368</v>
      </c>
      <c r="K8" s="31">
        <v>1024</v>
      </c>
      <c r="L8" s="31">
        <v>17264</v>
      </c>
      <c r="M8" s="31">
        <v>24236</v>
      </c>
      <c r="N8" s="31">
        <v>7320</v>
      </c>
      <c r="O8" s="31">
        <v>1675</v>
      </c>
      <c r="P8" s="31">
        <v>27061</v>
      </c>
      <c r="Q8" s="31">
        <v>672</v>
      </c>
      <c r="R8" s="31">
        <v>6245</v>
      </c>
    </row>
    <row r="9" spans="1:21" x14ac:dyDescent="0.3">
      <c r="A9" s="52">
        <v>44384</v>
      </c>
      <c r="B9" s="53">
        <v>171066</v>
      </c>
      <c r="C9" s="31">
        <v>129174</v>
      </c>
      <c r="D9" s="31">
        <v>210091</v>
      </c>
      <c r="E9" s="31">
        <v>248213</v>
      </c>
      <c r="F9" s="31">
        <v>66936</v>
      </c>
      <c r="G9" s="31">
        <v>111728</v>
      </c>
      <c r="H9" s="31">
        <v>53144</v>
      </c>
      <c r="I9" s="31">
        <v>63773</v>
      </c>
      <c r="J9" s="31">
        <v>20379</v>
      </c>
      <c r="K9" s="31">
        <v>1024</v>
      </c>
      <c r="L9" s="31">
        <v>17271</v>
      </c>
      <c r="M9" s="31">
        <v>24248</v>
      </c>
      <c r="N9" s="31">
        <v>7333</v>
      </c>
      <c r="O9" s="31">
        <v>1675</v>
      </c>
      <c r="P9" s="31">
        <v>27075</v>
      </c>
      <c r="Q9" s="31">
        <v>677</v>
      </c>
      <c r="R9" s="31">
        <v>6249</v>
      </c>
    </row>
    <row r="10" spans="1:21" x14ac:dyDescent="0.3">
      <c r="A10" s="52">
        <v>44385</v>
      </c>
      <c r="B10" s="31">
        <v>171066</v>
      </c>
      <c r="C10" s="53">
        <v>129442</v>
      </c>
      <c r="D10" s="31">
        <v>210185</v>
      </c>
      <c r="E10" s="31">
        <v>248276</v>
      </c>
      <c r="F10" s="31">
        <v>66937</v>
      </c>
      <c r="G10" s="31">
        <v>111743</v>
      </c>
      <c r="H10" s="31">
        <v>53170</v>
      </c>
      <c r="I10" s="31">
        <v>63784</v>
      </c>
      <c r="J10" s="31">
        <v>20391</v>
      </c>
      <c r="K10" s="31">
        <v>1024</v>
      </c>
      <c r="L10" s="31">
        <v>17278</v>
      </c>
      <c r="M10" s="31">
        <v>24264</v>
      </c>
      <c r="N10" s="31">
        <v>7341</v>
      </c>
      <c r="O10" s="31">
        <v>1676</v>
      </c>
      <c r="P10" s="31">
        <v>27075</v>
      </c>
      <c r="Q10" s="31">
        <v>689</v>
      </c>
      <c r="R10" s="31">
        <v>6253</v>
      </c>
    </row>
    <row r="11" spans="1:21" x14ac:dyDescent="0.3">
      <c r="A11" s="52">
        <v>44386</v>
      </c>
      <c r="B11" s="53">
        <v>171066</v>
      </c>
      <c r="C11" s="31">
        <v>129507</v>
      </c>
      <c r="D11" s="31">
        <v>210285</v>
      </c>
      <c r="E11" s="31">
        <v>248332</v>
      </c>
      <c r="F11" s="31">
        <v>66939</v>
      </c>
      <c r="G11" s="31">
        <v>111759</v>
      </c>
      <c r="H11" s="31">
        <v>53197</v>
      </c>
      <c r="I11" s="31">
        <v>63803</v>
      </c>
      <c r="J11" s="31">
        <v>20402</v>
      </c>
      <c r="K11" s="31">
        <v>1024</v>
      </c>
      <c r="L11" s="31">
        <v>17286</v>
      </c>
      <c r="M11" s="31">
        <v>24279</v>
      </c>
      <c r="N11" s="31">
        <v>7342</v>
      </c>
      <c r="O11" s="31">
        <v>1678</v>
      </c>
      <c r="P11" s="31">
        <v>27092</v>
      </c>
      <c r="Q11" s="31">
        <v>695</v>
      </c>
      <c r="R11" s="31">
        <v>6258</v>
      </c>
    </row>
    <row r="12" spans="1:21" x14ac:dyDescent="0.3">
      <c r="A12" s="52">
        <v>44387</v>
      </c>
      <c r="B12" s="31">
        <v>171066</v>
      </c>
      <c r="C12" s="53">
        <v>130185</v>
      </c>
      <c r="D12" s="31">
        <v>210387</v>
      </c>
      <c r="E12" s="31">
        <v>248395</v>
      </c>
      <c r="F12" s="31">
        <v>66940</v>
      </c>
      <c r="G12" s="31">
        <v>111777</v>
      </c>
      <c r="H12" s="31">
        <v>53228</v>
      </c>
      <c r="I12" s="31">
        <v>63823</v>
      </c>
      <c r="J12" s="31">
        <v>20413</v>
      </c>
      <c r="K12" s="31">
        <v>1024</v>
      </c>
      <c r="L12" s="31">
        <v>17295</v>
      </c>
      <c r="M12" s="31">
        <v>24297</v>
      </c>
      <c r="N12" s="31">
        <v>7347</v>
      </c>
      <c r="O12" s="31">
        <v>1679</v>
      </c>
      <c r="P12" s="31">
        <v>27095</v>
      </c>
      <c r="Q12" s="31">
        <v>697</v>
      </c>
      <c r="R12" s="31">
        <v>6259</v>
      </c>
    </row>
    <row r="13" spans="1:21" x14ac:dyDescent="0.3">
      <c r="A13" s="52">
        <v>44388</v>
      </c>
      <c r="B13" s="53">
        <v>171066</v>
      </c>
      <c r="C13" s="31">
        <v>130360</v>
      </c>
      <c r="D13" s="31">
        <v>210583</v>
      </c>
      <c r="E13" s="31">
        <v>248453</v>
      </c>
      <c r="F13" s="31">
        <v>66940</v>
      </c>
      <c r="G13" s="31">
        <v>111791</v>
      </c>
      <c r="H13" s="31">
        <v>53264</v>
      </c>
      <c r="I13" s="31">
        <v>63847</v>
      </c>
      <c r="J13" s="31">
        <v>20424</v>
      </c>
      <c r="K13" s="31">
        <v>1024</v>
      </c>
      <c r="L13" s="31">
        <v>17304</v>
      </c>
      <c r="M13" s="31">
        <v>24314</v>
      </c>
      <c r="N13" s="31">
        <v>7351</v>
      </c>
      <c r="O13" s="31">
        <v>1680</v>
      </c>
      <c r="P13" s="31">
        <v>27097</v>
      </c>
      <c r="Q13" s="31">
        <v>702</v>
      </c>
      <c r="R13" s="31">
        <v>6265</v>
      </c>
    </row>
    <row r="14" spans="1:21" x14ac:dyDescent="0.3">
      <c r="A14" s="52">
        <v>44389</v>
      </c>
      <c r="B14" s="31">
        <v>171066</v>
      </c>
      <c r="C14" s="53">
        <v>130404</v>
      </c>
      <c r="D14" s="31">
        <v>210733</v>
      </c>
      <c r="E14" s="31">
        <v>248513</v>
      </c>
      <c r="F14" s="31">
        <v>66941</v>
      </c>
      <c r="G14" s="31">
        <v>111808</v>
      </c>
      <c r="H14" s="31">
        <v>53334</v>
      </c>
      <c r="I14" s="31">
        <v>63875</v>
      </c>
      <c r="J14" s="31">
        <v>20435</v>
      </c>
      <c r="K14" s="31">
        <v>1024</v>
      </c>
      <c r="L14" s="31">
        <v>17311</v>
      </c>
      <c r="M14" s="31">
        <v>24329</v>
      </c>
      <c r="N14" s="31">
        <v>7358</v>
      </c>
      <c r="O14" s="31">
        <v>1680</v>
      </c>
      <c r="P14" s="31">
        <v>27110</v>
      </c>
      <c r="Q14" s="31">
        <v>708</v>
      </c>
      <c r="R14" s="31">
        <v>6280</v>
      </c>
    </row>
    <row r="15" spans="1:21" x14ac:dyDescent="0.3">
      <c r="A15" s="52">
        <v>44390</v>
      </c>
      <c r="B15" s="31">
        <v>171066</v>
      </c>
      <c r="C15" s="31">
        <v>131440</v>
      </c>
      <c r="D15" s="31">
        <v>210858</v>
      </c>
      <c r="E15" s="31">
        <v>248573</v>
      </c>
      <c r="F15" s="31">
        <v>66941</v>
      </c>
      <c r="G15" s="31">
        <v>111821</v>
      </c>
      <c r="H15" s="31">
        <v>53428</v>
      </c>
      <c r="I15" s="31">
        <v>63899</v>
      </c>
      <c r="J15" s="31">
        <v>20447</v>
      </c>
      <c r="K15" s="31">
        <v>1024</v>
      </c>
      <c r="L15" s="31">
        <v>17319</v>
      </c>
      <c r="M15" s="31">
        <v>24346</v>
      </c>
      <c r="N15" s="31">
        <v>7363</v>
      </c>
      <c r="O15" s="31">
        <v>1681</v>
      </c>
      <c r="P15" s="31">
        <v>27119</v>
      </c>
      <c r="Q15" s="31">
        <v>712</v>
      </c>
      <c r="R15" s="31">
        <v>6286</v>
      </c>
      <c r="T15" s="102"/>
      <c r="U15" s="102"/>
    </row>
    <row r="16" spans="1:21" x14ac:dyDescent="0.3">
      <c r="A16" s="52">
        <v>44391</v>
      </c>
      <c r="B16" s="31">
        <v>171066</v>
      </c>
      <c r="C16" s="53">
        <v>131454</v>
      </c>
      <c r="D16" s="31">
        <v>210969</v>
      </c>
      <c r="E16" s="31">
        <v>248639</v>
      </c>
      <c r="F16" s="31">
        <v>66942</v>
      </c>
      <c r="G16" s="31">
        <v>111839</v>
      </c>
      <c r="H16" s="31">
        <v>53495</v>
      </c>
      <c r="I16" s="31">
        <v>63927</v>
      </c>
      <c r="J16" s="31">
        <v>20459</v>
      </c>
      <c r="K16" s="31">
        <v>1024</v>
      </c>
      <c r="L16" s="31">
        <v>17331</v>
      </c>
      <c r="M16" s="31">
        <v>24365</v>
      </c>
      <c r="N16" s="31">
        <v>7366</v>
      </c>
      <c r="O16" s="31">
        <v>1682</v>
      </c>
      <c r="P16" s="31">
        <v>27130</v>
      </c>
      <c r="Q16" s="31">
        <v>714</v>
      </c>
      <c r="R16" s="31">
        <v>6292</v>
      </c>
    </row>
    <row r="17" spans="1:21" x14ac:dyDescent="0.3">
      <c r="A17" s="52">
        <v>44392</v>
      </c>
      <c r="B17" s="31">
        <v>171066</v>
      </c>
      <c r="C17" s="31">
        <v>131547</v>
      </c>
      <c r="D17" s="31">
        <v>211077</v>
      </c>
      <c r="E17" s="31">
        <v>248694</v>
      </c>
      <c r="F17" s="31">
        <v>66943</v>
      </c>
      <c r="G17" s="31">
        <v>111849</v>
      </c>
      <c r="H17" s="31">
        <v>53555</v>
      </c>
      <c r="I17" s="31">
        <v>63951</v>
      </c>
      <c r="J17" s="31">
        <v>20470</v>
      </c>
      <c r="K17" s="31">
        <v>1024</v>
      </c>
      <c r="L17" s="31">
        <v>17339</v>
      </c>
      <c r="M17" s="31">
        <v>24379</v>
      </c>
      <c r="N17" s="31">
        <v>7368</v>
      </c>
      <c r="O17" s="31">
        <v>1683</v>
      </c>
      <c r="P17" s="31">
        <v>27142</v>
      </c>
      <c r="Q17" s="31">
        <v>715.2</v>
      </c>
      <c r="R17" s="31">
        <v>6298</v>
      </c>
    </row>
    <row r="18" spans="1:21" x14ac:dyDescent="0.3">
      <c r="A18" s="52">
        <v>44393</v>
      </c>
      <c r="B18" s="31">
        <v>171066</v>
      </c>
      <c r="C18" s="53">
        <v>131562</v>
      </c>
      <c r="D18" s="31">
        <v>211190</v>
      </c>
      <c r="E18" s="31">
        <v>248754</v>
      </c>
      <c r="F18" s="31">
        <v>66944</v>
      </c>
      <c r="G18" s="31">
        <v>111869</v>
      </c>
      <c r="H18" s="31">
        <v>53627</v>
      </c>
      <c r="I18" s="31">
        <v>63997</v>
      </c>
      <c r="J18" s="31">
        <v>20482</v>
      </c>
      <c r="K18" s="31">
        <v>1024</v>
      </c>
      <c r="L18" s="31">
        <v>17347</v>
      </c>
      <c r="M18" s="31">
        <v>24395</v>
      </c>
      <c r="N18" s="31">
        <v>7371</v>
      </c>
      <c r="O18" s="31">
        <v>1684</v>
      </c>
      <c r="P18" s="31">
        <v>27154</v>
      </c>
      <c r="Q18" s="31">
        <v>721</v>
      </c>
      <c r="R18" s="31">
        <v>6303</v>
      </c>
      <c r="U18" s="102"/>
    </row>
    <row r="19" spans="1:21" x14ac:dyDescent="0.3">
      <c r="A19" s="52">
        <v>44394</v>
      </c>
      <c r="B19" s="31">
        <v>171066</v>
      </c>
      <c r="C19" s="31">
        <v>132114</v>
      </c>
      <c r="D19" s="31">
        <v>211339</v>
      </c>
      <c r="E19" s="31">
        <v>248822</v>
      </c>
      <c r="F19" s="31">
        <v>66945</v>
      </c>
      <c r="G19" s="31">
        <v>111892</v>
      </c>
      <c r="H19" s="31">
        <v>53704</v>
      </c>
      <c r="I19" s="31">
        <v>64017</v>
      </c>
      <c r="J19" s="31">
        <v>20495</v>
      </c>
      <c r="K19" s="31">
        <v>1024</v>
      </c>
      <c r="L19" s="31">
        <v>17355</v>
      </c>
      <c r="M19" s="31">
        <v>24412</v>
      </c>
      <c r="N19" s="31">
        <v>7374</v>
      </c>
      <c r="O19" s="31">
        <v>1686</v>
      </c>
      <c r="P19" s="31">
        <v>27154</v>
      </c>
      <c r="Q19" s="31">
        <v>724</v>
      </c>
      <c r="R19" s="31">
        <v>6309</v>
      </c>
    </row>
    <row r="20" spans="1:21" x14ac:dyDescent="0.3">
      <c r="A20" s="52">
        <v>44395</v>
      </c>
      <c r="B20" s="31">
        <v>171066</v>
      </c>
      <c r="C20" s="53">
        <v>132437</v>
      </c>
      <c r="D20" s="10">
        <v>211485</v>
      </c>
      <c r="E20" s="31">
        <v>248883</v>
      </c>
      <c r="F20" s="31">
        <v>66946</v>
      </c>
      <c r="G20" s="31">
        <v>111911</v>
      </c>
      <c r="H20" s="31">
        <v>53753</v>
      </c>
      <c r="I20" s="31">
        <v>64052</v>
      </c>
      <c r="J20" s="31">
        <v>20506</v>
      </c>
      <c r="K20" s="31">
        <v>1024</v>
      </c>
      <c r="L20" s="31">
        <v>17363</v>
      </c>
      <c r="M20" s="31">
        <v>24427</v>
      </c>
      <c r="N20" s="31">
        <v>7380</v>
      </c>
      <c r="O20" s="31">
        <v>1686</v>
      </c>
      <c r="P20" s="31">
        <v>27168</v>
      </c>
      <c r="Q20" s="31">
        <v>728</v>
      </c>
      <c r="R20" s="31">
        <v>6315</v>
      </c>
    </row>
    <row r="21" spans="1:21" x14ac:dyDescent="0.3">
      <c r="A21" s="52">
        <v>44396</v>
      </c>
      <c r="B21" s="31">
        <v>171066</v>
      </c>
      <c r="C21" s="31">
        <v>132468</v>
      </c>
      <c r="D21" s="31">
        <v>211649</v>
      </c>
      <c r="E21" s="31">
        <v>248937</v>
      </c>
      <c r="F21" s="31">
        <v>66947</v>
      </c>
      <c r="G21" s="31">
        <v>111932</v>
      </c>
      <c r="H21" s="31">
        <v>53795</v>
      </c>
      <c r="I21" s="31">
        <v>64085</v>
      </c>
      <c r="J21" s="31">
        <v>20519</v>
      </c>
      <c r="K21" s="31">
        <v>1024</v>
      </c>
      <c r="L21" s="31">
        <v>17371</v>
      </c>
      <c r="M21" s="31">
        <v>24439</v>
      </c>
      <c r="N21" s="31">
        <v>7382</v>
      </c>
      <c r="O21" s="31">
        <v>1687</v>
      </c>
      <c r="P21" s="31">
        <v>27180</v>
      </c>
      <c r="Q21" s="31">
        <v>732</v>
      </c>
      <c r="R21" s="31">
        <v>6325</v>
      </c>
    </row>
    <row r="22" spans="1:21" x14ac:dyDescent="0.3">
      <c r="A22" s="52">
        <v>44397</v>
      </c>
      <c r="B22" s="31">
        <v>171066</v>
      </c>
      <c r="C22" s="53">
        <v>132485</v>
      </c>
      <c r="D22" s="31">
        <v>211813</v>
      </c>
      <c r="E22" s="31">
        <v>248993</v>
      </c>
      <c r="F22" s="31">
        <v>66947</v>
      </c>
      <c r="G22" s="31">
        <v>111947</v>
      </c>
      <c r="H22" s="31">
        <v>53830</v>
      </c>
      <c r="I22" s="31">
        <v>64111</v>
      </c>
      <c r="J22" s="31">
        <v>20529</v>
      </c>
      <c r="K22" s="31">
        <v>1024</v>
      </c>
      <c r="L22" s="31">
        <v>17379</v>
      </c>
      <c r="M22" s="31">
        <v>24455</v>
      </c>
      <c r="N22" s="31">
        <v>7386</v>
      </c>
      <c r="O22" s="31">
        <v>1687</v>
      </c>
      <c r="P22" s="31">
        <v>27186</v>
      </c>
      <c r="Q22" s="31">
        <v>737</v>
      </c>
      <c r="R22" s="31">
        <v>6331</v>
      </c>
    </row>
    <row r="23" spans="1:21" x14ac:dyDescent="0.3">
      <c r="A23" s="52">
        <v>44398</v>
      </c>
      <c r="B23" s="31">
        <v>171066</v>
      </c>
      <c r="C23" s="31">
        <v>132519</v>
      </c>
      <c r="D23" s="31">
        <v>211967</v>
      </c>
      <c r="E23" s="31">
        <v>249055</v>
      </c>
      <c r="F23" s="31">
        <v>66948</v>
      </c>
      <c r="G23" s="31">
        <v>111970</v>
      </c>
      <c r="H23" s="31">
        <v>53869</v>
      </c>
      <c r="I23" s="31">
        <v>64151</v>
      </c>
      <c r="J23" s="31">
        <v>20541</v>
      </c>
      <c r="K23" s="31">
        <v>1024</v>
      </c>
      <c r="L23" s="31">
        <v>17387</v>
      </c>
      <c r="M23" s="31">
        <v>24471</v>
      </c>
      <c r="N23" s="31">
        <v>7388</v>
      </c>
      <c r="O23" s="31">
        <v>1689</v>
      </c>
      <c r="P23" s="31">
        <v>27201</v>
      </c>
      <c r="Q23" s="31">
        <v>739</v>
      </c>
      <c r="R23" s="31">
        <v>6335</v>
      </c>
    </row>
    <row r="24" spans="1:21" x14ac:dyDescent="0.3">
      <c r="A24" s="52">
        <v>44399</v>
      </c>
      <c r="B24" s="31">
        <v>171248</v>
      </c>
      <c r="C24" s="53">
        <v>133104</v>
      </c>
      <c r="D24" s="31">
        <v>212049</v>
      </c>
      <c r="E24" s="31">
        <v>249113</v>
      </c>
      <c r="F24" s="31">
        <v>66948</v>
      </c>
      <c r="G24" s="31">
        <v>111988</v>
      </c>
      <c r="H24" s="31">
        <v>53927</v>
      </c>
      <c r="I24" s="31">
        <v>64181</v>
      </c>
      <c r="J24" s="31">
        <v>20552</v>
      </c>
      <c r="K24" s="31">
        <v>1024</v>
      </c>
      <c r="L24" s="31">
        <v>17395</v>
      </c>
      <c r="M24" s="31">
        <v>24488</v>
      </c>
      <c r="N24" s="31">
        <v>7395</v>
      </c>
      <c r="O24" s="31">
        <v>1691</v>
      </c>
      <c r="P24" s="31">
        <v>27213</v>
      </c>
      <c r="Q24" s="31">
        <v>744</v>
      </c>
      <c r="R24" s="31">
        <v>6342</v>
      </c>
    </row>
    <row r="25" spans="1:21" x14ac:dyDescent="0.3">
      <c r="A25" s="52">
        <v>44400</v>
      </c>
      <c r="B25" s="31">
        <v>171362</v>
      </c>
      <c r="C25" s="31">
        <v>133422</v>
      </c>
      <c r="D25" s="31">
        <v>212161</v>
      </c>
      <c r="E25" s="31">
        <v>249175</v>
      </c>
      <c r="F25" s="31">
        <v>66949</v>
      </c>
      <c r="G25" s="31">
        <v>112011</v>
      </c>
      <c r="H25" s="31">
        <v>53987</v>
      </c>
      <c r="I25" s="31">
        <v>64217</v>
      </c>
      <c r="J25" s="31">
        <v>20564</v>
      </c>
      <c r="K25" s="31">
        <v>1024</v>
      </c>
      <c r="L25" s="31">
        <v>17402</v>
      </c>
      <c r="M25" s="31">
        <v>24504</v>
      </c>
      <c r="N25" s="31">
        <v>7398</v>
      </c>
      <c r="O25" s="31">
        <v>1692</v>
      </c>
      <c r="P25" s="31">
        <v>27225</v>
      </c>
      <c r="Q25" s="31">
        <v>748</v>
      </c>
      <c r="R25" s="31">
        <v>6347</v>
      </c>
    </row>
    <row r="26" spans="1:21" x14ac:dyDescent="0.3">
      <c r="A26" s="52">
        <v>44401</v>
      </c>
      <c r="B26" s="31">
        <v>171439</v>
      </c>
      <c r="C26" s="53">
        <v>133422</v>
      </c>
      <c r="D26" s="31">
        <v>212272</v>
      </c>
      <c r="E26" s="31">
        <v>249232</v>
      </c>
      <c r="F26" s="31">
        <v>66950</v>
      </c>
      <c r="G26" s="31">
        <v>112028</v>
      </c>
      <c r="H26" s="31">
        <v>54044</v>
      </c>
      <c r="I26" s="31">
        <v>64240</v>
      </c>
      <c r="J26" s="31">
        <v>20575</v>
      </c>
      <c r="K26" s="31">
        <v>1024</v>
      </c>
      <c r="L26" s="31">
        <v>17409</v>
      </c>
      <c r="M26" s="31">
        <v>24521</v>
      </c>
      <c r="N26" s="31">
        <v>7403</v>
      </c>
      <c r="O26" s="31">
        <v>1693</v>
      </c>
      <c r="P26" s="31">
        <v>27225</v>
      </c>
      <c r="Q26" s="31">
        <v>748</v>
      </c>
      <c r="R26" s="31">
        <v>6350</v>
      </c>
    </row>
    <row r="27" spans="1:21" x14ac:dyDescent="0.3">
      <c r="A27" s="52">
        <v>44402</v>
      </c>
      <c r="B27" s="31">
        <v>171570</v>
      </c>
      <c r="C27" s="31">
        <v>133447</v>
      </c>
      <c r="D27" s="31">
        <v>212403</v>
      </c>
      <c r="E27" s="31">
        <v>249292</v>
      </c>
      <c r="F27" s="31">
        <v>66951</v>
      </c>
      <c r="G27" s="31">
        <v>112048</v>
      </c>
      <c r="H27" s="31">
        <v>54082</v>
      </c>
      <c r="I27" s="31">
        <v>64274</v>
      </c>
      <c r="J27" s="31">
        <v>20587</v>
      </c>
      <c r="K27" s="31">
        <v>1024</v>
      </c>
      <c r="L27" s="31">
        <v>17417</v>
      </c>
      <c r="M27" s="31">
        <v>24537</v>
      </c>
      <c r="N27" s="31">
        <v>7407</v>
      </c>
      <c r="O27" s="31">
        <v>1695</v>
      </c>
      <c r="P27" s="31">
        <v>27243</v>
      </c>
      <c r="Q27" s="31">
        <v>758</v>
      </c>
      <c r="R27" s="31">
        <v>6388</v>
      </c>
    </row>
    <row r="28" spans="1:21" x14ac:dyDescent="0.3">
      <c r="A28" s="52">
        <v>44403</v>
      </c>
      <c r="B28" s="31">
        <v>171725</v>
      </c>
      <c r="C28" s="53">
        <v>133447</v>
      </c>
      <c r="D28" s="31">
        <v>212503</v>
      </c>
      <c r="E28" s="31">
        <v>249357</v>
      </c>
      <c r="F28" s="31">
        <v>66952</v>
      </c>
      <c r="G28" s="31">
        <v>112076</v>
      </c>
      <c r="H28" s="31">
        <v>54150</v>
      </c>
      <c r="I28" s="31">
        <v>64294</v>
      </c>
      <c r="J28" s="31">
        <v>20598</v>
      </c>
      <c r="K28" s="31">
        <v>1024</v>
      </c>
      <c r="L28" s="31">
        <v>17424</v>
      </c>
      <c r="M28" s="31">
        <v>24558</v>
      </c>
      <c r="N28" s="31">
        <v>7412</v>
      </c>
      <c r="O28" s="31">
        <v>1696</v>
      </c>
      <c r="P28" s="31">
        <v>27243</v>
      </c>
      <c r="Q28" s="31">
        <v>759</v>
      </c>
      <c r="R28" s="31">
        <v>6363</v>
      </c>
    </row>
    <row r="29" spans="1:21" x14ac:dyDescent="0.3">
      <c r="A29" s="52">
        <v>44404</v>
      </c>
      <c r="B29" s="31">
        <v>171925</v>
      </c>
      <c r="C29" s="31">
        <v>133447</v>
      </c>
      <c r="D29" s="31">
        <v>212693</v>
      </c>
      <c r="E29" s="31">
        <v>249407</v>
      </c>
      <c r="F29" s="31">
        <v>66952</v>
      </c>
      <c r="G29" s="31">
        <v>112092</v>
      </c>
      <c r="H29" s="31">
        <v>54181</v>
      </c>
      <c r="I29" s="10">
        <v>64325</v>
      </c>
      <c r="J29" s="31">
        <v>20610</v>
      </c>
      <c r="K29" s="31">
        <v>1024</v>
      </c>
      <c r="L29" s="31">
        <v>17431</v>
      </c>
      <c r="M29" s="31">
        <v>24569</v>
      </c>
      <c r="N29" s="31">
        <v>7415</v>
      </c>
      <c r="O29" s="31">
        <v>1697</v>
      </c>
      <c r="P29" s="31">
        <v>27254</v>
      </c>
      <c r="Q29" s="31">
        <v>761</v>
      </c>
      <c r="R29" s="31">
        <v>6369</v>
      </c>
    </row>
    <row r="30" spans="1:21" x14ac:dyDescent="0.3">
      <c r="A30" s="52">
        <v>44405</v>
      </c>
      <c r="B30" s="31">
        <v>172102</v>
      </c>
      <c r="C30" s="53">
        <v>134484</v>
      </c>
      <c r="D30" s="31">
        <v>212997</v>
      </c>
      <c r="E30" s="31">
        <v>249464</v>
      </c>
      <c r="F30" s="31">
        <v>66953</v>
      </c>
      <c r="G30" s="31">
        <v>112112</v>
      </c>
      <c r="H30" s="31">
        <v>54207</v>
      </c>
      <c r="I30" s="31">
        <v>64360</v>
      </c>
      <c r="J30" s="31">
        <v>20622</v>
      </c>
      <c r="K30" s="31">
        <v>1024</v>
      </c>
      <c r="L30" s="31">
        <v>17438</v>
      </c>
      <c r="M30" s="31">
        <v>24585</v>
      </c>
      <c r="N30" s="31">
        <v>7416</v>
      </c>
      <c r="O30" s="31">
        <v>1698</v>
      </c>
      <c r="P30" s="31">
        <v>27269</v>
      </c>
      <c r="Q30" s="31">
        <v>762</v>
      </c>
      <c r="R30" s="31">
        <v>6374</v>
      </c>
    </row>
    <row r="31" spans="1:21" x14ac:dyDescent="0.3">
      <c r="A31" s="52">
        <v>44406</v>
      </c>
      <c r="B31" s="31">
        <v>172244</v>
      </c>
      <c r="C31" s="31">
        <v>134484</v>
      </c>
      <c r="D31" s="31">
        <v>213242</v>
      </c>
      <c r="E31" s="10">
        <v>249516</v>
      </c>
      <c r="F31" s="31">
        <v>66954</v>
      </c>
      <c r="G31" s="31">
        <v>112130</v>
      </c>
      <c r="H31" s="31">
        <v>54224</v>
      </c>
      <c r="I31" s="31">
        <v>64377</v>
      </c>
      <c r="J31" s="10">
        <v>20632</v>
      </c>
      <c r="K31" s="31">
        <v>1024</v>
      </c>
      <c r="L31" s="31">
        <v>17445</v>
      </c>
      <c r="M31" s="31">
        <v>24601</v>
      </c>
      <c r="N31" s="31">
        <v>7418</v>
      </c>
      <c r="O31" s="31">
        <v>1699</v>
      </c>
      <c r="P31" s="31">
        <v>27273</v>
      </c>
      <c r="Q31" s="31">
        <v>764</v>
      </c>
      <c r="R31" s="31">
        <v>6381</v>
      </c>
    </row>
    <row r="32" spans="1:21" x14ac:dyDescent="0.3">
      <c r="A32" s="52">
        <v>44407</v>
      </c>
      <c r="B32" s="31">
        <v>172380</v>
      </c>
      <c r="C32" s="53">
        <v>134484</v>
      </c>
      <c r="D32" s="31">
        <v>213396</v>
      </c>
      <c r="E32" s="31">
        <v>249575</v>
      </c>
      <c r="F32" s="31">
        <v>66954</v>
      </c>
      <c r="G32" s="31">
        <v>112151</v>
      </c>
      <c r="H32" s="53">
        <v>54269</v>
      </c>
      <c r="I32" s="31">
        <v>64414</v>
      </c>
      <c r="J32" s="31">
        <v>20643</v>
      </c>
      <c r="K32" s="31">
        <v>1024</v>
      </c>
      <c r="L32" s="31">
        <v>17453</v>
      </c>
      <c r="M32" s="31">
        <v>24619</v>
      </c>
      <c r="N32" s="31">
        <v>7422</v>
      </c>
      <c r="O32" s="31">
        <v>1700</v>
      </c>
      <c r="P32" s="31">
        <v>27288</v>
      </c>
      <c r="Q32" s="31">
        <v>768</v>
      </c>
      <c r="R32" s="31">
        <v>6388</v>
      </c>
    </row>
    <row r="33" spans="1:18" x14ac:dyDescent="0.3">
      <c r="A33" s="52">
        <v>44408</v>
      </c>
      <c r="B33" s="31">
        <v>172615</v>
      </c>
      <c r="C33" s="31">
        <v>135450</v>
      </c>
      <c r="D33" s="31">
        <v>213619</v>
      </c>
      <c r="E33" s="31">
        <v>249630</v>
      </c>
      <c r="F33" s="31">
        <v>66955</v>
      </c>
      <c r="G33" s="31">
        <v>112173</v>
      </c>
      <c r="H33" s="53">
        <v>54304</v>
      </c>
      <c r="I33" s="31">
        <v>64427</v>
      </c>
      <c r="J33" s="31">
        <v>20654</v>
      </c>
      <c r="K33" s="31">
        <v>1024</v>
      </c>
      <c r="L33" s="31">
        <v>17461</v>
      </c>
      <c r="M33" s="31">
        <v>24632</v>
      </c>
      <c r="N33" s="31">
        <v>7426</v>
      </c>
      <c r="O33" s="31">
        <v>1700</v>
      </c>
      <c r="P33" s="31">
        <v>27288</v>
      </c>
      <c r="Q33" s="31">
        <v>771</v>
      </c>
      <c r="R33" s="31">
        <v>6389</v>
      </c>
    </row>
    <row r="34" spans="1:18" x14ac:dyDescent="0.3">
      <c r="A34" s="52">
        <v>44409</v>
      </c>
      <c r="B34" s="31">
        <v>173617</v>
      </c>
      <c r="C34" s="53">
        <v>135457</v>
      </c>
      <c r="D34" s="31">
        <v>213833</v>
      </c>
      <c r="E34" s="31">
        <v>249696</v>
      </c>
      <c r="F34" s="31">
        <v>66956</v>
      </c>
      <c r="G34" s="31">
        <v>112190</v>
      </c>
      <c r="H34" s="31">
        <v>54328</v>
      </c>
      <c r="I34" s="31">
        <v>64440</v>
      </c>
      <c r="J34" s="31">
        <v>20665</v>
      </c>
      <c r="K34" s="31">
        <v>1024</v>
      </c>
      <c r="L34" s="31">
        <v>17468</v>
      </c>
      <c r="M34" s="31">
        <v>24658</v>
      </c>
      <c r="N34" s="31">
        <v>7431</v>
      </c>
      <c r="O34" s="31">
        <v>1701</v>
      </c>
      <c r="P34" s="31">
        <v>27288</v>
      </c>
      <c r="Q34" s="31">
        <v>775</v>
      </c>
      <c r="R34" s="31">
        <v>6394</v>
      </c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U44" sqref="U44"/>
    </sheetView>
  </sheetViews>
  <sheetFormatPr defaultRowHeight="14.4" x14ac:dyDescent="0.3"/>
  <cols>
    <col min="1" max="1" width="13" style="15" customWidth="1"/>
    <col min="2" max="2" width="14.44140625" style="15" customWidth="1"/>
    <col min="3" max="4" width="15.6640625" style="15" customWidth="1"/>
    <col min="5" max="5" width="11.109375" bestFit="1" customWidth="1"/>
    <col min="6" max="6" width="10.44140625" customWidth="1"/>
    <col min="7" max="7" width="14.33203125" bestFit="1" customWidth="1"/>
    <col min="8" max="8" width="13.5546875" customWidth="1"/>
    <col min="9" max="9" width="11.109375" bestFit="1" customWidth="1"/>
    <col min="10" max="10" width="9.5546875" customWidth="1"/>
    <col min="11" max="11" width="11.109375" bestFit="1" customWidth="1"/>
    <col min="12" max="12" width="10" bestFit="1" customWidth="1"/>
    <col min="13" max="13" width="10.33203125" customWidth="1"/>
    <col min="14" max="16" width="9.5546875" customWidth="1"/>
    <col min="17" max="17" width="11.109375" bestFit="1" customWidth="1"/>
    <col min="18" max="18" width="11.44140625" customWidth="1"/>
    <col min="19" max="19" width="14.33203125" bestFit="1" customWidth="1"/>
    <col min="20" max="20" width="11.5546875" customWidth="1"/>
    <col min="21" max="21" width="12.44140625" bestFit="1" customWidth="1"/>
    <col min="22" max="22" width="9.5546875" customWidth="1"/>
    <col min="23" max="23" width="11.109375" bestFit="1" customWidth="1"/>
    <col min="24" max="24" width="9.5546875" customWidth="1"/>
    <col min="25" max="25" width="14.33203125" customWidth="1"/>
    <col min="26" max="26" width="15.44140625" bestFit="1" customWidth="1"/>
  </cols>
  <sheetData>
    <row r="1" spans="1:26" ht="15" thickBot="1" x14ac:dyDescent="0.35"/>
    <row r="2" spans="1:26" s="54" customFormat="1" ht="45" customHeight="1" thickTop="1" x14ac:dyDescent="0.3">
      <c r="A2" s="127" t="s">
        <v>32</v>
      </c>
      <c r="B2" s="128" t="s">
        <v>109</v>
      </c>
      <c r="C2" s="128" t="s">
        <v>110</v>
      </c>
      <c r="D2" s="128"/>
      <c r="E2" s="129" t="s">
        <v>98</v>
      </c>
      <c r="F2" s="130"/>
      <c r="G2" s="131" t="s">
        <v>113</v>
      </c>
      <c r="H2" s="130"/>
      <c r="I2" s="131" t="s">
        <v>111</v>
      </c>
      <c r="J2" s="130"/>
      <c r="K2" s="131" t="s">
        <v>112</v>
      </c>
      <c r="L2" s="130"/>
      <c r="M2" s="131" t="s">
        <v>108</v>
      </c>
      <c r="N2" s="130"/>
      <c r="O2" s="131" t="s">
        <v>107</v>
      </c>
      <c r="P2" s="130"/>
      <c r="Q2" s="131" t="s">
        <v>114</v>
      </c>
      <c r="R2" s="130"/>
      <c r="S2" s="131" t="s">
        <v>115</v>
      </c>
      <c r="T2" s="130"/>
      <c r="U2" s="131" t="s">
        <v>116</v>
      </c>
      <c r="V2" s="130"/>
      <c r="W2" s="131" t="s">
        <v>100</v>
      </c>
      <c r="X2" s="132"/>
      <c r="Y2" s="133" t="s">
        <v>53</v>
      </c>
      <c r="Z2" s="133"/>
    </row>
    <row r="3" spans="1:26" ht="28.8" x14ac:dyDescent="0.4">
      <c r="A3" s="127"/>
      <c r="B3" s="128"/>
      <c r="C3" s="55" t="s">
        <v>117</v>
      </c>
      <c r="D3" s="55" t="s">
        <v>118</v>
      </c>
      <c r="E3" s="68" t="s">
        <v>117</v>
      </c>
      <c r="F3" s="57" t="s">
        <v>119</v>
      </c>
      <c r="G3" s="56" t="s">
        <v>117</v>
      </c>
      <c r="H3" s="57" t="s">
        <v>119</v>
      </c>
      <c r="I3" s="56" t="s">
        <v>117</v>
      </c>
      <c r="J3" s="57" t="s">
        <v>119</v>
      </c>
      <c r="K3" s="56" t="s">
        <v>117</v>
      </c>
      <c r="L3" s="57" t="s">
        <v>119</v>
      </c>
      <c r="M3" s="56" t="s">
        <v>117</v>
      </c>
      <c r="N3" s="57" t="s">
        <v>119</v>
      </c>
      <c r="O3" s="56" t="s">
        <v>117</v>
      </c>
      <c r="P3" s="57" t="s">
        <v>119</v>
      </c>
      <c r="Q3" s="56" t="s">
        <v>117</v>
      </c>
      <c r="R3" s="57" t="s">
        <v>119</v>
      </c>
      <c r="S3" s="56" t="s">
        <v>117</v>
      </c>
      <c r="T3" s="57" t="s">
        <v>119</v>
      </c>
      <c r="U3" s="56" t="s">
        <v>117</v>
      </c>
      <c r="V3" s="57" t="s">
        <v>119</v>
      </c>
      <c r="W3" s="56" t="s">
        <v>117</v>
      </c>
      <c r="X3" s="58" t="s">
        <v>119</v>
      </c>
      <c r="Y3" s="59" t="s">
        <v>117</v>
      </c>
      <c r="Z3" s="59" t="s">
        <v>119</v>
      </c>
    </row>
    <row r="4" spans="1:26" x14ac:dyDescent="0.3">
      <c r="A4" s="8">
        <f>'Water Reading'!A3</f>
        <v>44378</v>
      </c>
      <c r="B4" s="60">
        <v>469</v>
      </c>
      <c r="C4" s="61">
        <f>('Water Reading'!B4-'Water Reading'!B3)+('Water Reading'!C4-'Water Reading'!C3)</f>
        <v>614</v>
      </c>
      <c r="D4" s="62">
        <f>C4/B4</f>
        <v>1.3091684434968016</v>
      </c>
      <c r="E4" s="81">
        <f>'Water Reading'!H4-'Water Reading'!H3</f>
        <v>25</v>
      </c>
      <c r="F4" s="82">
        <f>E4/C4</f>
        <v>4.071661237785016E-2</v>
      </c>
      <c r="G4" s="86">
        <f>('Water Reading'!D4-'Water Reading'!D3)-('Water Reading'!R4-'Water Reading'!R3)-('Water Reading'!Q4-'Water Reading'!Q3)</f>
        <v>117.20000000000005</v>
      </c>
      <c r="H4" s="82">
        <f>G4/C4</f>
        <v>0.19087947882736164</v>
      </c>
      <c r="I4" s="83">
        <f>'Water Reading'!P4-'Water Reading'!P3</f>
        <v>13</v>
      </c>
      <c r="J4" s="63">
        <f>I4/C4</f>
        <v>2.1172638436482084E-2</v>
      </c>
      <c r="K4" s="84">
        <f>('Water Reading'!I4-'Water Reading'!I3)-('Water Reading'!P4-'Water Reading'!P3)</f>
        <v>16</v>
      </c>
      <c r="L4" s="63">
        <f>K4/C4</f>
        <v>2.6058631921824105E-2</v>
      </c>
      <c r="M4" s="83">
        <f>'Water Reading'!R4-'Water Reading'!R3</f>
        <v>4</v>
      </c>
      <c r="N4" s="85">
        <f>M4/C4</f>
        <v>6.5146579804560263E-3</v>
      </c>
      <c r="O4" s="83">
        <f>'Water Reading'!Q4-'Water Reading'!Q3</f>
        <v>7.7999999999999545</v>
      </c>
      <c r="P4" s="91">
        <f>O4/C4</f>
        <v>1.2703583061889177E-2</v>
      </c>
      <c r="Q4" s="84">
        <f>'Water Reading'!F4-'Water Reading'!F3</f>
        <v>1</v>
      </c>
      <c r="R4" s="92">
        <f>Q4/C4</f>
        <v>1.6286644951140066E-3</v>
      </c>
      <c r="S4" s="83">
        <f>'Water Reading'!E4-'Water Reading'!E3</f>
        <v>55</v>
      </c>
      <c r="T4" s="92">
        <f>S4/C4</f>
        <v>8.9576547231270356E-2</v>
      </c>
      <c r="U4" s="83">
        <f>'Water Reading'!G4-'Water Reading'!G3</f>
        <v>15</v>
      </c>
      <c r="V4" s="92">
        <f>U4/C4</f>
        <v>2.4429967426710098E-2</v>
      </c>
      <c r="W4" s="83">
        <f>'Water Reading'!J4-'Water Reading'!J3</f>
        <v>20</v>
      </c>
      <c r="X4" s="92">
        <f>W4/C4</f>
        <v>3.2573289902280131E-2</v>
      </c>
      <c r="Y4" s="61">
        <f t="shared" ref="Y4:Y34" si="0">E4+I4+K4+M4+O4+G4+Q4+S4+U4+W4</f>
        <v>274</v>
      </c>
      <c r="Z4" s="62">
        <f t="shared" ref="Z4:Z35" si="1">Y4/B4</f>
        <v>0.58422174840085284</v>
      </c>
    </row>
    <row r="5" spans="1:26" x14ac:dyDescent="0.3">
      <c r="A5" s="8">
        <f>'Water Reading'!A4</f>
        <v>44379</v>
      </c>
      <c r="B5" s="60">
        <f>TOTAL!I3</f>
        <v>247</v>
      </c>
      <c r="C5" s="61">
        <f>('Water Reading'!B5-'Water Reading'!B4)+('Water Reading'!C5-'Water Reading'!C4)</f>
        <v>494</v>
      </c>
      <c r="D5" s="62">
        <f t="shared" ref="D5:D34" si="2">C5/B5</f>
        <v>2</v>
      </c>
      <c r="E5" s="81">
        <f>'Water Reading'!H5-'Water Reading'!H4</f>
        <v>39</v>
      </c>
      <c r="F5" s="82">
        <f t="shared" ref="F5:F34" si="3">E5/C5</f>
        <v>7.8947368421052627E-2</v>
      </c>
      <c r="G5" s="86">
        <f>('Water Reading'!D5-'Water Reading'!D4)-('Water Reading'!R5-'Water Reading'!R4)-('Water Reading'!Q5-'Water Reading'!Q4)</f>
        <v>166.29999999999995</v>
      </c>
      <c r="H5" s="82">
        <f t="shared" ref="H5:H34" si="4">G5/C5</f>
        <v>0.33663967611336021</v>
      </c>
      <c r="I5" s="83">
        <f>'Water Reading'!P5-'Water Reading'!P4</f>
        <v>0</v>
      </c>
      <c r="J5" s="63">
        <f t="shared" ref="J5:J34" si="5">I5/C5</f>
        <v>0</v>
      </c>
      <c r="K5" s="84">
        <f>('Water Reading'!I5-'Water Reading'!I4)-('Water Reading'!P5-'Water Reading'!P4)</f>
        <v>11</v>
      </c>
      <c r="L5" s="63">
        <f t="shared" ref="L5:L34" si="6">K5/C5</f>
        <v>2.2267206477732792E-2</v>
      </c>
      <c r="M5" s="83">
        <f>'Water Reading'!R5-'Water Reading'!R4</f>
        <v>1</v>
      </c>
      <c r="N5" s="85">
        <f t="shared" ref="N5:N34" si="7">M5/C5</f>
        <v>2.0242914979757085E-3</v>
      </c>
      <c r="O5" s="83">
        <f>'Water Reading'!Q5-'Water Reading'!Q4</f>
        <v>2.7000000000000455</v>
      </c>
      <c r="P5" s="91">
        <f t="shared" ref="P5:P34" si="8">O5/C5</f>
        <v>5.4655870445345046E-3</v>
      </c>
      <c r="Q5" s="84">
        <f>'Water Reading'!F5-'Water Reading'!F4</f>
        <v>2</v>
      </c>
      <c r="R5" s="92">
        <f t="shared" ref="R5:R34" si="9">Q5/C5</f>
        <v>4.048582995951417E-3</v>
      </c>
      <c r="S5" s="83">
        <f>'Water Reading'!E5-'Water Reading'!E4</f>
        <v>59</v>
      </c>
      <c r="T5" s="92">
        <f t="shared" ref="T5:T34" si="10">S5/C5</f>
        <v>0.1194331983805668</v>
      </c>
      <c r="U5" s="83">
        <f>'Water Reading'!G5-'Water Reading'!G4</f>
        <v>16</v>
      </c>
      <c r="V5" s="92">
        <f t="shared" ref="V5:V34" si="11">U5/C5</f>
        <v>3.2388663967611336E-2</v>
      </c>
      <c r="W5" s="83">
        <f>'Water Reading'!J5-'Water Reading'!J4</f>
        <v>20</v>
      </c>
      <c r="X5" s="92">
        <f t="shared" ref="X5:X34" si="12">W5/C5</f>
        <v>4.048582995951417E-2</v>
      </c>
      <c r="Y5" s="61">
        <f t="shared" si="0"/>
        <v>317</v>
      </c>
      <c r="Z5" s="62">
        <f t="shared" si="1"/>
        <v>1.2834008097165992</v>
      </c>
    </row>
    <row r="6" spans="1:26" x14ac:dyDescent="0.3">
      <c r="A6" s="8">
        <f>'Water Reading'!A5</f>
        <v>44380</v>
      </c>
      <c r="B6" s="60">
        <f>TOTAL!I4</f>
        <v>242</v>
      </c>
      <c r="C6" s="61">
        <f>('Water Reading'!B6-'Water Reading'!B5)+('Water Reading'!C6-'Water Reading'!C5)</f>
        <v>715</v>
      </c>
      <c r="D6" s="62">
        <f t="shared" si="2"/>
        <v>2.9545454545454546</v>
      </c>
      <c r="E6" s="81">
        <f>'Water Reading'!H6-'Water Reading'!H5</f>
        <v>25</v>
      </c>
      <c r="F6" s="82">
        <f t="shared" si="3"/>
        <v>3.4965034965034968E-2</v>
      </c>
      <c r="G6" s="86">
        <f>('Water Reading'!D6-'Water Reading'!D5)-('Water Reading'!R6-'Water Reading'!R5)-('Water Reading'!Q6-'Water Reading'!Q5)</f>
        <v>177</v>
      </c>
      <c r="H6" s="82">
        <f t="shared" si="4"/>
        <v>0.24755244755244754</v>
      </c>
      <c r="I6" s="83">
        <f>'Water Reading'!P6-'Water Reading'!P5</f>
        <v>13</v>
      </c>
      <c r="J6" s="63">
        <f t="shared" si="5"/>
        <v>1.8181818181818181E-2</v>
      </c>
      <c r="K6" s="84">
        <f>('Water Reading'!I6-'Water Reading'!I5)-('Water Reading'!P6-'Water Reading'!P5)</f>
        <v>12</v>
      </c>
      <c r="L6" s="63">
        <f t="shared" si="6"/>
        <v>1.6783216783216783E-2</v>
      </c>
      <c r="M6" s="83">
        <f>'Water Reading'!R6-'Water Reading'!R5</f>
        <v>4</v>
      </c>
      <c r="N6" s="85">
        <f t="shared" si="7"/>
        <v>5.5944055944055944E-3</v>
      </c>
      <c r="O6" s="83">
        <f>'Water Reading'!Q6-'Water Reading'!Q5</f>
        <v>5</v>
      </c>
      <c r="P6" s="91">
        <f t="shared" si="8"/>
        <v>6.993006993006993E-3</v>
      </c>
      <c r="Q6" s="84">
        <f>'Water Reading'!F6-'Water Reading'!F5</f>
        <v>1</v>
      </c>
      <c r="R6" s="92">
        <f t="shared" si="9"/>
        <v>1.3986013986013986E-3</v>
      </c>
      <c r="S6" s="83">
        <f>'Water Reading'!E6-'Water Reading'!E5</f>
        <v>50</v>
      </c>
      <c r="T6" s="92">
        <f t="shared" si="10"/>
        <v>6.9930069930069935E-2</v>
      </c>
      <c r="U6" s="83">
        <f>'Water Reading'!G6-'Water Reading'!G5</f>
        <v>11</v>
      </c>
      <c r="V6" s="92">
        <f t="shared" si="11"/>
        <v>1.5384615384615385E-2</v>
      </c>
      <c r="W6" s="83">
        <f>'Water Reading'!J6-'Water Reading'!J5</f>
        <v>19</v>
      </c>
      <c r="X6" s="92">
        <f t="shared" si="12"/>
        <v>2.6573426573426574E-2</v>
      </c>
      <c r="Y6" s="61">
        <f t="shared" si="0"/>
        <v>317</v>
      </c>
      <c r="Z6" s="62">
        <f t="shared" si="1"/>
        <v>1.3099173553719008</v>
      </c>
    </row>
    <row r="7" spans="1:26" x14ac:dyDescent="0.3">
      <c r="A7" s="8">
        <f>'Water Reading'!A6</f>
        <v>44381</v>
      </c>
      <c r="B7" s="60">
        <f>TOTAL!I5</f>
        <v>246</v>
      </c>
      <c r="C7" s="61">
        <f>('Water Reading'!B7-'Water Reading'!B6)+('Water Reading'!C7-'Water Reading'!C6)</f>
        <v>442</v>
      </c>
      <c r="D7" s="62">
        <f t="shared" si="2"/>
        <v>1.7967479674796747</v>
      </c>
      <c r="E7" s="81">
        <f>'Water Reading'!H7-'Water Reading'!H6</f>
        <v>41</v>
      </c>
      <c r="F7" s="82">
        <f t="shared" si="3"/>
        <v>9.2760180995475117E-2</v>
      </c>
      <c r="G7" s="86">
        <f>('Water Reading'!D7-'Water Reading'!D6)-('Water Reading'!R7-'Water Reading'!R6)-('Water Reading'!Q7-'Water Reading'!Q6)</f>
        <v>86</v>
      </c>
      <c r="H7" s="82">
        <f t="shared" si="4"/>
        <v>0.19457013574660634</v>
      </c>
      <c r="I7" s="83">
        <f>'Water Reading'!P7-'Water Reading'!P6</f>
        <v>9</v>
      </c>
      <c r="J7" s="63">
        <f t="shared" si="5"/>
        <v>2.0361990950226245E-2</v>
      </c>
      <c r="K7" s="84">
        <f>('Water Reading'!I7-'Water Reading'!I6)-('Water Reading'!P7-'Water Reading'!P6)</f>
        <v>16</v>
      </c>
      <c r="L7" s="63">
        <f t="shared" si="6"/>
        <v>3.6199095022624438E-2</v>
      </c>
      <c r="M7" s="83">
        <f>'Water Reading'!R7-'Water Reading'!R6</f>
        <v>4</v>
      </c>
      <c r="N7" s="85">
        <f t="shared" si="7"/>
        <v>9.0497737556561094E-3</v>
      </c>
      <c r="O7" s="83">
        <f>'Water Reading'!Q7-'Water Reading'!Q6</f>
        <v>5</v>
      </c>
      <c r="P7" s="91">
        <f t="shared" si="8"/>
        <v>1.1312217194570135E-2</v>
      </c>
      <c r="Q7" s="84">
        <f>'Water Reading'!F7-'Water Reading'!F6</f>
        <v>1</v>
      </c>
      <c r="R7" s="92">
        <f t="shared" si="9"/>
        <v>2.2624434389140274E-3</v>
      </c>
      <c r="S7" s="83">
        <f>'Water Reading'!E7-'Water Reading'!E6</f>
        <v>68</v>
      </c>
      <c r="T7" s="92">
        <f t="shared" si="10"/>
        <v>0.15384615384615385</v>
      </c>
      <c r="U7" s="83">
        <f>'Water Reading'!G7-'Water Reading'!G6</f>
        <v>16</v>
      </c>
      <c r="V7" s="92">
        <f t="shared" si="11"/>
        <v>3.6199095022624438E-2</v>
      </c>
      <c r="W7" s="83">
        <f>'Water Reading'!J7-'Water Reading'!J6</f>
        <v>16</v>
      </c>
      <c r="X7" s="92">
        <f t="shared" si="12"/>
        <v>3.6199095022624438E-2</v>
      </c>
      <c r="Y7" s="61">
        <f t="shared" si="0"/>
        <v>262</v>
      </c>
      <c r="Z7" s="62">
        <f t="shared" si="1"/>
        <v>1.065040650406504</v>
      </c>
    </row>
    <row r="8" spans="1:26" x14ac:dyDescent="0.3">
      <c r="A8" s="8">
        <f>'Water Reading'!A7</f>
        <v>44382</v>
      </c>
      <c r="B8" s="60">
        <f>TOTAL!I6</f>
        <v>245</v>
      </c>
      <c r="C8" s="61">
        <f>('Water Reading'!B8-'Water Reading'!B7)+('Water Reading'!C8-'Water Reading'!C7)</f>
        <v>510</v>
      </c>
      <c r="D8" s="62">
        <f t="shared" si="2"/>
        <v>2.0816326530612246</v>
      </c>
      <c r="E8" s="81">
        <f>'Water Reading'!H8-'Water Reading'!H7</f>
        <v>33</v>
      </c>
      <c r="F8" s="82">
        <f t="shared" si="3"/>
        <v>6.4705882352941183E-2</v>
      </c>
      <c r="G8" s="86">
        <f>('Water Reading'!D8-'Water Reading'!D7)-('Water Reading'!R8-'Water Reading'!R7)-('Water Reading'!Q8-'Water Reading'!Q7)</f>
        <v>105</v>
      </c>
      <c r="H8" s="82">
        <f t="shared" si="4"/>
        <v>0.20588235294117646</v>
      </c>
      <c r="I8" s="83">
        <f>'Water Reading'!P8-'Water Reading'!P7</f>
        <v>12</v>
      </c>
      <c r="J8" s="63">
        <f t="shared" si="5"/>
        <v>2.3529411764705882E-2</v>
      </c>
      <c r="K8" s="84">
        <f>('Water Reading'!I8-'Water Reading'!I7)-('Water Reading'!P8-'Water Reading'!P7)</f>
        <v>13</v>
      </c>
      <c r="L8" s="63">
        <f t="shared" si="6"/>
        <v>2.5490196078431372E-2</v>
      </c>
      <c r="M8" s="83">
        <f>'Water Reading'!R8-'Water Reading'!R7</f>
        <v>3</v>
      </c>
      <c r="N8" s="85">
        <f t="shared" si="7"/>
        <v>5.8823529411764705E-3</v>
      </c>
      <c r="O8" s="83">
        <f>'Water Reading'!Q8-'Water Reading'!Q7</f>
        <v>10</v>
      </c>
      <c r="P8" s="91">
        <f t="shared" si="8"/>
        <v>1.9607843137254902E-2</v>
      </c>
      <c r="Q8" s="84">
        <f>'Water Reading'!F8-'Water Reading'!F7</f>
        <v>0</v>
      </c>
      <c r="R8" s="92">
        <f t="shared" si="9"/>
        <v>0</v>
      </c>
      <c r="S8" s="83">
        <f>'Water Reading'!E8-'Water Reading'!E7</f>
        <v>62</v>
      </c>
      <c r="T8" s="92">
        <f t="shared" si="10"/>
        <v>0.12156862745098039</v>
      </c>
      <c r="U8" s="83">
        <f>'Water Reading'!G8-'Water Reading'!G7</f>
        <v>16</v>
      </c>
      <c r="V8" s="92">
        <f t="shared" si="11"/>
        <v>3.1372549019607843E-2</v>
      </c>
      <c r="W8" s="83">
        <f>'Water Reading'!J8-'Water Reading'!J7</f>
        <v>11</v>
      </c>
      <c r="X8" s="92">
        <f t="shared" si="12"/>
        <v>2.1568627450980392E-2</v>
      </c>
      <c r="Y8" s="61">
        <f t="shared" si="0"/>
        <v>265</v>
      </c>
      <c r="Z8" s="62">
        <f t="shared" si="1"/>
        <v>1.0816326530612246</v>
      </c>
    </row>
    <row r="9" spans="1:26" x14ac:dyDescent="0.3">
      <c r="A9" s="8">
        <f>'Water Reading'!A8</f>
        <v>44383</v>
      </c>
      <c r="B9" s="60">
        <f>TOTAL!I7</f>
        <v>240</v>
      </c>
      <c r="C9" s="61">
        <f>('Water Reading'!B9-'Water Reading'!B8)+('Water Reading'!C9-'Water Reading'!C8)</f>
        <v>0</v>
      </c>
      <c r="D9" s="62">
        <f t="shared" si="2"/>
        <v>0</v>
      </c>
      <c r="E9" s="81">
        <f>'Water Reading'!H9-'Water Reading'!H8</f>
        <v>39</v>
      </c>
      <c r="F9" s="82" t="e">
        <f t="shared" si="3"/>
        <v>#DIV/0!</v>
      </c>
      <c r="G9" s="86">
        <f>('Water Reading'!D9-'Water Reading'!D8)-('Water Reading'!R9-'Water Reading'!R8)-('Water Reading'!Q9-'Water Reading'!Q8)</f>
        <v>88</v>
      </c>
      <c r="H9" s="82" t="e">
        <f t="shared" si="4"/>
        <v>#DIV/0!</v>
      </c>
      <c r="I9" s="83">
        <f>'Water Reading'!P9-'Water Reading'!P8</f>
        <v>14</v>
      </c>
      <c r="J9" s="63" t="e">
        <f t="shared" si="5"/>
        <v>#DIV/0!</v>
      </c>
      <c r="K9" s="84">
        <f>('Water Reading'!I9-'Water Reading'!I8)-('Water Reading'!P9-'Water Reading'!P8)</f>
        <v>16</v>
      </c>
      <c r="L9" s="63" t="e">
        <f t="shared" si="6"/>
        <v>#DIV/0!</v>
      </c>
      <c r="M9" s="83">
        <f>'Water Reading'!R9-'Water Reading'!R8</f>
        <v>4</v>
      </c>
      <c r="N9" s="85" t="e">
        <f t="shared" si="7"/>
        <v>#DIV/0!</v>
      </c>
      <c r="O9" s="83">
        <f>'Water Reading'!Q9-'Water Reading'!Q8</f>
        <v>5</v>
      </c>
      <c r="P9" s="91" t="e">
        <f t="shared" si="8"/>
        <v>#DIV/0!</v>
      </c>
      <c r="Q9" s="84">
        <f>'Water Reading'!F9-'Water Reading'!F8</f>
        <v>3</v>
      </c>
      <c r="R9" s="92" t="e">
        <f t="shared" si="9"/>
        <v>#DIV/0!</v>
      </c>
      <c r="S9" s="83">
        <f>'Water Reading'!E9-'Water Reading'!E8</f>
        <v>67</v>
      </c>
      <c r="T9" s="92" t="e">
        <f t="shared" si="10"/>
        <v>#DIV/0!</v>
      </c>
      <c r="U9" s="83">
        <f>'Water Reading'!G9-'Water Reading'!G8</f>
        <v>13</v>
      </c>
      <c r="V9" s="92" t="e">
        <f t="shared" si="11"/>
        <v>#DIV/0!</v>
      </c>
      <c r="W9" s="83">
        <f>'Water Reading'!J9-'Water Reading'!J8</f>
        <v>11</v>
      </c>
      <c r="X9" s="92" t="e">
        <f t="shared" si="12"/>
        <v>#DIV/0!</v>
      </c>
      <c r="Y9" s="61">
        <f t="shared" si="0"/>
        <v>260</v>
      </c>
      <c r="Z9" s="62">
        <f t="shared" si="1"/>
        <v>1.0833333333333333</v>
      </c>
    </row>
    <row r="10" spans="1:26" x14ac:dyDescent="0.3">
      <c r="A10" s="8">
        <f>'Water Reading'!A9</f>
        <v>44384</v>
      </c>
      <c r="B10" s="60">
        <f>TOTAL!I8</f>
        <v>226</v>
      </c>
      <c r="C10" s="61">
        <f>('Water Reading'!B10-'Water Reading'!B9)+('Water Reading'!C10-'Water Reading'!C9)</f>
        <v>268</v>
      </c>
      <c r="D10" s="62">
        <f t="shared" si="2"/>
        <v>1.1858407079646018</v>
      </c>
      <c r="E10" s="81">
        <f>'Water Reading'!H10-'Water Reading'!H9</f>
        <v>26</v>
      </c>
      <c r="F10" s="82">
        <f t="shared" si="3"/>
        <v>9.7014925373134331E-2</v>
      </c>
      <c r="G10" s="86">
        <f>('Water Reading'!D10-'Water Reading'!D9)-('Water Reading'!R10-'Water Reading'!R9)-('Water Reading'!Q10-'Water Reading'!Q9)</f>
        <v>78</v>
      </c>
      <c r="H10" s="82">
        <f t="shared" si="4"/>
        <v>0.29104477611940299</v>
      </c>
      <c r="I10" s="83">
        <f>'Water Reading'!P10-'Water Reading'!P9</f>
        <v>0</v>
      </c>
      <c r="J10" s="63">
        <f t="shared" si="5"/>
        <v>0</v>
      </c>
      <c r="K10" s="84">
        <f>('Water Reading'!I10-'Water Reading'!I9)-('Water Reading'!P10-'Water Reading'!P9)</f>
        <v>11</v>
      </c>
      <c r="L10" s="63">
        <f t="shared" si="6"/>
        <v>4.1044776119402986E-2</v>
      </c>
      <c r="M10" s="83">
        <f>'Water Reading'!R10-'Water Reading'!R9</f>
        <v>4</v>
      </c>
      <c r="N10" s="85">
        <f t="shared" si="7"/>
        <v>1.4925373134328358E-2</v>
      </c>
      <c r="O10" s="83">
        <f>'Water Reading'!Q10-'Water Reading'!Q9</f>
        <v>12</v>
      </c>
      <c r="P10" s="91">
        <f t="shared" si="8"/>
        <v>4.4776119402985072E-2</v>
      </c>
      <c r="Q10" s="84">
        <f>'Water Reading'!F10-'Water Reading'!F9</f>
        <v>1</v>
      </c>
      <c r="R10" s="92">
        <f t="shared" si="9"/>
        <v>3.7313432835820895E-3</v>
      </c>
      <c r="S10" s="83">
        <f>'Water Reading'!E10-'Water Reading'!E9</f>
        <v>63</v>
      </c>
      <c r="T10" s="92">
        <f t="shared" si="10"/>
        <v>0.23507462686567165</v>
      </c>
      <c r="U10" s="83">
        <f>'Water Reading'!G10-'Water Reading'!G9</f>
        <v>15</v>
      </c>
      <c r="V10" s="92">
        <f t="shared" si="11"/>
        <v>5.5970149253731345E-2</v>
      </c>
      <c r="W10" s="83">
        <f>'Water Reading'!J10-'Water Reading'!J9</f>
        <v>12</v>
      </c>
      <c r="X10" s="92">
        <f t="shared" si="12"/>
        <v>4.4776119402985072E-2</v>
      </c>
      <c r="Y10" s="61">
        <f t="shared" si="0"/>
        <v>222</v>
      </c>
      <c r="Z10" s="62">
        <f t="shared" si="1"/>
        <v>0.98230088495575218</v>
      </c>
    </row>
    <row r="11" spans="1:26" x14ac:dyDescent="0.3">
      <c r="A11" s="8">
        <f>'Water Reading'!A10</f>
        <v>44385</v>
      </c>
      <c r="B11" s="60">
        <f>TOTAL!I9</f>
        <v>235</v>
      </c>
      <c r="C11" s="61">
        <f>('Water Reading'!B11-'Water Reading'!B10)+('Water Reading'!C11-'Water Reading'!C10)</f>
        <v>65</v>
      </c>
      <c r="D11" s="62">
        <f t="shared" si="2"/>
        <v>0.27659574468085107</v>
      </c>
      <c r="E11" s="81">
        <f>'Water Reading'!H11-'Water Reading'!H10</f>
        <v>27</v>
      </c>
      <c r="F11" s="82">
        <f t="shared" si="3"/>
        <v>0.41538461538461541</v>
      </c>
      <c r="G11" s="86">
        <f>('Water Reading'!D11-'Water Reading'!D10)-('Water Reading'!R11-'Water Reading'!R10)-('Water Reading'!Q11-'Water Reading'!Q10)</f>
        <v>89</v>
      </c>
      <c r="H11" s="82">
        <f t="shared" si="4"/>
        <v>1.3692307692307693</v>
      </c>
      <c r="I11" s="83">
        <f>'Water Reading'!P11-'Water Reading'!P10</f>
        <v>17</v>
      </c>
      <c r="J11" s="63">
        <f t="shared" si="5"/>
        <v>0.26153846153846155</v>
      </c>
      <c r="K11" s="84">
        <f>('Water Reading'!I11-'Water Reading'!I10)-('Water Reading'!P11-'Water Reading'!P10)</f>
        <v>2</v>
      </c>
      <c r="L11" s="63">
        <f t="shared" si="6"/>
        <v>3.0769230769230771E-2</v>
      </c>
      <c r="M11" s="83">
        <f>'Water Reading'!R11-'Water Reading'!R10</f>
        <v>5</v>
      </c>
      <c r="N11" s="85">
        <f t="shared" si="7"/>
        <v>7.6923076923076927E-2</v>
      </c>
      <c r="O11" s="90">
        <f>'Water Reading'!Q11-'Water Reading'!Q10</f>
        <v>6</v>
      </c>
      <c r="P11" s="91">
        <f t="shared" si="8"/>
        <v>9.2307692307692313E-2</v>
      </c>
      <c r="Q11" s="84">
        <f>'Water Reading'!F11-'Water Reading'!F10</f>
        <v>2</v>
      </c>
      <c r="R11" s="92">
        <f t="shared" si="9"/>
        <v>3.0769230769230771E-2</v>
      </c>
      <c r="S11" s="83">
        <f>'Water Reading'!E11-'Water Reading'!E10</f>
        <v>56</v>
      </c>
      <c r="T11" s="92">
        <f t="shared" si="10"/>
        <v>0.86153846153846159</v>
      </c>
      <c r="U11" s="83">
        <f>'Water Reading'!G11-'Water Reading'!G10</f>
        <v>16</v>
      </c>
      <c r="V11" s="92">
        <f t="shared" si="11"/>
        <v>0.24615384615384617</v>
      </c>
      <c r="W11" s="83">
        <f>'Water Reading'!J11-'Water Reading'!J10</f>
        <v>11</v>
      </c>
      <c r="X11" s="92">
        <f t="shared" si="12"/>
        <v>0.16923076923076924</v>
      </c>
      <c r="Y11" s="61">
        <f t="shared" si="0"/>
        <v>231</v>
      </c>
      <c r="Z11" s="62">
        <f t="shared" si="1"/>
        <v>0.98297872340425529</v>
      </c>
    </row>
    <row r="12" spans="1:26" x14ac:dyDescent="0.3">
      <c r="A12" s="8">
        <f>'Water Reading'!A11</f>
        <v>44386</v>
      </c>
      <c r="B12" s="60">
        <f>TOTAL!I10</f>
        <v>325</v>
      </c>
      <c r="C12" s="61">
        <f>('Water Reading'!B12-'Water Reading'!B11)+('Water Reading'!C12-'Water Reading'!C11)</f>
        <v>678</v>
      </c>
      <c r="D12" s="62">
        <f t="shared" si="2"/>
        <v>2.086153846153846</v>
      </c>
      <c r="E12" s="81">
        <f>'Water Reading'!H12-'Water Reading'!H11</f>
        <v>31</v>
      </c>
      <c r="F12" s="82">
        <f t="shared" si="3"/>
        <v>4.5722713864306784E-2</v>
      </c>
      <c r="G12" s="86">
        <f>('Water Reading'!D12-'Water Reading'!D11)-('Water Reading'!R12-'Water Reading'!R11)-('Water Reading'!Q12-'Water Reading'!Q11)</f>
        <v>99</v>
      </c>
      <c r="H12" s="82">
        <f t="shared" si="4"/>
        <v>0.14601769911504425</v>
      </c>
      <c r="I12" s="83">
        <f>'Water Reading'!P12-'Water Reading'!P11</f>
        <v>3</v>
      </c>
      <c r="J12" s="63">
        <f t="shared" si="5"/>
        <v>4.4247787610619468E-3</v>
      </c>
      <c r="K12" s="84">
        <f>('Water Reading'!I12-'Water Reading'!I11)-('Water Reading'!P12-'Water Reading'!P11)</f>
        <v>17</v>
      </c>
      <c r="L12" s="63">
        <f t="shared" si="6"/>
        <v>2.5073746312684365E-2</v>
      </c>
      <c r="M12" s="83">
        <f>'Water Reading'!R12-'Water Reading'!R11</f>
        <v>1</v>
      </c>
      <c r="N12" s="85">
        <f t="shared" si="7"/>
        <v>1.4749262536873156E-3</v>
      </c>
      <c r="O12" s="90">
        <f>'Water Reading'!Q12-'Water Reading'!Q11</f>
        <v>2</v>
      </c>
      <c r="P12" s="91">
        <f t="shared" si="8"/>
        <v>2.9498525073746312E-3</v>
      </c>
      <c r="Q12" s="84">
        <f>'Water Reading'!F12-'Water Reading'!F11</f>
        <v>1</v>
      </c>
      <c r="R12" s="92">
        <f t="shared" si="9"/>
        <v>1.4749262536873156E-3</v>
      </c>
      <c r="S12" s="83">
        <f>'Water Reading'!E12-'Water Reading'!E11</f>
        <v>63</v>
      </c>
      <c r="T12" s="92">
        <f t="shared" si="10"/>
        <v>9.2920353982300891E-2</v>
      </c>
      <c r="U12" s="83">
        <f>'Water Reading'!G12-'Water Reading'!G11</f>
        <v>18</v>
      </c>
      <c r="V12" s="92">
        <f t="shared" si="11"/>
        <v>2.6548672566371681E-2</v>
      </c>
      <c r="W12" s="83">
        <f>'Water Reading'!J12-'Water Reading'!J11</f>
        <v>11</v>
      </c>
      <c r="X12" s="92">
        <f t="shared" si="12"/>
        <v>1.6224188790560472E-2</v>
      </c>
      <c r="Y12" s="61">
        <f t="shared" si="0"/>
        <v>246</v>
      </c>
      <c r="Z12" s="62">
        <f t="shared" si="1"/>
        <v>0.75692307692307692</v>
      </c>
    </row>
    <row r="13" spans="1:26" x14ac:dyDescent="0.3">
      <c r="A13" s="8">
        <f>'Water Reading'!A12</f>
        <v>44387</v>
      </c>
      <c r="B13" s="60">
        <f>TOTAL!I11</f>
        <v>239</v>
      </c>
      <c r="C13" s="61">
        <f>('Water Reading'!B13-'Water Reading'!B12)+('Water Reading'!C13-'Water Reading'!C12)</f>
        <v>175</v>
      </c>
      <c r="D13" s="62">
        <f t="shared" si="2"/>
        <v>0.73221757322175729</v>
      </c>
      <c r="E13" s="81">
        <f>'Water Reading'!H13-'Water Reading'!H12</f>
        <v>36</v>
      </c>
      <c r="F13" s="82">
        <f t="shared" si="3"/>
        <v>0.20571428571428571</v>
      </c>
      <c r="G13" s="86">
        <f>('Water Reading'!D13-'Water Reading'!D12)-('Water Reading'!R13-'Water Reading'!R12)-('Water Reading'!Q13-'Water Reading'!Q12)</f>
        <v>185</v>
      </c>
      <c r="H13" s="82">
        <f t="shared" si="4"/>
        <v>1.0571428571428572</v>
      </c>
      <c r="I13" s="83">
        <f>'Water Reading'!P13-'Water Reading'!P12</f>
        <v>2</v>
      </c>
      <c r="J13" s="63">
        <f t="shared" si="5"/>
        <v>1.1428571428571429E-2</v>
      </c>
      <c r="K13" s="84">
        <f>('Water Reading'!I13-'Water Reading'!I12)-('Water Reading'!P13-'Water Reading'!P12)</f>
        <v>22</v>
      </c>
      <c r="L13" s="63">
        <f t="shared" si="6"/>
        <v>0.12571428571428572</v>
      </c>
      <c r="M13" s="83">
        <f>'Water Reading'!R13-'Water Reading'!R12</f>
        <v>6</v>
      </c>
      <c r="N13" s="85">
        <f t="shared" si="7"/>
        <v>3.4285714285714287E-2</v>
      </c>
      <c r="O13" s="83">
        <f>'Water Reading'!Q13-'Water Reading'!Q12</f>
        <v>5</v>
      </c>
      <c r="P13" s="91">
        <f t="shared" si="8"/>
        <v>2.8571428571428571E-2</v>
      </c>
      <c r="Q13" s="84">
        <f>'Water Reading'!F13-'Water Reading'!F12</f>
        <v>0</v>
      </c>
      <c r="R13" s="92">
        <f t="shared" si="9"/>
        <v>0</v>
      </c>
      <c r="S13" s="83">
        <f>'Water Reading'!E13-'Water Reading'!E12</f>
        <v>58</v>
      </c>
      <c r="T13" s="92">
        <f t="shared" si="10"/>
        <v>0.33142857142857141</v>
      </c>
      <c r="U13" s="83">
        <f>'Water Reading'!G13-'Water Reading'!G12</f>
        <v>14</v>
      </c>
      <c r="V13" s="92">
        <f t="shared" si="11"/>
        <v>0.08</v>
      </c>
      <c r="W13" s="83">
        <f>'Water Reading'!J13-'Water Reading'!J12</f>
        <v>11</v>
      </c>
      <c r="X13" s="92">
        <f t="shared" si="12"/>
        <v>6.2857142857142861E-2</v>
      </c>
      <c r="Y13" s="61">
        <f t="shared" si="0"/>
        <v>339</v>
      </c>
      <c r="Z13" s="62">
        <f t="shared" si="1"/>
        <v>1.4184100418410042</v>
      </c>
    </row>
    <row r="14" spans="1:26" x14ac:dyDescent="0.3">
      <c r="A14" s="8">
        <f>'Water Reading'!A13</f>
        <v>44388</v>
      </c>
      <c r="B14" s="60">
        <f>TOTAL!I12</f>
        <v>376</v>
      </c>
      <c r="C14" s="61">
        <f>('Water Reading'!B14-'Water Reading'!B13)+('Water Reading'!C14-'Water Reading'!C13)</f>
        <v>44</v>
      </c>
      <c r="D14" s="62">
        <f t="shared" si="2"/>
        <v>0.11702127659574468</v>
      </c>
      <c r="E14" s="81">
        <f>'Water Reading'!H14-'Water Reading'!H13</f>
        <v>70</v>
      </c>
      <c r="F14" s="82">
        <f t="shared" si="3"/>
        <v>1.5909090909090908</v>
      </c>
      <c r="G14" s="86">
        <f>('Water Reading'!D14-'Water Reading'!D13)-('Water Reading'!R14-'Water Reading'!R13)-('Water Reading'!Q14-'Water Reading'!Q13)</f>
        <v>129</v>
      </c>
      <c r="H14" s="82">
        <f t="shared" si="4"/>
        <v>2.9318181818181817</v>
      </c>
      <c r="I14" s="83">
        <f>'Water Reading'!P14-'Water Reading'!P13</f>
        <v>13</v>
      </c>
      <c r="J14" s="63">
        <f t="shared" si="5"/>
        <v>0.29545454545454547</v>
      </c>
      <c r="K14" s="84">
        <f>('Water Reading'!I14-'Water Reading'!I13)-('Water Reading'!P14-'Water Reading'!P13)</f>
        <v>15</v>
      </c>
      <c r="L14" s="63">
        <f t="shared" si="6"/>
        <v>0.34090909090909088</v>
      </c>
      <c r="M14" s="83">
        <f>'Water Reading'!R14-'Water Reading'!R13</f>
        <v>15</v>
      </c>
      <c r="N14" s="85">
        <f t="shared" si="7"/>
        <v>0.34090909090909088</v>
      </c>
      <c r="O14" s="83">
        <f>'Water Reading'!Q14-'Water Reading'!Q13</f>
        <v>6</v>
      </c>
      <c r="P14" s="91">
        <f t="shared" si="8"/>
        <v>0.13636363636363635</v>
      </c>
      <c r="Q14" s="84">
        <f>'Water Reading'!F14-'Water Reading'!F13</f>
        <v>1</v>
      </c>
      <c r="R14" s="92">
        <f t="shared" si="9"/>
        <v>2.2727272727272728E-2</v>
      </c>
      <c r="S14" s="83">
        <f>'Water Reading'!E14-'Water Reading'!E13</f>
        <v>60</v>
      </c>
      <c r="T14" s="92">
        <f t="shared" si="10"/>
        <v>1.3636363636363635</v>
      </c>
      <c r="U14" s="83">
        <f>'Water Reading'!G14-'Water Reading'!G13</f>
        <v>17</v>
      </c>
      <c r="V14" s="92">
        <f t="shared" si="11"/>
        <v>0.38636363636363635</v>
      </c>
      <c r="W14" s="83">
        <f>'Water Reading'!J14-'Water Reading'!J13</f>
        <v>11</v>
      </c>
      <c r="X14" s="92">
        <f t="shared" si="12"/>
        <v>0.25</v>
      </c>
      <c r="Y14" s="61">
        <f t="shared" si="0"/>
        <v>337</v>
      </c>
      <c r="Z14" s="62">
        <f t="shared" si="1"/>
        <v>0.89627659574468088</v>
      </c>
    </row>
    <row r="15" spans="1:26" x14ac:dyDescent="0.3">
      <c r="A15" s="8">
        <f>'Water Reading'!A14</f>
        <v>44389</v>
      </c>
      <c r="B15" s="60">
        <f>TOTAL!I13</f>
        <v>387</v>
      </c>
      <c r="C15" s="61">
        <f>('Water Reading'!B15-'Water Reading'!B14)+('Water Reading'!C15-'Water Reading'!C14)</f>
        <v>1036</v>
      </c>
      <c r="D15" s="62">
        <f t="shared" si="2"/>
        <v>2.6770025839793283</v>
      </c>
      <c r="E15" s="81">
        <f>'Water Reading'!H15-'Water Reading'!H14</f>
        <v>94</v>
      </c>
      <c r="F15" s="82">
        <f t="shared" si="3"/>
        <v>9.0733590733590733E-2</v>
      </c>
      <c r="G15" s="86">
        <f>('Water Reading'!D15-'Water Reading'!D14)-('Water Reading'!R15-'Water Reading'!R14)-('Water Reading'!Q15-'Water Reading'!Q14)</f>
        <v>115</v>
      </c>
      <c r="H15" s="82">
        <f t="shared" si="4"/>
        <v>0.111003861003861</v>
      </c>
      <c r="I15" s="83">
        <f>'Water Reading'!P15-'Water Reading'!P14</f>
        <v>9</v>
      </c>
      <c r="J15" s="63">
        <f t="shared" si="5"/>
        <v>8.6872586872586872E-3</v>
      </c>
      <c r="K15" s="84">
        <f>('Water Reading'!I15-'Water Reading'!I14)-('Water Reading'!P15-'Water Reading'!P14)</f>
        <v>15</v>
      </c>
      <c r="L15" s="63">
        <f t="shared" si="6"/>
        <v>1.4478764478764479E-2</v>
      </c>
      <c r="M15" s="83">
        <f>'Water Reading'!R15-'Water Reading'!R14</f>
        <v>6</v>
      </c>
      <c r="N15" s="85">
        <f t="shared" si="7"/>
        <v>5.7915057915057912E-3</v>
      </c>
      <c r="O15" s="83">
        <f>'Water Reading'!Q15-'Water Reading'!Q14</f>
        <v>4</v>
      </c>
      <c r="P15" s="91">
        <f t="shared" si="8"/>
        <v>3.8610038610038611E-3</v>
      </c>
      <c r="Q15" s="84">
        <f>'Water Reading'!F15-'Water Reading'!F14</f>
        <v>0</v>
      </c>
      <c r="R15" s="92">
        <f t="shared" si="9"/>
        <v>0</v>
      </c>
      <c r="S15" s="83">
        <f>'Water Reading'!E15-'Water Reading'!E14</f>
        <v>60</v>
      </c>
      <c r="T15" s="92">
        <f t="shared" si="10"/>
        <v>5.7915057915057917E-2</v>
      </c>
      <c r="U15" s="83">
        <f>'Water Reading'!G15-'Water Reading'!G14</f>
        <v>13</v>
      </c>
      <c r="V15" s="92">
        <f t="shared" si="11"/>
        <v>1.2548262548262547E-2</v>
      </c>
      <c r="W15" s="83">
        <f>'Water Reading'!J15-'Water Reading'!J14</f>
        <v>12</v>
      </c>
      <c r="X15" s="92">
        <f t="shared" si="12"/>
        <v>1.1583011583011582E-2</v>
      </c>
      <c r="Y15" s="61">
        <f t="shared" si="0"/>
        <v>328</v>
      </c>
      <c r="Z15" s="62">
        <f t="shared" si="1"/>
        <v>0.84754521963824292</v>
      </c>
    </row>
    <row r="16" spans="1:26" x14ac:dyDescent="0.3">
      <c r="A16" s="8">
        <f>'Water Reading'!A15</f>
        <v>44390</v>
      </c>
      <c r="B16" s="60">
        <f>TOTAL!I14</f>
        <v>253</v>
      </c>
      <c r="C16" s="61">
        <f>('Water Reading'!B16-'Water Reading'!B15)+('Water Reading'!C16-'Water Reading'!C15)</f>
        <v>14</v>
      </c>
      <c r="D16" s="62">
        <f t="shared" si="2"/>
        <v>5.533596837944664E-2</v>
      </c>
      <c r="E16" s="81">
        <f>'Water Reading'!H16-'Water Reading'!H15</f>
        <v>67</v>
      </c>
      <c r="F16" s="82">
        <f t="shared" si="3"/>
        <v>4.7857142857142856</v>
      </c>
      <c r="G16" s="86">
        <f>('Water Reading'!D16-'Water Reading'!D15)-('Water Reading'!R16-'Water Reading'!R15)-('Water Reading'!Q16-'Water Reading'!Q15)</f>
        <v>103</v>
      </c>
      <c r="H16" s="82">
        <f t="shared" si="4"/>
        <v>7.3571428571428568</v>
      </c>
      <c r="I16" s="83">
        <f>'Water Reading'!P16-'Water Reading'!P15</f>
        <v>11</v>
      </c>
      <c r="J16" s="63">
        <f t="shared" si="5"/>
        <v>0.7857142857142857</v>
      </c>
      <c r="K16" s="84">
        <f>('Water Reading'!I16-'Water Reading'!I15)-('Water Reading'!P16-'Water Reading'!P15)</f>
        <v>17</v>
      </c>
      <c r="L16" s="63">
        <f t="shared" si="6"/>
        <v>1.2142857142857142</v>
      </c>
      <c r="M16" s="83">
        <f>'Water Reading'!R16-'Water Reading'!R15</f>
        <v>6</v>
      </c>
      <c r="N16" s="85">
        <f t="shared" si="7"/>
        <v>0.42857142857142855</v>
      </c>
      <c r="O16" s="83">
        <f>'Water Reading'!Q16-'Water Reading'!Q15</f>
        <v>2</v>
      </c>
      <c r="P16" s="91">
        <f t="shared" si="8"/>
        <v>0.14285714285714285</v>
      </c>
      <c r="Q16" s="84">
        <f>'Water Reading'!F16-'Water Reading'!F15</f>
        <v>1</v>
      </c>
      <c r="R16" s="92">
        <f t="shared" si="9"/>
        <v>7.1428571428571425E-2</v>
      </c>
      <c r="S16" s="83">
        <f>'Water Reading'!E16-'Water Reading'!E15</f>
        <v>66</v>
      </c>
      <c r="T16" s="92">
        <f t="shared" si="10"/>
        <v>4.7142857142857144</v>
      </c>
      <c r="U16" s="83">
        <f>'Water Reading'!G16-'Water Reading'!G15</f>
        <v>18</v>
      </c>
      <c r="V16" s="92">
        <f t="shared" si="11"/>
        <v>1.2857142857142858</v>
      </c>
      <c r="W16" s="83">
        <f>'Water Reading'!J16-'Water Reading'!J15</f>
        <v>12</v>
      </c>
      <c r="X16" s="92">
        <f t="shared" si="12"/>
        <v>0.8571428571428571</v>
      </c>
      <c r="Y16" s="61">
        <f t="shared" si="0"/>
        <v>303</v>
      </c>
      <c r="Z16" s="62">
        <f t="shared" si="1"/>
        <v>1.1976284584980237</v>
      </c>
    </row>
    <row r="17" spans="1:26" x14ac:dyDescent="0.3">
      <c r="A17" s="8">
        <f>'Water Reading'!A16</f>
        <v>44391</v>
      </c>
      <c r="B17" s="60">
        <f>TOTAL!I15</f>
        <v>263</v>
      </c>
      <c r="C17" s="61">
        <f>('Water Reading'!B17-'Water Reading'!B16)+('Water Reading'!C17-'Water Reading'!C16)</f>
        <v>93</v>
      </c>
      <c r="D17" s="62">
        <f t="shared" si="2"/>
        <v>0.35361216730038025</v>
      </c>
      <c r="E17" s="81">
        <f>'Water Reading'!H17-'Water Reading'!H16</f>
        <v>60</v>
      </c>
      <c r="F17" s="82">
        <f t="shared" si="3"/>
        <v>0.64516129032258063</v>
      </c>
      <c r="G17" s="86">
        <f>('Water Reading'!D17-'Water Reading'!D16)-('Water Reading'!R17-'Water Reading'!R16)-('Water Reading'!Q17-'Water Reading'!Q16)</f>
        <v>100.79999999999995</v>
      </c>
      <c r="H17" s="82">
        <f t="shared" si="4"/>
        <v>1.0838709677419349</v>
      </c>
      <c r="I17" s="83">
        <f>'Water Reading'!P17-'Water Reading'!P16</f>
        <v>12</v>
      </c>
      <c r="J17" s="63">
        <f t="shared" si="5"/>
        <v>0.12903225806451613</v>
      </c>
      <c r="K17" s="84">
        <f>('Water Reading'!I17-'Water Reading'!I16)-('Water Reading'!P17-'Water Reading'!P16)</f>
        <v>12</v>
      </c>
      <c r="L17" s="63">
        <f t="shared" si="6"/>
        <v>0.12903225806451613</v>
      </c>
      <c r="M17" s="83">
        <f>'Water Reading'!R17-'Water Reading'!R16</f>
        <v>6</v>
      </c>
      <c r="N17" s="85">
        <f t="shared" si="7"/>
        <v>6.4516129032258063E-2</v>
      </c>
      <c r="O17" s="83">
        <f>'Water Reading'!Q17-'Water Reading'!Q16</f>
        <v>1.2000000000000455</v>
      </c>
      <c r="P17" s="91">
        <f t="shared" si="8"/>
        <v>1.2903225806452102E-2</v>
      </c>
      <c r="Q17" s="84">
        <f>'Water Reading'!F17-'Water Reading'!F16</f>
        <v>1</v>
      </c>
      <c r="R17" s="92">
        <f t="shared" si="9"/>
        <v>1.0752688172043012E-2</v>
      </c>
      <c r="S17" s="83">
        <f>'Water Reading'!E17-'Water Reading'!E16</f>
        <v>55</v>
      </c>
      <c r="T17" s="92">
        <f t="shared" si="10"/>
        <v>0.59139784946236562</v>
      </c>
      <c r="U17" s="83">
        <f>'Water Reading'!G17-'Water Reading'!G16</f>
        <v>10</v>
      </c>
      <c r="V17" s="92">
        <f t="shared" si="11"/>
        <v>0.10752688172043011</v>
      </c>
      <c r="W17" s="83">
        <f>'Water Reading'!J17-'Water Reading'!J16</f>
        <v>11</v>
      </c>
      <c r="X17" s="92">
        <f t="shared" si="12"/>
        <v>0.11827956989247312</v>
      </c>
      <c r="Y17" s="61">
        <f t="shared" si="0"/>
        <v>269</v>
      </c>
      <c r="Z17" s="62">
        <f t="shared" si="1"/>
        <v>1.0228136882129277</v>
      </c>
    </row>
    <row r="18" spans="1:26" x14ac:dyDescent="0.3">
      <c r="A18" s="8">
        <f>'Water Reading'!A17</f>
        <v>44392</v>
      </c>
      <c r="B18" s="60">
        <f>TOTAL!I16</f>
        <v>289</v>
      </c>
      <c r="C18" s="61">
        <f>('Water Reading'!B18-'Water Reading'!B17)+('Water Reading'!C18-'Water Reading'!C17)</f>
        <v>15</v>
      </c>
      <c r="D18" s="62">
        <f t="shared" si="2"/>
        <v>5.1903114186851208E-2</v>
      </c>
      <c r="E18" s="81">
        <f>'Water Reading'!H18-'Water Reading'!H17</f>
        <v>72</v>
      </c>
      <c r="F18" s="82">
        <f t="shared" si="3"/>
        <v>4.8</v>
      </c>
      <c r="G18" s="86">
        <f>('Water Reading'!D18-'Water Reading'!D17)-('Water Reading'!R18-'Water Reading'!R17)-('Water Reading'!Q18-'Water Reading'!Q17)</f>
        <v>102.20000000000005</v>
      </c>
      <c r="H18" s="82">
        <f t="shared" si="4"/>
        <v>6.8133333333333361</v>
      </c>
      <c r="I18" s="83">
        <f>'Water Reading'!P18-'Water Reading'!P17</f>
        <v>12</v>
      </c>
      <c r="J18" s="63">
        <f t="shared" si="5"/>
        <v>0.8</v>
      </c>
      <c r="K18" s="84">
        <f>('Water Reading'!I18-'Water Reading'!I17)-('Water Reading'!P18-'Water Reading'!P17)</f>
        <v>34</v>
      </c>
      <c r="L18" s="63">
        <f t="shared" si="6"/>
        <v>2.2666666666666666</v>
      </c>
      <c r="M18" s="83">
        <f>'Water Reading'!R18-'Water Reading'!R17</f>
        <v>5</v>
      </c>
      <c r="N18" s="85">
        <f t="shared" si="7"/>
        <v>0.33333333333333331</v>
      </c>
      <c r="O18" s="83">
        <f>'Water Reading'!Q18-'Water Reading'!Q17</f>
        <v>5.7999999999999545</v>
      </c>
      <c r="P18" s="91">
        <f t="shared" si="8"/>
        <v>0.38666666666666366</v>
      </c>
      <c r="Q18" s="84">
        <f>'Water Reading'!F18-'Water Reading'!F17</f>
        <v>1</v>
      </c>
      <c r="R18" s="92">
        <f t="shared" si="9"/>
        <v>6.6666666666666666E-2</v>
      </c>
      <c r="S18" s="83">
        <f>'Water Reading'!E18-'Water Reading'!E17</f>
        <v>60</v>
      </c>
      <c r="T18" s="92">
        <f t="shared" si="10"/>
        <v>4</v>
      </c>
      <c r="U18" s="83">
        <f>'Water Reading'!G18-'Water Reading'!G17</f>
        <v>20</v>
      </c>
      <c r="V18" s="92">
        <f t="shared" si="11"/>
        <v>1.3333333333333333</v>
      </c>
      <c r="W18" s="83">
        <f>'Water Reading'!J18-'Water Reading'!J17</f>
        <v>12</v>
      </c>
      <c r="X18" s="92">
        <f t="shared" si="12"/>
        <v>0.8</v>
      </c>
      <c r="Y18" s="61">
        <f t="shared" si="0"/>
        <v>324</v>
      </c>
      <c r="Z18" s="62">
        <f t="shared" si="1"/>
        <v>1.1211072664359862</v>
      </c>
    </row>
    <row r="19" spans="1:26" x14ac:dyDescent="0.3">
      <c r="A19" s="8">
        <f>'Water Reading'!A18</f>
        <v>44393</v>
      </c>
      <c r="B19" s="60">
        <f>TOTAL!I17</f>
        <v>324</v>
      </c>
      <c r="C19" s="61">
        <f>('Water Reading'!B19-'Water Reading'!B18)+('Water Reading'!C19-'Water Reading'!C18)</f>
        <v>552</v>
      </c>
      <c r="D19" s="62">
        <f t="shared" si="2"/>
        <v>1.7037037037037037</v>
      </c>
      <c r="E19" s="81">
        <f>'Water Reading'!H19-'Water Reading'!H18</f>
        <v>77</v>
      </c>
      <c r="F19" s="82">
        <f t="shared" si="3"/>
        <v>0.13949275362318841</v>
      </c>
      <c r="G19" s="86">
        <f>('Water Reading'!D19-'Water Reading'!D18)-('Water Reading'!R19-'Water Reading'!R18)-('Water Reading'!Q19-'Water Reading'!Q18)</f>
        <v>140</v>
      </c>
      <c r="H19" s="82">
        <f t="shared" si="4"/>
        <v>0.25362318840579712</v>
      </c>
      <c r="I19" s="83">
        <f>'Water Reading'!P19-'Water Reading'!P18</f>
        <v>0</v>
      </c>
      <c r="J19" s="63">
        <f t="shared" si="5"/>
        <v>0</v>
      </c>
      <c r="K19" s="84">
        <f>('Water Reading'!I19-'Water Reading'!I18)-('Water Reading'!P19-'Water Reading'!P18)</f>
        <v>20</v>
      </c>
      <c r="L19" s="63">
        <f t="shared" si="6"/>
        <v>3.6231884057971016E-2</v>
      </c>
      <c r="M19" s="83">
        <f>'Water Reading'!R19-'Water Reading'!R18</f>
        <v>6</v>
      </c>
      <c r="N19" s="85">
        <f t="shared" si="7"/>
        <v>1.0869565217391304E-2</v>
      </c>
      <c r="O19" s="83">
        <f>'Water Reading'!Q19-'Water Reading'!Q18</f>
        <v>3</v>
      </c>
      <c r="P19" s="91">
        <f t="shared" si="8"/>
        <v>5.434782608695652E-3</v>
      </c>
      <c r="Q19" s="84">
        <f>'Water Reading'!F19-'Water Reading'!F18</f>
        <v>1</v>
      </c>
      <c r="R19" s="92">
        <f t="shared" si="9"/>
        <v>1.8115942028985507E-3</v>
      </c>
      <c r="S19" s="83">
        <f>'Water Reading'!E19-'Water Reading'!E18</f>
        <v>68</v>
      </c>
      <c r="T19" s="92">
        <f t="shared" si="10"/>
        <v>0.12318840579710146</v>
      </c>
      <c r="U19" s="83">
        <f>'Water Reading'!G19-'Water Reading'!G18</f>
        <v>23</v>
      </c>
      <c r="V19" s="92">
        <f t="shared" si="11"/>
        <v>4.1666666666666664E-2</v>
      </c>
      <c r="W19" s="83">
        <f>'Water Reading'!J19-'Water Reading'!J18</f>
        <v>13</v>
      </c>
      <c r="X19" s="92">
        <f t="shared" si="12"/>
        <v>2.355072463768116E-2</v>
      </c>
      <c r="Y19" s="61">
        <f t="shared" si="0"/>
        <v>351</v>
      </c>
      <c r="Z19" s="62">
        <f t="shared" si="1"/>
        <v>1.0833333333333333</v>
      </c>
    </row>
    <row r="20" spans="1:26" x14ac:dyDescent="0.3">
      <c r="A20" s="8">
        <f>'Water Reading'!A19</f>
        <v>44394</v>
      </c>
      <c r="B20" s="60">
        <f>TOTAL!I18</f>
        <v>244</v>
      </c>
      <c r="C20" s="61">
        <f>('Water Reading'!B20-'Water Reading'!B19)+('Water Reading'!C20-'Water Reading'!C19)</f>
        <v>323</v>
      </c>
      <c r="D20" s="62">
        <f t="shared" si="2"/>
        <v>1.3237704918032787</v>
      </c>
      <c r="E20" s="81">
        <f>'Water Reading'!H20-'Water Reading'!H19</f>
        <v>49</v>
      </c>
      <c r="F20" s="82">
        <f t="shared" si="3"/>
        <v>0.15170278637770898</v>
      </c>
      <c r="G20" s="86">
        <f>('Water Reading'!D20-'Water Reading'!D19)-('Water Reading'!R20-'Water Reading'!R19)-('Water Reading'!Q20-'Water Reading'!Q19)</f>
        <v>136</v>
      </c>
      <c r="H20" s="82">
        <f t="shared" si="4"/>
        <v>0.42105263157894735</v>
      </c>
      <c r="I20" s="83">
        <f>'Water Reading'!P20-'Water Reading'!P19</f>
        <v>14</v>
      </c>
      <c r="J20" s="63">
        <f t="shared" si="5"/>
        <v>4.3343653250773995E-2</v>
      </c>
      <c r="K20" s="84">
        <f>('Water Reading'!I20-'Water Reading'!I19)-('Water Reading'!P20-'Water Reading'!P19)</f>
        <v>21</v>
      </c>
      <c r="L20" s="63">
        <f t="shared" si="6"/>
        <v>6.5015479876160992E-2</v>
      </c>
      <c r="M20" s="83">
        <f>'Water Reading'!R20-'Water Reading'!R19</f>
        <v>6</v>
      </c>
      <c r="N20" s="85">
        <f t="shared" si="7"/>
        <v>1.8575851393188854E-2</v>
      </c>
      <c r="O20" s="83">
        <f>'Water Reading'!Q20-'Water Reading'!Q19</f>
        <v>4</v>
      </c>
      <c r="P20" s="91">
        <f t="shared" si="8"/>
        <v>1.238390092879257E-2</v>
      </c>
      <c r="Q20" s="84">
        <f>'Water Reading'!F20-'Water Reading'!F19</f>
        <v>1</v>
      </c>
      <c r="R20" s="92">
        <f t="shared" si="9"/>
        <v>3.0959752321981426E-3</v>
      </c>
      <c r="S20" s="83">
        <f>'Water Reading'!E20-'Water Reading'!E19</f>
        <v>61</v>
      </c>
      <c r="T20" s="92">
        <f t="shared" si="10"/>
        <v>0.18885448916408668</v>
      </c>
      <c r="U20" s="83">
        <f>'Water Reading'!G20-'Water Reading'!G19</f>
        <v>19</v>
      </c>
      <c r="V20" s="92">
        <f t="shared" si="11"/>
        <v>5.8823529411764705E-2</v>
      </c>
      <c r="W20" s="83">
        <f>'Water Reading'!J20-'Water Reading'!J19</f>
        <v>11</v>
      </c>
      <c r="X20" s="92">
        <f t="shared" si="12"/>
        <v>3.4055727554179564E-2</v>
      </c>
      <c r="Y20" s="61">
        <f t="shared" si="0"/>
        <v>322</v>
      </c>
      <c r="Z20" s="62">
        <f t="shared" si="1"/>
        <v>1.319672131147541</v>
      </c>
    </row>
    <row r="21" spans="1:26" x14ac:dyDescent="0.3">
      <c r="A21" s="8">
        <f>'Water Reading'!A20</f>
        <v>44395</v>
      </c>
      <c r="B21" s="60">
        <f>TOTAL!I19</f>
        <v>244</v>
      </c>
      <c r="C21" s="61">
        <f>('Water Reading'!B21-'Water Reading'!B20)+('Water Reading'!C21-'Water Reading'!C20)</f>
        <v>31</v>
      </c>
      <c r="D21" s="62">
        <f t="shared" si="2"/>
        <v>0.12704918032786885</v>
      </c>
      <c r="E21" s="81">
        <f>'Water Reading'!H21-'Water Reading'!H20</f>
        <v>42</v>
      </c>
      <c r="F21" s="82">
        <f t="shared" si="3"/>
        <v>1.3548387096774193</v>
      </c>
      <c r="G21" s="86">
        <f>('Water Reading'!D21-'Water Reading'!D20)-('Water Reading'!R21-'Water Reading'!R20)-('Water Reading'!Q21-'Water Reading'!Q20)</f>
        <v>150</v>
      </c>
      <c r="H21" s="82">
        <f t="shared" si="4"/>
        <v>4.838709677419355</v>
      </c>
      <c r="I21" s="83">
        <f>'Water Reading'!P21-'Water Reading'!P20</f>
        <v>12</v>
      </c>
      <c r="J21" s="63">
        <f t="shared" si="5"/>
        <v>0.38709677419354838</v>
      </c>
      <c r="K21" s="84">
        <f>('Water Reading'!I21-'Water Reading'!I20)-('Water Reading'!P21-'Water Reading'!P20)</f>
        <v>21</v>
      </c>
      <c r="L21" s="63">
        <f t="shared" si="6"/>
        <v>0.67741935483870963</v>
      </c>
      <c r="M21" s="83">
        <f>'Water Reading'!R21-'Water Reading'!R20</f>
        <v>10</v>
      </c>
      <c r="N21" s="85">
        <f t="shared" si="7"/>
        <v>0.32258064516129031</v>
      </c>
      <c r="O21" s="83">
        <f>'Water Reading'!Q21-'Water Reading'!Q20</f>
        <v>4</v>
      </c>
      <c r="P21" s="91">
        <f t="shared" si="8"/>
        <v>0.12903225806451613</v>
      </c>
      <c r="Q21" s="84">
        <f>'Water Reading'!F21-'Water Reading'!F20</f>
        <v>1</v>
      </c>
      <c r="R21" s="92">
        <f t="shared" si="9"/>
        <v>3.2258064516129031E-2</v>
      </c>
      <c r="S21" s="83">
        <f>'Water Reading'!E21-'Water Reading'!E20</f>
        <v>54</v>
      </c>
      <c r="T21" s="92">
        <f t="shared" si="10"/>
        <v>1.7419354838709677</v>
      </c>
      <c r="U21" s="83">
        <f>'Water Reading'!G21-'Water Reading'!G20</f>
        <v>21</v>
      </c>
      <c r="V21" s="92">
        <f t="shared" si="11"/>
        <v>0.67741935483870963</v>
      </c>
      <c r="W21" s="83">
        <f>'Water Reading'!J21-'Water Reading'!J20</f>
        <v>13</v>
      </c>
      <c r="X21" s="92">
        <f t="shared" si="12"/>
        <v>0.41935483870967744</v>
      </c>
      <c r="Y21" s="61">
        <f t="shared" si="0"/>
        <v>328</v>
      </c>
      <c r="Z21" s="62">
        <f t="shared" si="1"/>
        <v>1.3442622950819672</v>
      </c>
    </row>
    <row r="22" spans="1:26" x14ac:dyDescent="0.3">
      <c r="A22" s="8">
        <f>'Water Reading'!A21</f>
        <v>44396</v>
      </c>
      <c r="B22" s="60">
        <f>TOTAL!I20</f>
        <v>306</v>
      </c>
      <c r="C22" s="61">
        <f>('Water Reading'!B22-'Water Reading'!B21)+('Water Reading'!C22-'Water Reading'!C21)</f>
        <v>17</v>
      </c>
      <c r="D22" s="62">
        <f t="shared" si="2"/>
        <v>5.5555555555555552E-2</v>
      </c>
      <c r="E22" s="81">
        <f>'Water Reading'!H22-'Water Reading'!H21</f>
        <v>35</v>
      </c>
      <c r="F22" s="82">
        <f t="shared" si="3"/>
        <v>2.0588235294117645</v>
      </c>
      <c r="G22" s="86">
        <f>('Water Reading'!D22-'Water Reading'!D21)-('Water Reading'!R22-'Water Reading'!R21)-('Water Reading'!Q22-'Water Reading'!Q21)</f>
        <v>153</v>
      </c>
      <c r="H22" s="82">
        <f t="shared" si="4"/>
        <v>9</v>
      </c>
      <c r="I22" s="83">
        <f>'Water Reading'!P22-'Water Reading'!P21</f>
        <v>6</v>
      </c>
      <c r="J22" s="63">
        <f t="shared" si="5"/>
        <v>0.35294117647058826</v>
      </c>
      <c r="K22" s="84">
        <f>('Water Reading'!I22-'Water Reading'!I21)-('Water Reading'!P22-'Water Reading'!P21)</f>
        <v>20</v>
      </c>
      <c r="L22" s="63">
        <f t="shared" si="6"/>
        <v>1.1764705882352942</v>
      </c>
      <c r="M22" s="83">
        <f>'Water Reading'!R22-'Water Reading'!R21</f>
        <v>6</v>
      </c>
      <c r="N22" s="85">
        <f t="shared" si="7"/>
        <v>0.35294117647058826</v>
      </c>
      <c r="O22" s="83">
        <f>'Water Reading'!Q22-'Water Reading'!Q21</f>
        <v>5</v>
      </c>
      <c r="P22" s="91">
        <f t="shared" si="8"/>
        <v>0.29411764705882354</v>
      </c>
      <c r="Q22" s="84">
        <f>'Water Reading'!F22-'Water Reading'!F21</f>
        <v>0</v>
      </c>
      <c r="R22" s="92">
        <f t="shared" si="9"/>
        <v>0</v>
      </c>
      <c r="S22" s="83">
        <f>'Water Reading'!E22-'Water Reading'!E21</f>
        <v>56</v>
      </c>
      <c r="T22" s="92">
        <f t="shared" si="10"/>
        <v>3.2941176470588234</v>
      </c>
      <c r="U22" s="83">
        <f>'Water Reading'!G22-'Water Reading'!G21</f>
        <v>15</v>
      </c>
      <c r="V22" s="92">
        <f t="shared" si="11"/>
        <v>0.88235294117647056</v>
      </c>
      <c r="W22" s="83">
        <f>'Water Reading'!J22-'Water Reading'!J21</f>
        <v>10</v>
      </c>
      <c r="X22" s="92">
        <f t="shared" si="12"/>
        <v>0.58823529411764708</v>
      </c>
      <c r="Y22" s="61">
        <f t="shared" si="0"/>
        <v>306</v>
      </c>
      <c r="Z22" s="62">
        <f t="shared" si="1"/>
        <v>1</v>
      </c>
    </row>
    <row r="23" spans="1:26" x14ac:dyDescent="0.3">
      <c r="A23" s="8">
        <f>'Water Reading'!A22</f>
        <v>44397</v>
      </c>
      <c r="B23" s="60">
        <f>TOTAL!I21</f>
        <v>270</v>
      </c>
      <c r="C23" s="61">
        <f>('Water Reading'!B23-'Water Reading'!B22)+('Water Reading'!C23-'Water Reading'!C22)</f>
        <v>34</v>
      </c>
      <c r="D23" s="62">
        <f t="shared" si="2"/>
        <v>0.12592592592592591</v>
      </c>
      <c r="E23" s="81">
        <f>'Water Reading'!H23-'Water Reading'!H22</f>
        <v>39</v>
      </c>
      <c r="F23" s="82">
        <f t="shared" si="3"/>
        <v>1.1470588235294117</v>
      </c>
      <c r="G23" s="86">
        <f>('Water Reading'!D23-'Water Reading'!D22)-('Water Reading'!R23-'Water Reading'!R22)-('Water Reading'!Q23-'Water Reading'!Q22)</f>
        <v>148</v>
      </c>
      <c r="H23" s="82">
        <f t="shared" si="4"/>
        <v>4.3529411764705879</v>
      </c>
      <c r="I23" s="83">
        <f>'Water Reading'!P23-'Water Reading'!P22</f>
        <v>15</v>
      </c>
      <c r="J23" s="63">
        <f t="shared" si="5"/>
        <v>0.44117647058823528</v>
      </c>
      <c r="K23" s="84">
        <f>('Water Reading'!I23-'Water Reading'!I22)-('Water Reading'!P23-'Water Reading'!P22)</f>
        <v>25</v>
      </c>
      <c r="L23" s="63">
        <f t="shared" si="6"/>
        <v>0.73529411764705888</v>
      </c>
      <c r="M23" s="83">
        <f>'Water Reading'!R23-'Water Reading'!R22</f>
        <v>4</v>
      </c>
      <c r="N23" s="85">
        <f t="shared" si="7"/>
        <v>0.11764705882352941</v>
      </c>
      <c r="O23" s="83">
        <f>'Water Reading'!Q23-'Water Reading'!Q22</f>
        <v>2</v>
      </c>
      <c r="P23" s="91">
        <f t="shared" si="8"/>
        <v>5.8823529411764705E-2</v>
      </c>
      <c r="Q23" s="84">
        <f>'Water Reading'!F23-'Water Reading'!F22</f>
        <v>1</v>
      </c>
      <c r="R23" s="92">
        <f t="shared" si="9"/>
        <v>2.9411764705882353E-2</v>
      </c>
      <c r="S23" s="83">
        <f>'Water Reading'!E23-'Water Reading'!E22</f>
        <v>62</v>
      </c>
      <c r="T23" s="92">
        <f t="shared" si="10"/>
        <v>1.8235294117647058</v>
      </c>
      <c r="U23" s="83">
        <f>'Water Reading'!G23-'Water Reading'!G22</f>
        <v>23</v>
      </c>
      <c r="V23" s="92">
        <f t="shared" si="11"/>
        <v>0.67647058823529416</v>
      </c>
      <c r="W23" s="83">
        <f>'Water Reading'!J23-'Water Reading'!J22</f>
        <v>12</v>
      </c>
      <c r="X23" s="92">
        <f t="shared" si="12"/>
        <v>0.35294117647058826</v>
      </c>
      <c r="Y23" s="61">
        <f t="shared" si="0"/>
        <v>331</v>
      </c>
      <c r="Z23" s="62">
        <f t="shared" si="1"/>
        <v>1.2259259259259259</v>
      </c>
    </row>
    <row r="24" spans="1:26" x14ac:dyDescent="0.3">
      <c r="A24" s="8">
        <f>'Water Reading'!A23</f>
        <v>44398</v>
      </c>
      <c r="B24" s="60">
        <f>TOTAL!I22</f>
        <v>323</v>
      </c>
      <c r="C24" s="61">
        <f>('Water Reading'!B24-'Water Reading'!B23)+('Water Reading'!C24-'Water Reading'!C23)</f>
        <v>767</v>
      </c>
      <c r="D24" s="62">
        <f t="shared" si="2"/>
        <v>2.3746130030959751</v>
      </c>
      <c r="E24" s="81">
        <f>'Water Reading'!H24-'Water Reading'!H23</f>
        <v>58</v>
      </c>
      <c r="F24" s="82">
        <f t="shared" si="3"/>
        <v>7.5619295958279015E-2</v>
      </c>
      <c r="G24" s="86">
        <f>('Water Reading'!D24-'Water Reading'!D23)-('Water Reading'!R24-'Water Reading'!R23)-('Water Reading'!Q24-'Water Reading'!Q23)</f>
        <v>70</v>
      </c>
      <c r="H24" s="82">
        <f t="shared" si="4"/>
        <v>9.126466753585398E-2</v>
      </c>
      <c r="I24" s="83">
        <f>'Water Reading'!P24-'Water Reading'!P23</f>
        <v>12</v>
      </c>
      <c r="J24" s="63">
        <f t="shared" si="5"/>
        <v>1.5645371577574969E-2</v>
      </c>
      <c r="K24" s="84">
        <f>('Water Reading'!I24-'Water Reading'!I23)-('Water Reading'!P24-'Water Reading'!P23)</f>
        <v>18</v>
      </c>
      <c r="L24" s="63">
        <f t="shared" si="6"/>
        <v>2.3468057366362451E-2</v>
      </c>
      <c r="M24" s="83">
        <f>'Water Reading'!R24-'Water Reading'!R23</f>
        <v>7</v>
      </c>
      <c r="N24" s="85">
        <f t="shared" si="7"/>
        <v>9.126466753585397E-3</v>
      </c>
      <c r="O24" s="83">
        <f>'Water Reading'!Q24-'Water Reading'!Q23</f>
        <v>5</v>
      </c>
      <c r="P24" s="91">
        <f t="shared" si="8"/>
        <v>6.51890482398957E-3</v>
      </c>
      <c r="Q24" s="84">
        <f>'Water Reading'!F24-'Water Reading'!F23</f>
        <v>0</v>
      </c>
      <c r="R24" s="92">
        <f t="shared" si="9"/>
        <v>0</v>
      </c>
      <c r="S24" s="83">
        <f>'Water Reading'!E24-'Water Reading'!E23</f>
        <v>58</v>
      </c>
      <c r="T24" s="92">
        <f t="shared" si="10"/>
        <v>7.5619295958279015E-2</v>
      </c>
      <c r="U24" s="83">
        <f>'Water Reading'!G24-'Water Reading'!G23</f>
        <v>18</v>
      </c>
      <c r="V24" s="92">
        <f t="shared" si="11"/>
        <v>2.3468057366362451E-2</v>
      </c>
      <c r="W24" s="83">
        <f>'Water Reading'!J24-'Water Reading'!J23</f>
        <v>11</v>
      </c>
      <c r="X24" s="92">
        <f t="shared" si="12"/>
        <v>1.4341590612777053E-2</v>
      </c>
      <c r="Y24" s="61">
        <f t="shared" si="0"/>
        <v>257</v>
      </c>
      <c r="Z24" s="62">
        <f t="shared" si="1"/>
        <v>0.79566563467492257</v>
      </c>
    </row>
    <row r="25" spans="1:26" x14ac:dyDescent="0.3">
      <c r="A25" s="8">
        <f>'Water Reading'!A24</f>
        <v>44399</v>
      </c>
      <c r="B25" s="60">
        <f>TOTAL!I23</f>
        <v>255</v>
      </c>
      <c r="C25" s="61">
        <f>('Water Reading'!B25-'Water Reading'!B24)+('Water Reading'!C25-'Water Reading'!C24)</f>
        <v>432</v>
      </c>
      <c r="D25" s="62">
        <f t="shared" si="2"/>
        <v>1.6941176470588235</v>
      </c>
      <c r="E25" s="81">
        <f>'Water Reading'!H25-'Water Reading'!H24</f>
        <v>60</v>
      </c>
      <c r="F25" s="82">
        <f t="shared" si="3"/>
        <v>0.1388888888888889</v>
      </c>
      <c r="G25" s="86">
        <f>('Water Reading'!D25-'Water Reading'!D24)-('Water Reading'!R25-'Water Reading'!R24)-('Water Reading'!Q25-'Water Reading'!Q24)</f>
        <v>103</v>
      </c>
      <c r="H25" s="82">
        <f t="shared" si="4"/>
        <v>0.23842592592592593</v>
      </c>
      <c r="I25" s="83">
        <f>'Water Reading'!P25-'Water Reading'!P24</f>
        <v>12</v>
      </c>
      <c r="J25" s="63">
        <f t="shared" si="5"/>
        <v>2.7777777777777776E-2</v>
      </c>
      <c r="K25" s="84">
        <f>('Water Reading'!I25-'Water Reading'!I24)-('Water Reading'!P25-'Water Reading'!P24)</f>
        <v>24</v>
      </c>
      <c r="L25" s="63">
        <f t="shared" si="6"/>
        <v>5.5555555555555552E-2</v>
      </c>
      <c r="M25" s="83">
        <f>'Water Reading'!R25-'Water Reading'!R24</f>
        <v>5</v>
      </c>
      <c r="N25" s="85">
        <f t="shared" si="7"/>
        <v>1.1574074074074073E-2</v>
      </c>
      <c r="O25" s="83">
        <f>'Water Reading'!Q25-'Water Reading'!Q24</f>
        <v>4</v>
      </c>
      <c r="P25" s="91">
        <f t="shared" si="8"/>
        <v>9.2592592592592587E-3</v>
      </c>
      <c r="Q25" s="84">
        <f>'Water Reading'!F25-'Water Reading'!F24</f>
        <v>1</v>
      </c>
      <c r="R25" s="92">
        <f t="shared" si="9"/>
        <v>2.3148148148148147E-3</v>
      </c>
      <c r="S25" s="83">
        <f>'Water Reading'!E25-'Water Reading'!E24</f>
        <v>62</v>
      </c>
      <c r="T25" s="92">
        <f t="shared" si="10"/>
        <v>0.14351851851851852</v>
      </c>
      <c r="U25" s="83">
        <f>'Water Reading'!G25-'Water Reading'!G24</f>
        <v>23</v>
      </c>
      <c r="V25" s="92">
        <f t="shared" si="11"/>
        <v>5.3240740740740741E-2</v>
      </c>
      <c r="W25" s="83">
        <f>'Water Reading'!J25-'Water Reading'!J24</f>
        <v>12</v>
      </c>
      <c r="X25" s="92">
        <f t="shared" si="12"/>
        <v>2.7777777777777776E-2</v>
      </c>
      <c r="Y25" s="61">
        <f t="shared" si="0"/>
        <v>306</v>
      </c>
      <c r="Z25" s="62">
        <f t="shared" si="1"/>
        <v>1.2</v>
      </c>
    </row>
    <row r="26" spans="1:26" x14ac:dyDescent="0.3">
      <c r="A26" s="8">
        <f>'Water Reading'!A25</f>
        <v>44400</v>
      </c>
      <c r="B26" s="60">
        <f>TOTAL!I24</f>
        <v>281</v>
      </c>
      <c r="C26" s="61">
        <f>('Water Reading'!B26-'Water Reading'!B25)+('Water Reading'!C26-'Water Reading'!C25)</f>
        <v>77</v>
      </c>
      <c r="D26" s="62">
        <f t="shared" si="2"/>
        <v>0.27402135231316727</v>
      </c>
      <c r="E26" s="81">
        <f>'Water Reading'!H26-'Water Reading'!H25</f>
        <v>57</v>
      </c>
      <c r="F26" s="82">
        <f t="shared" si="3"/>
        <v>0.74025974025974028</v>
      </c>
      <c r="G26" s="86">
        <f>('Water Reading'!D26-'Water Reading'!D25)-('Water Reading'!R26-'Water Reading'!R25)-('Water Reading'!Q26-'Water Reading'!Q25)</f>
        <v>108</v>
      </c>
      <c r="H26" s="82">
        <f t="shared" si="4"/>
        <v>1.4025974025974026</v>
      </c>
      <c r="I26" s="83">
        <f>'Water Reading'!P26-'Water Reading'!P25</f>
        <v>0</v>
      </c>
      <c r="J26" s="63">
        <f t="shared" si="5"/>
        <v>0</v>
      </c>
      <c r="K26" s="84">
        <f>('Water Reading'!I26-'Water Reading'!I25)-('Water Reading'!P26-'Water Reading'!P25)</f>
        <v>23</v>
      </c>
      <c r="L26" s="63">
        <f t="shared" si="6"/>
        <v>0.29870129870129869</v>
      </c>
      <c r="M26" s="83">
        <f>'Water Reading'!R26-'Water Reading'!R25</f>
        <v>3</v>
      </c>
      <c r="N26" s="85">
        <f t="shared" si="7"/>
        <v>3.896103896103896E-2</v>
      </c>
      <c r="O26" s="83">
        <f>'Water Reading'!Q26-'Water Reading'!Q25</f>
        <v>0</v>
      </c>
      <c r="P26" s="91">
        <f t="shared" si="8"/>
        <v>0</v>
      </c>
      <c r="Q26" s="84">
        <f>'Water Reading'!F26-'Water Reading'!F25</f>
        <v>1</v>
      </c>
      <c r="R26" s="92">
        <f t="shared" si="9"/>
        <v>1.2987012987012988E-2</v>
      </c>
      <c r="S26" s="83">
        <f>'Water Reading'!E26-'Water Reading'!E25</f>
        <v>57</v>
      </c>
      <c r="T26" s="92">
        <f t="shared" si="10"/>
        <v>0.74025974025974028</v>
      </c>
      <c r="U26" s="83">
        <f>'Water Reading'!G26-'Water Reading'!G25</f>
        <v>17</v>
      </c>
      <c r="V26" s="92">
        <f t="shared" si="11"/>
        <v>0.22077922077922077</v>
      </c>
      <c r="W26" s="83">
        <f>'Water Reading'!J26-'Water Reading'!J25</f>
        <v>11</v>
      </c>
      <c r="X26" s="92">
        <f t="shared" si="12"/>
        <v>0.14285714285714285</v>
      </c>
      <c r="Y26" s="61">
        <f t="shared" si="0"/>
        <v>277</v>
      </c>
      <c r="Z26" s="62">
        <f t="shared" si="1"/>
        <v>0.98576512455516019</v>
      </c>
    </row>
    <row r="27" spans="1:26" x14ac:dyDescent="0.3">
      <c r="A27" s="8">
        <f>'Water Reading'!A26</f>
        <v>44401</v>
      </c>
      <c r="B27" s="60">
        <f>TOTAL!I25</f>
        <v>243</v>
      </c>
      <c r="C27" s="61">
        <f>('Water Reading'!B27-'Water Reading'!B26)+('Water Reading'!C27-'Water Reading'!C26)</f>
        <v>156</v>
      </c>
      <c r="D27" s="62">
        <f t="shared" si="2"/>
        <v>0.64197530864197527</v>
      </c>
      <c r="E27" s="81">
        <f>'Water Reading'!H27-'Water Reading'!H26</f>
        <v>38</v>
      </c>
      <c r="F27" s="82">
        <f t="shared" si="3"/>
        <v>0.24358974358974358</v>
      </c>
      <c r="G27" s="86">
        <f>('Water Reading'!D27-'Water Reading'!D26)-('Water Reading'!R27-'Water Reading'!R26)-('Water Reading'!Q27-'Water Reading'!Q26)</f>
        <v>83</v>
      </c>
      <c r="H27" s="82">
        <f t="shared" si="4"/>
        <v>0.53205128205128205</v>
      </c>
      <c r="I27" s="83">
        <f>'Water Reading'!P27-'Water Reading'!P26</f>
        <v>18</v>
      </c>
      <c r="J27" s="63">
        <f t="shared" si="5"/>
        <v>0.11538461538461539</v>
      </c>
      <c r="K27" s="84">
        <f>('Water Reading'!I27-'Water Reading'!I26)-('Water Reading'!P27-'Water Reading'!P26)</f>
        <v>16</v>
      </c>
      <c r="L27" s="63">
        <f t="shared" si="6"/>
        <v>0.10256410256410256</v>
      </c>
      <c r="M27" s="83">
        <f>'Water Reading'!R27-'Water Reading'!R26</f>
        <v>38</v>
      </c>
      <c r="N27" s="85">
        <f t="shared" si="7"/>
        <v>0.24358974358974358</v>
      </c>
      <c r="O27" s="83">
        <f>'Water Reading'!Q27-'Water Reading'!Q26</f>
        <v>10</v>
      </c>
      <c r="P27" s="91">
        <f t="shared" si="8"/>
        <v>6.4102564102564097E-2</v>
      </c>
      <c r="Q27" s="84">
        <f>'Water Reading'!F27-'Water Reading'!F26</f>
        <v>1</v>
      </c>
      <c r="R27" s="92">
        <f t="shared" si="9"/>
        <v>6.41025641025641E-3</v>
      </c>
      <c r="S27" s="83">
        <f>'Water Reading'!E27-'Water Reading'!E26</f>
        <v>60</v>
      </c>
      <c r="T27" s="92">
        <f t="shared" si="10"/>
        <v>0.38461538461538464</v>
      </c>
      <c r="U27" s="83">
        <f>'Water Reading'!G27-'Water Reading'!G26</f>
        <v>20</v>
      </c>
      <c r="V27" s="92">
        <f t="shared" si="11"/>
        <v>0.12820512820512819</v>
      </c>
      <c r="W27" s="83">
        <f>'Water Reading'!J27-'Water Reading'!J26</f>
        <v>12</v>
      </c>
      <c r="X27" s="92">
        <f t="shared" si="12"/>
        <v>7.6923076923076927E-2</v>
      </c>
      <c r="Y27" s="61">
        <f t="shared" si="0"/>
        <v>296</v>
      </c>
      <c r="Z27" s="62">
        <f t="shared" si="1"/>
        <v>1.2181069958847737</v>
      </c>
    </row>
    <row r="28" spans="1:26" x14ac:dyDescent="0.3">
      <c r="A28" s="8">
        <f>'Water Reading'!A27</f>
        <v>44402</v>
      </c>
      <c r="B28" s="60">
        <f>TOTAL!I26</f>
        <v>256</v>
      </c>
      <c r="C28" s="61">
        <f>('Water Reading'!B28-'Water Reading'!B27)+('Water Reading'!C28-'Water Reading'!C27)</f>
        <v>155</v>
      </c>
      <c r="D28" s="62">
        <f t="shared" si="2"/>
        <v>0.60546875</v>
      </c>
      <c r="E28" s="81">
        <f>'Water Reading'!H28-'Water Reading'!H27</f>
        <v>68</v>
      </c>
      <c r="F28" s="82">
        <f t="shared" si="3"/>
        <v>0.43870967741935485</v>
      </c>
      <c r="G28" s="86">
        <f>('Water Reading'!D28-'Water Reading'!D27)-('Water Reading'!R28-'Water Reading'!R27)-('Water Reading'!Q28-'Water Reading'!Q27)</f>
        <v>124</v>
      </c>
      <c r="H28" s="82">
        <f t="shared" si="4"/>
        <v>0.8</v>
      </c>
      <c r="I28" s="83">
        <f>'Water Reading'!P28-'Water Reading'!P27</f>
        <v>0</v>
      </c>
      <c r="J28" s="63">
        <f t="shared" si="5"/>
        <v>0</v>
      </c>
      <c r="K28" s="84">
        <f>('Water Reading'!I28-'Water Reading'!I27)-('Water Reading'!P28-'Water Reading'!P27)</f>
        <v>20</v>
      </c>
      <c r="L28" s="63">
        <f t="shared" si="6"/>
        <v>0.12903225806451613</v>
      </c>
      <c r="M28" s="83">
        <f>'Water Reading'!R28-'Water Reading'!R27</f>
        <v>-25</v>
      </c>
      <c r="N28" s="85">
        <f t="shared" si="7"/>
        <v>-0.16129032258064516</v>
      </c>
      <c r="O28" s="83">
        <f>'Water Reading'!Q28-'Water Reading'!Q27</f>
        <v>1</v>
      </c>
      <c r="P28" s="91">
        <f t="shared" si="8"/>
        <v>6.4516129032258064E-3</v>
      </c>
      <c r="Q28" s="84">
        <f>'Water Reading'!F28-'Water Reading'!F27</f>
        <v>1</v>
      </c>
      <c r="R28" s="92">
        <f t="shared" si="9"/>
        <v>6.4516129032258064E-3</v>
      </c>
      <c r="S28" s="83">
        <f>'Water Reading'!E28-'Water Reading'!E27</f>
        <v>65</v>
      </c>
      <c r="T28" s="92">
        <f t="shared" si="10"/>
        <v>0.41935483870967744</v>
      </c>
      <c r="U28" s="83">
        <f>'Water Reading'!G28-'Water Reading'!G27</f>
        <v>28</v>
      </c>
      <c r="V28" s="92">
        <f t="shared" si="11"/>
        <v>0.18064516129032257</v>
      </c>
      <c r="W28" s="83">
        <f>'Water Reading'!J28-'Water Reading'!J27</f>
        <v>11</v>
      </c>
      <c r="X28" s="92">
        <f t="shared" si="12"/>
        <v>7.0967741935483872E-2</v>
      </c>
      <c r="Y28" s="61">
        <f t="shared" si="0"/>
        <v>293</v>
      </c>
      <c r="Z28" s="62">
        <f t="shared" si="1"/>
        <v>1.14453125</v>
      </c>
    </row>
    <row r="29" spans="1:26" x14ac:dyDescent="0.3">
      <c r="A29" s="8">
        <f>'Water Reading'!A28</f>
        <v>44403</v>
      </c>
      <c r="B29" s="60">
        <f>TOTAL!I27</f>
        <v>280</v>
      </c>
      <c r="C29" s="61">
        <f>('Water Reading'!B29-'Water Reading'!B28)+('Water Reading'!C29-'Water Reading'!C28)</f>
        <v>200</v>
      </c>
      <c r="D29" s="62">
        <f t="shared" si="2"/>
        <v>0.7142857142857143</v>
      </c>
      <c r="E29" s="81">
        <f>'Water Reading'!H29-'Water Reading'!H28</f>
        <v>31</v>
      </c>
      <c r="F29" s="82">
        <f t="shared" si="3"/>
        <v>0.155</v>
      </c>
      <c r="G29" s="86">
        <f>('Water Reading'!D29-'Water Reading'!D28)-('Water Reading'!R29-'Water Reading'!R28)-('Water Reading'!Q29-'Water Reading'!Q28)</f>
        <v>182</v>
      </c>
      <c r="H29" s="82">
        <f t="shared" si="4"/>
        <v>0.91</v>
      </c>
      <c r="I29" s="83">
        <f>'Water Reading'!P29-'Water Reading'!P28</f>
        <v>11</v>
      </c>
      <c r="J29" s="63">
        <f t="shared" si="5"/>
        <v>5.5E-2</v>
      </c>
      <c r="K29" s="84">
        <f>('Water Reading'!I29-'Water Reading'!I28)-('Water Reading'!P29-'Water Reading'!P28)</f>
        <v>20</v>
      </c>
      <c r="L29" s="63">
        <f t="shared" si="6"/>
        <v>0.1</v>
      </c>
      <c r="M29" s="83">
        <f>'Water Reading'!R29-'Water Reading'!R28</f>
        <v>6</v>
      </c>
      <c r="N29" s="85">
        <f t="shared" si="7"/>
        <v>0.03</v>
      </c>
      <c r="O29" s="83">
        <f>'Water Reading'!Q29-'Water Reading'!Q28</f>
        <v>2</v>
      </c>
      <c r="P29" s="91">
        <f t="shared" si="8"/>
        <v>0.01</v>
      </c>
      <c r="Q29" s="84">
        <f>'Water Reading'!F29-'Water Reading'!F28</f>
        <v>0</v>
      </c>
      <c r="R29" s="92">
        <f t="shared" si="9"/>
        <v>0</v>
      </c>
      <c r="S29" s="83">
        <f>'Water Reading'!E29-'Water Reading'!E28</f>
        <v>50</v>
      </c>
      <c r="T29" s="92">
        <f t="shared" si="10"/>
        <v>0.25</v>
      </c>
      <c r="U29" s="83">
        <f>'Water Reading'!G29-'Water Reading'!G28</f>
        <v>16</v>
      </c>
      <c r="V29" s="92">
        <f t="shared" si="11"/>
        <v>0.08</v>
      </c>
      <c r="W29" s="83">
        <f>'Water Reading'!J29-'Water Reading'!J28</f>
        <v>12</v>
      </c>
      <c r="X29" s="92">
        <f t="shared" si="12"/>
        <v>0.06</v>
      </c>
      <c r="Y29" s="61">
        <f t="shared" si="0"/>
        <v>330</v>
      </c>
      <c r="Z29" s="62">
        <f t="shared" si="1"/>
        <v>1.1785714285714286</v>
      </c>
    </row>
    <row r="30" spans="1:26" x14ac:dyDescent="0.3">
      <c r="A30" s="8">
        <f>'Water Reading'!A29</f>
        <v>44404</v>
      </c>
      <c r="B30" s="60">
        <f>TOTAL!I28</f>
        <v>322</v>
      </c>
      <c r="C30" s="61">
        <f>('Water Reading'!B30-'Water Reading'!B29)+('Water Reading'!C30-'Water Reading'!C29)</f>
        <v>1214</v>
      </c>
      <c r="D30" s="62">
        <f t="shared" si="2"/>
        <v>3.7701863354037268</v>
      </c>
      <c r="E30" s="81">
        <f>'Water Reading'!H30-'Water Reading'!H29</f>
        <v>26</v>
      </c>
      <c r="F30" s="82">
        <f t="shared" si="3"/>
        <v>2.1416803953871501E-2</v>
      </c>
      <c r="G30" s="86">
        <f>('Water Reading'!D30-'Water Reading'!D29)-('Water Reading'!R30-'Water Reading'!R29)-('Water Reading'!Q30-'Water Reading'!Q29)</f>
        <v>298</v>
      </c>
      <c r="H30" s="82">
        <f t="shared" si="4"/>
        <v>0.24546952224052718</v>
      </c>
      <c r="I30" s="83">
        <f>'Water Reading'!P30-'Water Reading'!P29</f>
        <v>15</v>
      </c>
      <c r="J30" s="63">
        <f t="shared" si="5"/>
        <v>1.2355848434925865E-2</v>
      </c>
      <c r="K30" s="84">
        <f>('Water Reading'!I30-'Water Reading'!I29)-('Water Reading'!P30-'Water Reading'!P29)</f>
        <v>20</v>
      </c>
      <c r="L30" s="63">
        <f t="shared" si="6"/>
        <v>1.6474464579901153E-2</v>
      </c>
      <c r="M30" s="83">
        <f>'Water Reading'!R30-'Water Reading'!R29</f>
        <v>5</v>
      </c>
      <c r="N30" s="85">
        <f t="shared" si="7"/>
        <v>4.1186161449752881E-3</v>
      </c>
      <c r="O30" s="83">
        <f>'Water Reading'!Q30-'Water Reading'!Q29</f>
        <v>1</v>
      </c>
      <c r="P30" s="91">
        <f t="shared" si="8"/>
        <v>8.2372322899505767E-4</v>
      </c>
      <c r="Q30" s="84">
        <f>'Water Reading'!F30-'Water Reading'!F29</f>
        <v>1</v>
      </c>
      <c r="R30" s="92">
        <f t="shared" si="9"/>
        <v>8.2372322899505767E-4</v>
      </c>
      <c r="S30" s="83">
        <f>'Water Reading'!E30-'Water Reading'!E29</f>
        <v>57</v>
      </c>
      <c r="T30" s="92">
        <f t="shared" si="10"/>
        <v>4.6952224052718289E-2</v>
      </c>
      <c r="U30" s="83">
        <f>'Water Reading'!G30-'Water Reading'!G29</f>
        <v>20</v>
      </c>
      <c r="V30" s="92">
        <f t="shared" si="11"/>
        <v>1.6474464579901153E-2</v>
      </c>
      <c r="W30" s="83">
        <f>'Water Reading'!J30-'Water Reading'!J29</f>
        <v>12</v>
      </c>
      <c r="X30" s="92">
        <f t="shared" si="12"/>
        <v>9.8846787479406912E-3</v>
      </c>
      <c r="Y30" s="61">
        <f t="shared" si="0"/>
        <v>455</v>
      </c>
      <c r="Z30" s="62">
        <f t="shared" si="1"/>
        <v>1.4130434782608696</v>
      </c>
    </row>
    <row r="31" spans="1:26" x14ac:dyDescent="0.3">
      <c r="A31" s="8">
        <f>'Water Reading'!A30</f>
        <v>44405</v>
      </c>
      <c r="B31" s="60">
        <f>TOTAL!I29</f>
        <v>427</v>
      </c>
      <c r="C31" s="61">
        <f>('Water Reading'!B31-'Water Reading'!B30)+('Water Reading'!C31-'Water Reading'!C30)</f>
        <v>142</v>
      </c>
      <c r="D31" s="62">
        <f t="shared" si="2"/>
        <v>0.33255269320843089</v>
      </c>
      <c r="E31" s="81">
        <f>'Water Reading'!H31-'Water Reading'!H30</f>
        <v>17</v>
      </c>
      <c r="F31" s="82">
        <f t="shared" si="3"/>
        <v>0.11971830985915492</v>
      </c>
      <c r="G31" s="86">
        <f>('Water Reading'!D31-'Water Reading'!D30)-('Water Reading'!R31-'Water Reading'!R30)-('Water Reading'!Q31-'Water Reading'!Q30)</f>
        <v>236</v>
      </c>
      <c r="H31" s="82">
        <f t="shared" si="4"/>
        <v>1.6619718309859155</v>
      </c>
      <c r="I31" s="83">
        <f>'Water Reading'!P31-'Water Reading'!P30</f>
        <v>4</v>
      </c>
      <c r="J31" s="63">
        <f t="shared" si="5"/>
        <v>2.8169014084507043E-2</v>
      </c>
      <c r="K31" s="84">
        <f>('Water Reading'!I31-'Water Reading'!I30)-('Water Reading'!P31-'Water Reading'!P30)</f>
        <v>13</v>
      </c>
      <c r="L31" s="63">
        <f t="shared" si="6"/>
        <v>9.154929577464789E-2</v>
      </c>
      <c r="M31" s="83">
        <f>'Water Reading'!R31-'Water Reading'!R30</f>
        <v>7</v>
      </c>
      <c r="N31" s="85">
        <f t="shared" si="7"/>
        <v>4.9295774647887321E-2</v>
      </c>
      <c r="O31" s="83">
        <f>'Water Reading'!Q31-'Water Reading'!Q30</f>
        <v>2</v>
      </c>
      <c r="P31" s="91">
        <f t="shared" si="8"/>
        <v>1.4084507042253521E-2</v>
      </c>
      <c r="Q31" s="84">
        <f>'Water Reading'!F31-'Water Reading'!F30</f>
        <v>1</v>
      </c>
      <c r="R31" s="92">
        <f t="shared" si="9"/>
        <v>7.0422535211267607E-3</v>
      </c>
      <c r="S31" s="83">
        <f>'Water Reading'!E31-'Water Reading'!E30</f>
        <v>52</v>
      </c>
      <c r="T31" s="92">
        <f t="shared" si="10"/>
        <v>0.36619718309859156</v>
      </c>
      <c r="U31" s="83">
        <f>'Water Reading'!G31-'Water Reading'!G30</f>
        <v>18</v>
      </c>
      <c r="V31" s="92">
        <f t="shared" si="11"/>
        <v>0.12676056338028169</v>
      </c>
      <c r="W31" s="83">
        <f>'Water Reading'!J31-'Water Reading'!J30</f>
        <v>10</v>
      </c>
      <c r="X31" s="92">
        <f t="shared" si="12"/>
        <v>7.0422535211267609E-2</v>
      </c>
      <c r="Y31" s="61">
        <f t="shared" si="0"/>
        <v>360</v>
      </c>
      <c r="Z31" s="62">
        <f t="shared" si="1"/>
        <v>0.84309133489461363</v>
      </c>
    </row>
    <row r="32" spans="1:26" x14ac:dyDescent="0.3">
      <c r="A32" s="8">
        <f>'Water Reading'!A31</f>
        <v>44406</v>
      </c>
      <c r="B32" s="60">
        <f>TOTAL!I30</f>
        <v>280</v>
      </c>
      <c r="C32" s="61">
        <f>('Water Reading'!B32-'Water Reading'!B31)+('Water Reading'!C32-'Water Reading'!C31)</f>
        <v>136</v>
      </c>
      <c r="D32" s="62">
        <f t="shared" si="2"/>
        <v>0.48571428571428571</v>
      </c>
      <c r="E32" s="81">
        <f>'Water Reading'!H32-'Water Reading'!H31</f>
        <v>45</v>
      </c>
      <c r="F32" s="82">
        <f t="shared" si="3"/>
        <v>0.33088235294117646</v>
      </c>
      <c r="G32" s="86">
        <f>('Water Reading'!D32-'Water Reading'!D31)-('Water Reading'!R32-'Water Reading'!R31)-('Water Reading'!Q32-'Water Reading'!Q31)</f>
        <v>143</v>
      </c>
      <c r="H32" s="82">
        <f t="shared" si="4"/>
        <v>1.0514705882352942</v>
      </c>
      <c r="I32" s="83">
        <f>'Water Reading'!P32-'Water Reading'!P31</f>
        <v>15</v>
      </c>
      <c r="J32" s="63">
        <f t="shared" si="5"/>
        <v>0.11029411764705882</v>
      </c>
      <c r="K32" s="84">
        <f>('Water Reading'!I32-'Water Reading'!I31)-('Water Reading'!P32-'Water Reading'!P31)</f>
        <v>22</v>
      </c>
      <c r="L32" s="63">
        <f t="shared" si="6"/>
        <v>0.16176470588235295</v>
      </c>
      <c r="M32" s="83">
        <f>'Water Reading'!R32-'Water Reading'!R31</f>
        <v>7</v>
      </c>
      <c r="N32" s="85">
        <f t="shared" si="7"/>
        <v>5.1470588235294115E-2</v>
      </c>
      <c r="O32" s="83">
        <f>'Water Reading'!Q32-'Water Reading'!Q31</f>
        <v>4</v>
      </c>
      <c r="P32" s="91">
        <f t="shared" si="8"/>
        <v>2.9411764705882353E-2</v>
      </c>
      <c r="Q32" s="84">
        <f>'Water Reading'!F32-'Water Reading'!F31</f>
        <v>0</v>
      </c>
      <c r="R32" s="92">
        <f t="shared" si="9"/>
        <v>0</v>
      </c>
      <c r="S32" s="83">
        <f>'Water Reading'!E32-'Water Reading'!E31</f>
        <v>59</v>
      </c>
      <c r="T32" s="92">
        <f t="shared" si="10"/>
        <v>0.43382352941176472</v>
      </c>
      <c r="U32" s="83">
        <f>'Water Reading'!G32-'Water Reading'!G31</f>
        <v>21</v>
      </c>
      <c r="V32" s="92">
        <f t="shared" si="11"/>
        <v>0.15441176470588236</v>
      </c>
      <c r="W32" s="83">
        <f>'Water Reading'!J32-'Water Reading'!J31</f>
        <v>11</v>
      </c>
      <c r="X32" s="92">
        <f t="shared" si="12"/>
        <v>8.0882352941176475E-2</v>
      </c>
      <c r="Y32" s="61">
        <f t="shared" si="0"/>
        <v>327</v>
      </c>
      <c r="Z32" s="62">
        <f t="shared" si="1"/>
        <v>1.1678571428571429</v>
      </c>
    </row>
    <row r="33" spans="1:26" x14ac:dyDescent="0.3">
      <c r="A33" s="8">
        <f>'Water Reading'!A32</f>
        <v>44407</v>
      </c>
      <c r="B33" s="60">
        <f>TOTAL!I31</f>
        <v>326</v>
      </c>
      <c r="C33" s="61">
        <f>('Water Reading'!B33-'Water Reading'!B32)+('Water Reading'!C33-'Water Reading'!C32)</f>
        <v>1201</v>
      </c>
      <c r="D33" s="62">
        <f t="shared" si="2"/>
        <v>3.6840490797546011</v>
      </c>
      <c r="E33" s="81">
        <f>'Water Reading'!H33-'Water Reading'!H32</f>
        <v>35</v>
      </c>
      <c r="F33" s="82">
        <f t="shared" si="3"/>
        <v>2.9142381348875937E-2</v>
      </c>
      <c r="G33" s="86">
        <f>('Water Reading'!D33-'Water Reading'!D32)-('Water Reading'!R33-'Water Reading'!R32)-('Water Reading'!Q33-'Water Reading'!Q32)</f>
        <v>219</v>
      </c>
      <c r="H33" s="82">
        <f t="shared" si="4"/>
        <v>0.18234804329725229</v>
      </c>
      <c r="I33" s="83">
        <f>'Water Reading'!P33-'Water Reading'!P32</f>
        <v>0</v>
      </c>
      <c r="J33" s="63">
        <f t="shared" si="5"/>
        <v>0</v>
      </c>
      <c r="K33" s="84">
        <f>('Water Reading'!I33-'Water Reading'!I32)-('Water Reading'!P33-'Water Reading'!P32)</f>
        <v>13</v>
      </c>
      <c r="L33" s="63">
        <f t="shared" si="6"/>
        <v>1.0824313072439634E-2</v>
      </c>
      <c r="M33" s="83">
        <f>'Water Reading'!R33-'Water Reading'!R32</f>
        <v>1</v>
      </c>
      <c r="N33" s="85">
        <f t="shared" si="7"/>
        <v>8.3263946711074107E-4</v>
      </c>
      <c r="O33" s="83">
        <f>'Water Reading'!Q33-'Water Reading'!Q32</f>
        <v>3</v>
      </c>
      <c r="P33" s="91">
        <f t="shared" si="8"/>
        <v>2.4979184013322231E-3</v>
      </c>
      <c r="Q33" s="84">
        <f>'Water Reading'!F33-'Water Reading'!F32</f>
        <v>1</v>
      </c>
      <c r="R33" s="92">
        <f t="shared" si="9"/>
        <v>8.3263946711074107E-4</v>
      </c>
      <c r="S33" s="83">
        <f>'Water Reading'!E33-'Water Reading'!E32</f>
        <v>55</v>
      </c>
      <c r="T33" s="92">
        <f t="shared" si="10"/>
        <v>4.5795170691090757E-2</v>
      </c>
      <c r="U33" s="83">
        <f>'Water Reading'!G33-'Water Reading'!G32</f>
        <v>22</v>
      </c>
      <c r="V33" s="92">
        <f t="shared" si="11"/>
        <v>1.8318068276436304E-2</v>
      </c>
      <c r="W33" s="83">
        <f>'Water Reading'!J33-'Water Reading'!J32</f>
        <v>11</v>
      </c>
      <c r="X33" s="92">
        <f t="shared" si="12"/>
        <v>9.1590341382181521E-3</v>
      </c>
      <c r="Y33" s="61">
        <f t="shared" si="0"/>
        <v>360</v>
      </c>
      <c r="Z33" s="62">
        <f t="shared" si="1"/>
        <v>1.1042944785276074</v>
      </c>
    </row>
    <row r="34" spans="1:26" x14ac:dyDescent="0.3">
      <c r="A34" s="8">
        <f>'Water Reading'!A33</f>
        <v>44408</v>
      </c>
      <c r="B34" s="60">
        <f>TOTAL!I32</f>
        <v>325</v>
      </c>
      <c r="C34" s="61">
        <f>('Water Reading'!B34-'Water Reading'!B33)+('Water Reading'!C34-'Water Reading'!C33)</f>
        <v>1009</v>
      </c>
      <c r="D34" s="62">
        <f t="shared" si="2"/>
        <v>3.1046153846153848</v>
      </c>
      <c r="E34" s="81">
        <f>'Water Reading'!H34-'Water Reading'!H33</f>
        <v>24</v>
      </c>
      <c r="F34" s="82">
        <f t="shared" si="3"/>
        <v>2.3785926660059464E-2</v>
      </c>
      <c r="G34" s="86">
        <f>('Water Reading'!D34-'Water Reading'!D33)-('Water Reading'!R34-'Water Reading'!R33)-('Water Reading'!Q34-'Water Reading'!Q33)</f>
        <v>205</v>
      </c>
      <c r="H34" s="82">
        <f t="shared" si="4"/>
        <v>0.20317145688800792</v>
      </c>
      <c r="I34" s="83">
        <f>'Water Reading'!P34-'Water Reading'!P33</f>
        <v>0</v>
      </c>
      <c r="J34" s="63">
        <f t="shared" si="5"/>
        <v>0</v>
      </c>
      <c r="K34" s="84">
        <f>('Water Reading'!I34-'Water Reading'!I33)-('Water Reading'!P34-'Water Reading'!P33)</f>
        <v>13</v>
      </c>
      <c r="L34" s="63">
        <f t="shared" si="6"/>
        <v>1.288404360753221E-2</v>
      </c>
      <c r="M34" s="83">
        <f>'Water Reading'!R34-'Water Reading'!R33</f>
        <v>5</v>
      </c>
      <c r="N34" s="85">
        <f t="shared" si="7"/>
        <v>4.9554013875123884E-3</v>
      </c>
      <c r="O34" s="83">
        <f>'Water Reading'!Q34-'Water Reading'!Q33</f>
        <v>4</v>
      </c>
      <c r="P34" s="91">
        <f t="shared" si="8"/>
        <v>3.9643211100099107E-3</v>
      </c>
      <c r="Q34" s="84">
        <f>'Water Reading'!F34-'Water Reading'!F33</f>
        <v>1</v>
      </c>
      <c r="R34" s="92">
        <f t="shared" si="9"/>
        <v>9.9108027750247768E-4</v>
      </c>
      <c r="S34" s="83">
        <f>'Water Reading'!E34-'Water Reading'!E33</f>
        <v>66</v>
      </c>
      <c r="T34" s="92">
        <f t="shared" si="10"/>
        <v>6.5411298315163527E-2</v>
      </c>
      <c r="U34" s="83">
        <f>'Water Reading'!G34-'Water Reading'!G33</f>
        <v>17</v>
      </c>
      <c r="V34" s="92">
        <f t="shared" si="11"/>
        <v>1.6848364717542121E-2</v>
      </c>
      <c r="W34" s="83">
        <f>'Water Reading'!J34-'Water Reading'!J33</f>
        <v>11</v>
      </c>
      <c r="X34" s="92">
        <f t="shared" si="12"/>
        <v>1.0901883052527254E-2</v>
      </c>
      <c r="Y34" s="61">
        <f t="shared" si="0"/>
        <v>346</v>
      </c>
      <c r="Z34" s="62">
        <f t="shared" si="1"/>
        <v>1.0646153846153845</v>
      </c>
    </row>
    <row r="35" spans="1:26" ht="24" customHeight="1" x14ac:dyDescent="0.3">
      <c r="A35" s="64" t="s">
        <v>53</v>
      </c>
      <c r="B35" s="89">
        <f>SUM(B4:B34)</f>
        <v>8988</v>
      </c>
      <c r="C35" s="69">
        <f>SUM(C4:C34)</f>
        <v>11609</v>
      </c>
      <c r="D35" s="88">
        <f>C35/B35</f>
        <v>1.2916110369381397</v>
      </c>
      <c r="E35" s="7">
        <f>SUM(E4:E34)</f>
        <v>1386</v>
      </c>
      <c r="F35" s="87">
        <f>E35/C35</f>
        <v>0.11939012834869497</v>
      </c>
      <c r="G35" s="69">
        <f>SUM(G4:G34)</f>
        <v>4238.5</v>
      </c>
      <c r="H35" s="87">
        <f>G35/C35</f>
        <v>0.36510466017744853</v>
      </c>
      <c r="I35" s="7">
        <f>SUM(I4:I34)</f>
        <v>274</v>
      </c>
      <c r="J35" s="87">
        <f>I35/C35</f>
        <v>2.3602377465759324E-2</v>
      </c>
      <c r="K35" s="7">
        <f>SUM(K4:K34)</f>
        <v>538</v>
      </c>
      <c r="L35" s="87">
        <f>K35/C35</f>
        <v>4.6343354294082179E-2</v>
      </c>
      <c r="M35" s="7">
        <f>SUM(M4:M34)</f>
        <v>165</v>
      </c>
      <c r="N35" s="87">
        <f>M35/C35</f>
        <v>1.4213110517701784E-2</v>
      </c>
      <c r="O35" s="7">
        <f>SUM(O4:O34)</f>
        <v>133.5</v>
      </c>
      <c r="P35" s="87">
        <f>O35/C35</f>
        <v>1.1499698509776897E-2</v>
      </c>
      <c r="Q35" s="7">
        <f>SUM(Q4:Q34)</f>
        <v>28</v>
      </c>
      <c r="R35" s="87">
        <f>Q35/C35</f>
        <v>2.411921784822121E-3</v>
      </c>
      <c r="S35" s="69">
        <f>SUM(S4:S34)</f>
        <v>1844</v>
      </c>
      <c r="T35" s="87">
        <f>S35/C35</f>
        <v>0.15884227754328539</v>
      </c>
      <c r="U35" s="7">
        <f>SUM(U4:U34)</f>
        <v>549</v>
      </c>
      <c r="V35" s="87">
        <f>U35/C35</f>
        <v>4.7290894995262296E-2</v>
      </c>
      <c r="W35" s="7">
        <f>SUM(W4:W34)</f>
        <v>383</v>
      </c>
      <c r="X35" s="87">
        <f>W35/C35</f>
        <v>3.2991644413816863E-2</v>
      </c>
      <c r="Y35" s="69">
        <f>SUM(Y4:Y34)</f>
        <v>9539</v>
      </c>
      <c r="Z35" s="87">
        <f t="shared" si="1"/>
        <v>1.0613039608366712</v>
      </c>
    </row>
    <row r="64" spans="4:4" x14ac:dyDescent="0.3">
      <c r="D64" s="65"/>
    </row>
    <row r="65" spans="4:4" x14ac:dyDescent="0.3">
      <c r="D65" s="65"/>
    </row>
    <row r="66" spans="4:4" x14ac:dyDescent="0.3">
      <c r="D66" s="65"/>
    </row>
    <row r="67" spans="4:4" x14ac:dyDescent="0.3">
      <c r="D67" s="65"/>
    </row>
    <row r="68" spans="4:4" x14ac:dyDescent="0.3">
      <c r="D68" s="65"/>
    </row>
    <row r="69" spans="4:4" x14ac:dyDescent="0.3">
      <c r="D69" s="65"/>
    </row>
    <row r="70" spans="4:4" x14ac:dyDescent="0.3">
      <c r="D70" s="65"/>
    </row>
    <row r="71" spans="4:4" x14ac:dyDescent="0.3">
      <c r="D71" s="65"/>
    </row>
    <row r="72" spans="4:4" x14ac:dyDescent="0.3">
      <c r="D72" s="65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2023-01-19T10:59:57Z</dcterms:modified>
  <cp:category/>
  <cp:contentStatus/>
</cp:coreProperties>
</file>