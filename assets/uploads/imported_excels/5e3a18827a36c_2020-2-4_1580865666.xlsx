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359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5" i="7" l="1"/>
  <c r="N5" i="7" l="1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AF20" i="7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9" i="7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N7" i="6" s="1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<sst xmlns="http://schemas.openxmlformats.org/spreadsheetml/2006/main" count="296" uniqueCount="138">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</sst>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 t="e">
        <f>Submetering!E6+Submetering!F6+Submetering!G6+Submetering!H6-Submetering!AV6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N1"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 t="str">
        <f>'FS Desroches Daily'!X8</f>
        <v/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 t="str">
        <f>'FS Desroches Daily'!D8</f>
        <v>0</v>
      </c>
      <c r="F6" s="36" t="str">
        <f>'FS Desroches Daily'!F8</f>
        <v>0</v>
      </c>
      <c r="G6" s="35" t="str">
        <f>'FS Desroches Daily'!H8</f>
        <v>0</v>
      </c>
      <c r="H6" s="36" t="str">
        <f>'FS Desroches Daily'!J8</f>
        <v>0</v>
      </c>
      <c r="I6" s="35" t="str">
        <f>'FS Desroches Daily'!L8</f>
        <v>0</v>
      </c>
      <c r="J6" s="36" t="str">
        <f>'FS Desroches Daily'!N8</f>
        <v/>
      </c>
      <c r="K6" s="13" t="str">
        <f>'FS Desroches Daily'!P8</f>
        <v/>
      </c>
      <c r="L6" s="35" t="str">
        <f>'FS Desroches Daily'!R8</f>
        <v/>
      </c>
      <c r="M6" s="35" t="str">
        <f>'FS Desroches Daily'!T8</f>
        <v/>
      </c>
      <c r="N6" s="35" t="str">
        <f>'FS Desroches Daily'!V8</f>
        <v/>
      </c>
      <c r="O6" s="35" t="str">
        <f>'FS Desroches Daily'!X8</f>
        <v/>
      </c>
      <c r="P6" s="35" t="str">
        <f>'FS Desroches Daily'!Z8</f>
        <v/>
      </c>
      <c r="Q6" s="35" t="str">
        <f>'FS Desroches Daily'!AB8</f>
        <v/>
      </c>
      <c r="R6" s="35" t="str">
        <f>'FS Desroches Daily'!AD8</f>
        <v/>
      </c>
      <c r="S6" s="35" t="str">
        <f>'FS Desroches Daily'!AF8</f>
        <v/>
      </c>
      <c r="T6" s="35" t="str">
        <f>'FS Desroches Daily'!AH8</f>
        <v/>
      </c>
      <c r="U6" s="39" t="str">
        <f>'FS Desroches Daily'!AJ8</f>
        <v/>
      </c>
      <c r="V6" s="39" t="str">
        <f>'FS Desroches Daily'!AL8</f>
        <v/>
      </c>
      <c r="W6" s="39" t="str">
        <f>'FS Desroches Daily'!AN8</f>
        <v/>
      </c>
      <c r="X6" s="39" t="str">
        <f>'FS Desroches Daily'!AP8</f>
        <v/>
      </c>
      <c r="Y6" s="39" t="str">
        <f>'FS Desroches Daily'!AR8</f>
        <v/>
      </c>
      <c r="Z6" s="39" t="str">
        <f>'FS Desroches Daily'!AT8</f>
        <v/>
      </c>
      <c r="AA6" s="39" t="str">
        <f>'FS Desroches Daily'!AT8</f>
        <v/>
      </c>
      <c r="AB6" s="39" t="str">
        <f>'FS Desroches Daily'!AV8</f>
        <v/>
      </c>
      <c r="AC6" s="39" t="str">
        <f>'FS Desroches Daily'!AZ8</f>
        <v/>
      </c>
      <c r="AD6" s="39" t="str">
        <f>'FS Desroches Daily'!BB8</f>
        <v/>
      </c>
      <c r="AE6" s="39" t="str">
        <f>'FS Desroches Daily'!BD8</f>
        <v/>
      </c>
      <c r="AF6" s="35" t="str">
        <f>'FS Desroches Daily'!BF8</f>
        <v/>
      </c>
      <c r="AG6" s="36" t="str">
        <f>'FS Desroches Daily'!BH8</f>
        <v/>
      </c>
      <c r="AH6" s="36" t="str">
        <f>'FS Desroches Daily'!BJ8</f>
        <v/>
      </c>
      <c r="AI6" s="36" t="str">
        <f>'FS Desroches Daily'!BL8</f>
        <v/>
      </c>
      <c r="AJ6" s="36" t="str">
        <f>'FS Desroches Daily'!BN8</f>
        <v/>
      </c>
      <c r="AK6" s="36" t="str">
        <f>'FS Desroches Daily'!BP8</f>
        <v/>
      </c>
      <c r="AL6" s="36" t="str">
        <f>'FS Desroches Daily'!BR8</f>
        <v/>
      </c>
      <c r="AM6" s="36" t="str">
        <f>'FS Desroches Daily'!BT8</f>
        <v/>
      </c>
      <c r="AN6" s="36" t="str">
        <f>'FS Desroches Daily'!BV8</f>
        <v/>
      </c>
      <c r="AO6" s="36" t="str">
        <f>'FS Desroches Daily'!BX8</f>
        <v/>
      </c>
      <c r="AP6" s="36" t="str">
        <f>'FS Desroches Daily'!BZ8</f>
        <v/>
      </c>
      <c r="AQ6" s="35" t="str">
        <f>'FS Desroches Daily'!CB8</f>
        <v/>
      </c>
      <c r="AR6" s="35" t="str">
        <f>'FS Desroches Daily'!CD8</f>
        <v/>
      </c>
      <c r="AS6" s="35" t="str">
        <f>'FS Desroches Daily'!CF8</f>
        <v/>
      </c>
      <c r="AT6" s="35" t="str">
        <f>'FS Desroches Daily'!CH8</f>
        <v/>
      </c>
      <c r="AU6" s="35" t="str">
        <f>'FS Desroches Daily'!CJ8</f>
        <v/>
      </c>
      <c r="AV6" s="35" t="str">
        <f>'FS Desroches Daily'!CL8</f>
        <v/>
      </c>
      <c r="AW6" s="35">
        <f>'FS Desroches Daily'!CM8</f>
        <v>0</v>
      </c>
      <c r="AX6" s="35" t="str">
        <f>IF(LPG!F13-LPG!F12&lt;0,"0",(LPG!F13-LPG!F12)*1.8315)</f>
        <v>0</v>
      </c>
      <c r="AY6" s="35" t="str">
        <f>IF(LPG!H13-LPG!H12&lt;0,"0",(LPG!H13-LPG!H12)*1.8315)</f>
        <v>0</v>
      </c>
      <c r="AZ6" s="35" t="str">
        <f>IF(LPG!J13-LPG!J12&lt;0,"0",(LPG!J13-LPG!J12)*1.8315)</f>
        <v>0</v>
      </c>
      <c r="BA6" s="35" t="str">
        <f>IF(LPG!M13-LPG!M12&lt;0,"0",(LPG!M13-LPG!M12)*1.8315)</f>
        <v>0</v>
      </c>
      <c r="BB6" s="35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0</v>
      </c>
      <c r="F7" s="36">
        <f>'FS Desroches Daily'!F9</f>
        <v>0</v>
      </c>
      <c r="G7" s="35">
        <f>'FS Desroches Daily'!H9</f>
        <v>0</v>
      </c>
      <c r="H7" s="36">
        <f>'FS Desroches Daily'!J9</f>
        <v>0</v>
      </c>
      <c r="I7" s="35">
        <f>'FS Desroches Daily'!L9</f>
        <v>0</v>
      </c>
      <c r="J7" s="36">
        <f>'FS Desroches Daily'!N9</f>
        <v>0</v>
      </c>
      <c r="K7" s="13">
        <f>'FS Desroches Daily'!P9</f>
        <v>0</v>
      </c>
      <c r="L7" s="35">
        <f>'FS Desroches Daily'!R9</f>
        <v>0</v>
      </c>
      <c r="M7" s="35">
        <f>'FS Desroches Daily'!T9</f>
        <v>0</v>
      </c>
      <c r="N7" s="35">
        <f>'FS Desroches Daily'!V9</f>
        <v>0</v>
      </c>
      <c r="O7" s="35">
        <f>'FS Desroches Daily'!X9</f>
        <v>0</v>
      </c>
      <c r="P7" s="35">
        <f>'FS Desroches Daily'!Z9</f>
        <v>0</v>
      </c>
      <c r="Q7" s="35">
        <f>'FS Desroches Daily'!AB9</f>
        <v>0</v>
      </c>
      <c r="R7" s="35">
        <f>'FS Desroches Daily'!AD9</f>
        <v>0</v>
      </c>
      <c r="S7" s="35">
        <f>'FS Desroches Daily'!AF9</f>
        <v>0</v>
      </c>
      <c r="T7" s="35">
        <f>'FS Desroches Daily'!AH9</f>
        <v>0</v>
      </c>
      <c r="U7" s="39">
        <f>'FS Desroches Daily'!AJ9</f>
        <v>0</v>
      </c>
      <c r="V7" s="39">
        <f>'FS Desroches Daily'!AL9</f>
        <v>0</v>
      </c>
      <c r="W7" s="39">
        <f>'FS Desroches Daily'!AN9</f>
        <v>0</v>
      </c>
      <c r="X7" s="39">
        <f>'FS Desroches Daily'!AP9</f>
        <v>0</v>
      </c>
      <c r="Y7" s="39">
        <f>'FS Desroches Daily'!AR9</f>
        <v>0</v>
      </c>
      <c r="Z7" s="39">
        <f>'FS Desroches Daily'!AT9</f>
        <v>0</v>
      </c>
      <c r="AA7" s="39">
        <f>'FS Desroches Daily'!AT9</f>
        <v>0</v>
      </c>
      <c r="AB7" s="39">
        <f>'FS Desroches Daily'!AV9</f>
        <v>0</v>
      </c>
      <c r="AC7" s="39">
        <f>'FS Desroches Daily'!AZ9</f>
        <v>0</v>
      </c>
      <c r="AD7" s="39">
        <f>'FS Desroches Daily'!BB9</f>
        <v>0</v>
      </c>
      <c r="AE7" s="39">
        <f>'FS Desroches Daily'!BD9</f>
        <v>0</v>
      </c>
      <c r="AF7" s="35">
        <f>'FS Desroches Daily'!BF9</f>
        <v>0</v>
      </c>
      <c r="AG7" s="36">
        <f>'FS Desroches Daily'!BH9</f>
        <v>0</v>
      </c>
      <c r="AH7" s="36">
        <f>'FS Desroches Daily'!BJ9</f>
        <v>0</v>
      </c>
      <c r="AI7" s="36">
        <f>'FS Desroches Daily'!BL9</f>
        <v>0</v>
      </c>
      <c r="AJ7" s="36">
        <f>'FS Desroches Daily'!BN9</f>
        <v>0</v>
      </c>
      <c r="AK7" s="36">
        <f>'FS Desroches Daily'!BP9</f>
        <v>0</v>
      </c>
      <c r="AL7" s="36">
        <f>'FS Desroches Daily'!BR9</f>
        <v>0</v>
      </c>
      <c r="AM7" s="36">
        <f>'FS Desroches Daily'!BT9</f>
        <v>0</v>
      </c>
      <c r="AN7" s="36">
        <f>'FS Desroches Daily'!BV9</f>
        <v>0</v>
      </c>
      <c r="AO7" s="36">
        <f>'FS Desroches Daily'!BX9</f>
        <v>0</v>
      </c>
      <c r="AP7" s="36">
        <f>'FS Desroches Daily'!BZ9</f>
        <v>0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0</v>
      </c>
      <c r="AU7" s="35">
        <f>'FS Desroches Daily'!CJ9</f>
        <v>0</v>
      </c>
      <c r="AV7" s="35">
        <f>'FS Desroches Daily'!CL9</f>
        <v>0</v>
      </c>
      <c r="AW7" s="35">
        <f>'FS Desroches Daily'!CM9</f>
        <v>0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7200.0000000000955</v>
      </c>
      <c r="F33" s="17">
        <f t="shared" ref="F33:BC33" si="1">SUM(F2:F32)</f>
        <v>13300.000000000089</v>
      </c>
      <c r="G33" s="17">
        <f t="shared" si="1"/>
        <v>10999.999999999676</v>
      </c>
      <c r="H33" s="17">
        <f t="shared" si="1"/>
        <v>5300.0000000000819</v>
      </c>
      <c r="I33" s="17">
        <f t="shared" si="1"/>
        <v>7900.0000000000182</v>
      </c>
      <c r="J33" s="17">
        <f t="shared" si="1"/>
        <v>6399.9999999999609</v>
      </c>
      <c r="K33" s="17">
        <f t="shared" si="1"/>
        <v>66</v>
      </c>
      <c r="L33" s="17">
        <f t="shared" si="1"/>
        <v>24</v>
      </c>
      <c r="M33" s="17">
        <f t="shared" si="1"/>
        <v>3683</v>
      </c>
      <c r="N33" s="17">
        <f t="shared" si="1"/>
        <v>1230</v>
      </c>
      <c r="O33" s="17">
        <f t="shared" si="1"/>
        <v>1170.0000000000159</v>
      </c>
      <c r="P33" s="17">
        <f t="shared" si="1"/>
        <v>11899.9999999998</v>
      </c>
      <c r="Q33" s="17">
        <f t="shared" si="1"/>
        <v>1740.0000000000091</v>
      </c>
      <c r="R33" s="17">
        <f t="shared" si="1"/>
        <v>1299.9999999999545</v>
      </c>
      <c r="S33" s="17">
        <f t="shared" si="1"/>
        <v>2789.9999999999636</v>
      </c>
      <c r="T33" s="17">
        <f t="shared" si="1"/>
        <v>7.6000000000001364</v>
      </c>
      <c r="U33" s="39">
        <f t="shared" si="1"/>
        <v>1790.0000000000205</v>
      </c>
      <c r="V33" s="39">
        <f t="shared" si="1"/>
        <v>0.77000000000001023</v>
      </c>
      <c r="W33" s="39">
        <f t="shared" si="1"/>
        <v>0.54999999999998295</v>
      </c>
      <c r="X33" s="39">
        <f t="shared" si="1"/>
        <v>0.51999999999999602</v>
      </c>
      <c r="Y33" s="39">
        <f t="shared" si="1"/>
        <v>479.99999999998977</v>
      </c>
      <c r="Z33" s="39">
        <f t="shared" si="1"/>
        <v>900.00000000003411</v>
      </c>
      <c r="AA33" s="39">
        <f t="shared" si="1"/>
        <v>900.00000000003411</v>
      </c>
      <c r="AB33" s="39">
        <f t="shared" si="1"/>
        <v>550.00000000001137</v>
      </c>
      <c r="AC33" s="39">
        <f t="shared" si="1"/>
        <v>250</v>
      </c>
      <c r="AD33" s="39">
        <f t="shared" si="1"/>
        <v>210.00000000003638</v>
      </c>
      <c r="AE33" s="39">
        <f t="shared" si="1"/>
        <v>39.999999999992042</v>
      </c>
      <c r="AF33" s="17">
        <f t="shared" si="1"/>
        <v>223</v>
      </c>
      <c r="AG33" s="36">
        <f t="shared" si="1"/>
        <v>90.000000000003411</v>
      </c>
      <c r="AH33" s="36">
        <f t="shared" si="1"/>
        <v>109.9999999999568</v>
      </c>
      <c r="AI33" s="36">
        <f t="shared" si="1"/>
        <v>120.00000000000455</v>
      </c>
      <c r="AJ33" s="36">
        <f t="shared" si="1"/>
        <v>120.00000000000455</v>
      </c>
      <c r="AK33" s="36">
        <f t="shared" si="1"/>
        <v>139.99999999998636</v>
      </c>
      <c r="AL33" s="36">
        <f t="shared" si="1"/>
        <v>119</v>
      </c>
      <c r="AM33" s="36">
        <f t="shared" si="1"/>
        <v>129.99999999999545</v>
      </c>
      <c r="AN33" s="36">
        <f t="shared" si="1"/>
        <v>119</v>
      </c>
      <c r="AO33" s="36">
        <f t="shared" si="1"/>
        <v>109.99999999998522</v>
      </c>
      <c r="AP33" s="36">
        <f t="shared" si="1"/>
        <v>187</v>
      </c>
      <c r="AQ33" s="17">
        <f t="shared" si="1"/>
        <v>142.20000000000073</v>
      </c>
      <c r="AR33" s="17">
        <f t="shared" si="1"/>
        <v>43.200000000000728</v>
      </c>
      <c r="AS33" s="17">
        <f t="shared" si="1"/>
        <v>41.300000000000182</v>
      </c>
      <c r="AT33" s="17">
        <f t="shared" si="1"/>
        <v>252</v>
      </c>
      <c r="AU33" s="17">
        <f t="shared" si="1"/>
        <v>1080</v>
      </c>
      <c r="AV33" s="17">
        <f t="shared" si="1"/>
        <v>1929.99999999995</v>
      </c>
      <c r="AW33" s="17">
        <f t="shared" si="1"/>
        <v>287.3</v>
      </c>
      <c r="AX33" s="17">
        <f t="shared" si="1"/>
        <v>54.944999999999993</v>
      </c>
      <c r="AY33" s="17">
        <f t="shared" si="1"/>
        <v>12.820499999999999</v>
      </c>
      <c r="AZ33" s="17">
        <f t="shared" si="1"/>
        <v>0</v>
      </c>
      <c r="BA33" s="17">
        <f t="shared" si="1"/>
        <v>12.820499999999999</v>
      </c>
      <c r="BB33" s="17">
        <f t="shared" si="1"/>
        <v>14.651999999999999</v>
      </c>
      <c r="BC33" s="17">
        <f t="shared" si="1"/>
        <v>132</v>
      </c>
    </row>
    <row r="35" spans="5:55" x14ac:dyDescent="0.25">
      <c r="E35" s="42">
        <f>E33/E37</f>
        <v>0.20968023763760602</v>
      </c>
      <c r="G35" s="33">
        <f>G33-M36</f>
        <v>6086.9999999996762</v>
      </c>
      <c r="AE35" s="39">
        <f>SUM(U33:AE33)</f>
        <v>5121.8400000001175</v>
      </c>
      <c r="AG35" s="36">
        <f>SUM(AG33:AP33)</f>
        <v>1244.9999999999363</v>
      </c>
    </row>
    <row r="36" spans="5:55" x14ac:dyDescent="0.25">
      <c r="G36" s="33">
        <f>G35-633*14</f>
        <v>-2775.0000000003238</v>
      </c>
      <c r="M36" s="33">
        <f>M33+N33</f>
        <v>4913</v>
      </c>
    </row>
    <row r="37" spans="5:55" x14ac:dyDescent="0.25">
      <c r="E37" s="17">
        <f>E33+F33+G33+H33+J33-633*14</f>
        <v>34337.999999999905</v>
      </c>
      <c r="G37" s="41">
        <f>M36/E37</f>
        <v>0.14307763993243677</v>
      </c>
      <c r="M37" s="39">
        <f>AE35</f>
        <v>5121.8400000001175</v>
      </c>
    </row>
    <row r="38" spans="5:55" x14ac:dyDescent="0.25">
      <c r="L38" s="31">
        <f>M38/E37</f>
        <v>3.6257207758167036E-2</v>
      </c>
      <c r="M38" s="33">
        <f>AG35</f>
        <v>1244.9999999999363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O7" sqref="CO7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/>
      <c r="D8" s="71" t="str">
        <f t="shared" si="3"/>
        <v>0</v>
      </c>
      <c r="E8" s="64"/>
      <c r="F8" s="71" t="str">
        <f t="shared" si="4"/>
        <v>0</v>
      </c>
      <c r="G8" s="64"/>
      <c r="H8" s="71" t="str">
        <f t="shared" si="5"/>
        <v>0</v>
      </c>
      <c r="I8" s="64"/>
      <c r="J8" s="71" t="str">
        <f>IF((I8-I7&lt;0), "0",(I8-I7)*1000000)</f>
        <v>0</v>
      </c>
      <c r="K8" s="64"/>
      <c r="L8" s="71" t="str">
        <f t="shared" si="0"/>
        <v>0</v>
      </c>
      <c r="M8" s="64"/>
      <c r="N8" s="71" t="str">
        <f t="shared" si="6"/>
        <v/>
      </c>
      <c r="O8" s="64"/>
      <c r="P8" s="72" t="str">
        <f t="shared" si="7"/>
        <v/>
      </c>
      <c r="Q8" s="64"/>
      <c r="R8" s="72" t="str">
        <f t="shared" si="8"/>
        <v/>
      </c>
      <c r="S8" s="64"/>
      <c r="T8" s="71" t="str">
        <f t="shared" si="9"/>
        <v/>
      </c>
      <c r="U8" s="64"/>
      <c r="V8" s="72" t="str">
        <f t="shared" si="10"/>
        <v/>
      </c>
      <c r="W8" s="64"/>
      <c r="X8" s="72" t="str">
        <f t="shared" si="23"/>
        <v/>
      </c>
      <c r="Y8" s="64"/>
      <c r="Z8" s="72" t="str">
        <f t="shared" si="24"/>
        <v/>
      </c>
      <c r="AA8" s="64"/>
      <c r="AB8" s="72" t="str">
        <f t="shared" si="25"/>
        <v/>
      </c>
      <c r="AC8" s="64"/>
      <c r="AD8" s="72" t="str">
        <f t="shared" si="26"/>
        <v/>
      </c>
      <c r="AE8" s="64"/>
      <c r="AF8" s="72" t="str">
        <f t="shared" si="27"/>
        <v/>
      </c>
      <c r="AG8" s="64"/>
      <c r="AH8" s="72" t="str">
        <f t="shared" si="11"/>
        <v/>
      </c>
      <c r="AI8" s="64"/>
      <c r="AJ8" s="72" t="str">
        <f t="shared" si="28"/>
        <v/>
      </c>
      <c r="AK8" s="64"/>
      <c r="AL8" s="72" t="str">
        <f t="shared" si="12"/>
        <v/>
      </c>
      <c r="AM8" s="64"/>
      <c r="AN8" s="72" t="str">
        <f t="shared" si="13"/>
        <v/>
      </c>
      <c r="AO8" s="64"/>
      <c r="AP8" s="72" t="str">
        <f t="shared" si="14"/>
        <v/>
      </c>
      <c r="AQ8" s="64"/>
      <c r="AR8" s="72" t="str">
        <f t="shared" si="29"/>
        <v/>
      </c>
      <c r="AS8" s="64"/>
      <c r="AT8" s="72" t="str">
        <f t="shared" si="30"/>
        <v/>
      </c>
      <c r="AU8" s="64"/>
      <c r="AV8" s="72" t="str">
        <f t="shared" si="31"/>
        <v/>
      </c>
      <c r="AW8" s="64"/>
      <c r="AX8" s="72" t="str">
        <f t="shared" si="32"/>
        <v/>
      </c>
      <c r="AY8" s="64"/>
      <c r="AZ8" s="72" t="str">
        <f t="shared" si="33"/>
        <v/>
      </c>
      <c r="BA8" s="64"/>
      <c r="BB8" s="72" t="str">
        <f t="shared" si="34"/>
        <v/>
      </c>
      <c r="BC8" s="64"/>
      <c r="BD8" s="72" t="str">
        <f t="shared" si="35"/>
        <v/>
      </c>
      <c r="BE8" s="66"/>
      <c r="BF8" s="72" t="str">
        <f t="shared" si="15"/>
        <v/>
      </c>
      <c r="BG8" s="67"/>
      <c r="BH8" s="72" t="str">
        <f t="shared" si="36"/>
        <v/>
      </c>
      <c r="BI8" s="67"/>
      <c r="BJ8" s="72" t="str">
        <f t="shared" si="37"/>
        <v/>
      </c>
      <c r="BK8" s="67"/>
      <c r="BL8" s="72" t="str">
        <f t="shared" si="38"/>
        <v/>
      </c>
      <c r="BM8" s="67"/>
      <c r="BN8" s="72" t="str">
        <f t="shared" si="39"/>
        <v/>
      </c>
      <c r="BO8" s="67"/>
      <c r="BP8" s="72" t="str">
        <f t="shared" si="40"/>
        <v/>
      </c>
      <c r="BQ8" s="67"/>
      <c r="BR8" s="72" t="str">
        <f t="shared" si="16"/>
        <v/>
      </c>
      <c r="BS8" s="67"/>
      <c r="BT8" s="72" t="str">
        <f t="shared" si="41"/>
        <v/>
      </c>
      <c r="BU8" s="67"/>
      <c r="BV8" s="72" t="str">
        <f t="shared" si="1"/>
        <v/>
      </c>
      <c r="BW8" s="67"/>
      <c r="BX8" s="72" t="str">
        <f t="shared" si="42"/>
        <v/>
      </c>
      <c r="BY8" s="67"/>
      <c r="BZ8" s="72" t="str">
        <f t="shared" si="17"/>
        <v/>
      </c>
      <c r="CA8" s="67"/>
      <c r="CB8" s="72" t="str">
        <f t="shared" si="18"/>
        <v/>
      </c>
      <c r="CC8" s="67"/>
      <c r="CD8" s="72" t="str">
        <f t="shared" si="19"/>
        <v/>
      </c>
      <c r="CE8" s="67"/>
      <c r="CF8" s="72" t="str">
        <f t="shared" si="20"/>
        <v/>
      </c>
      <c r="CG8" s="67"/>
      <c r="CH8" s="72" t="str">
        <f t="shared" si="21"/>
        <v/>
      </c>
      <c r="CI8" s="67"/>
      <c r="CJ8" s="72" t="str">
        <f t="shared" si="2"/>
        <v/>
      </c>
      <c r="CK8" s="67"/>
      <c r="CL8" s="71" t="str">
        <f t="shared" si="22"/>
        <v/>
      </c>
      <c r="CM8" s="72"/>
      <c r="CN8" s="69"/>
      <c r="CO8" s="69"/>
    </row>
    <row r="9" spans="1:93" ht="25.5" customHeight="1" thickBot="1" x14ac:dyDescent="0.45">
      <c r="A9" s="70">
        <v>43867</v>
      </c>
      <c r="B9" s="48"/>
      <c r="C9" s="64"/>
      <c r="D9" s="71">
        <f t="shared" si="3"/>
        <v>0</v>
      </c>
      <c r="E9" s="64"/>
      <c r="F9" s="71">
        <f t="shared" si="4"/>
        <v>0</v>
      </c>
      <c r="G9" s="64"/>
      <c r="H9" s="71">
        <f t="shared" si="5"/>
        <v>0</v>
      </c>
      <c r="I9" s="64"/>
      <c r="J9" s="71">
        <f t="shared" ref="J9:J34" si="43">IF((I9-I8&lt;0), "0",(I9-I8)*1000000)</f>
        <v>0</v>
      </c>
      <c r="K9" s="64"/>
      <c r="L9" s="71">
        <f t="shared" si="0"/>
        <v>0</v>
      </c>
      <c r="M9" s="64"/>
      <c r="N9" s="71">
        <f t="shared" si="6"/>
        <v>0</v>
      </c>
      <c r="O9" s="64"/>
      <c r="P9" s="72">
        <f t="shared" si="7"/>
        <v>0</v>
      </c>
      <c r="Q9" s="64"/>
      <c r="R9" s="72">
        <f t="shared" si="8"/>
        <v>0</v>
      </c>
      <c r="S9" s="64"/>
      <c r="T9" s="71">
        <f t="shared" si="9"/>
        <v>0</v>
      </c>
      <c r="U9" s="64"/>
      <c r="V9" s="72">
        <f t="shared" si="10"/>
        <v>0</v>
      </c>
      <c r="W9" s="64"/>
      <c r="X9" s="72">
        <f t="shared" si="23"/>
        <v>0</v>
      </c>
      <c r="Y9" s="64"/>
      <c r="Z9" s="72">
        <f t="shared" si="24"/>
        <v>0</v>
      </c>
      <c r="AA9" s="64"/>
      <c r="AB9" s="72">
        <f t="shared" si="25"/>
        <v>0</v>
      </c>
      <c r="AC9" s="64"/>
      <c r="AD9" s="72">
        <f t="shared" si="26"/>
        <v>0</v>
      </c>
      <c r="AE9" s="64"/>
      <c r="AF9" s="72">
        <f t="shared" si="27"/>
        <v>0</v>
      </c>
      <c r="AG9" s="64"/>
      <c r="AH9" s="72">
        <f t="shared" si="11"/>
        <v>0</v>
      </c>
      <c r="AI9" s="64"/>
      <c r="AJ9" s="72">
        <f t="shared" si="28"/>
        <v>0</v>
      </c>
      <c r="AK9" s="64"/>
      <c r="AL9" s="72">
        <f t="shared" si="12"/>
        <v>0</v>
      </c>
      <c r="AM9" s="64"/>
      <c r="AN9" s="72">
        <f t="shared" si="13"/>
        <v>0</v>
      </c>
      <c r="AO9" s="64"/>
      <c r="AP9" s="72">
        <f t="shared" si="14"/>
        <v>0</v>
      </c>
      <c r="AQ9" s="64"/>
      <c r="AR9" s="72">
        <f t="shared" si="29"/>
        <v>0</v>
      </c>
      <c r="AS9" s="64"/>
      <c r="AT9" s="72">
        <v>0</v>
      </c>
      <c r="AU9" s="64"/>
      <c r="AV9" s="72">
        <f t="shared" si="31"/>
        <v>0</v>
      </c>
      <c r="AW9" s="64"/>
      <c r="AX9" s="72">
        <f t="shared" si="32"/>
        <v>0</v>
      </c>
      <c r="AY9" s="64"/>
      <c r="AZ9" s="72">
        <f t="shared" si="33"/>
        <v>0</v>
      </c>
      <c r="BA9" s="64"/>
      <c r="BB9" s="72">
        <f t="shared" si="34"/>
        <v>0</v>
      </c>
      <c r="BC9" s="64"/>
      <c r="BD9" s="72">
        <f t="shared" si="35"/>
        <v>0</v>
      </c>
      <c r="BE9" s="66"/>
      <c r="BF9" s="72">
        <f t="shared" si="15"/>
        <v>0</v>
      </c>
      <c r="BG9" s="67"/>
      <c r="BH9" s="72">
        <f t="shared" si="36"/>
        <v>0</v>
      </c>
      <c r="BI9" s="67"/>
      <c r="BJ9" s="72">
        <f t="shared" si="37"/>
        <v>0</v>
      </c>
      <c r="BK9" s="67"/>
      <c r="BL9" s="72">
        <f t="shared" si="38"/>
        <v>0</v>
      </c>
      <c r="BM9" s="67"/>
      <c r="BN9" s="72">
        <f t="shared" si="39"/>
        <v>0</v>
      </c>
      <c r="BO9" s="67"/>
      <c r="BP9" s="72">
        <f t="shared" si="40"/>
        <v>0</v>
      </c>
      <c r="BQ9" s="67"/>
      <c r="BR9" s="72">
        <f t="shared" si="16"/>
        <v>0</v>
      </c>
      <c r="BS9" s="67"/>
      <c r="BT9" s="72">
        <f t="shared" si="41"/>
        <v>0</v>
      </c>
      <c r="BU9" s="67"/>
      <c r="BV9" s="72">
        <f t="shared" si="1"/>
        <v>0</v>
      </c>
      <c r="BW9" s="67"/>
      <c r="BX9" s="72">
        <f t="shared" si="42"/>
        <v>0</v>
      </c>
      <c r="BY9" s="67"/>
      <c r="BZ9" s="72">
        <f t="shared" si="17"/>
        <v>0</v>
      </c>
      <c r="CA9" s="67"/>
      <c r="CB9" s="72">
        <f t="shared" si="18"/>
        <v>0</v>
      </c>
      <c r="CC9" s="67"/>
      <c r="CD9" s="72">
        <f t="shared" si="19"/>
        <v>0</v>
      </c>
      <c r="CE9" s="67"/>
      <c r="CF9" s="72">
        <f t="shared" si="20"/>
        <v>0</v>
      </c>
      <c r="CG9" s="67"/>
      <c r="CH9" s="72">
        <f t="shared" si="21"/>
        <v>0</v>
      </c>
      <c r="CI9" s="67"/>
      <c r="CJ9" s="72">
        <f t="shared" si="2"/>
        <v>0</v>
      </c>
      <c r="CK9" s="67"/>
      <c r="CL9" s="71">
        <f t="shared" si="22"/>
        <v>0</v>
      </c>
      <c r="CM9" s="72"/>
      <c r="CN9" s="69"/>
      <c r="CO9" s="69"/>
    </row>
    <row r="10" spans="1:93" ht="25.5" customHeight="1" thickBot="1" x14ac:dyDescent="0.45">
      <c r="A10" s="70">
        <v>43868</v>
      </c>
      <c r="B10" s="48"/>
      <c r="C10" s="64"/>
      <c r="D10" s="71">
        <f t="shared" si="3"/>
        <v>0</v>
      </c>
      <c r="E10" s="64"/>
      <c r="F10" s="71">
        <f t="shared" si="4"/>
        <v>0</v>
      </c>
      <c r="G10" s="64"/>
      <c r="H10" s="71">
        <f t="shared" si="5"/>
        <v>0</v>
      </c>
      <c r="I10" s="64"/>
      <c r="J10" s="71">
        <f t="shared" si="43"/>
        <v>0</v>
      </c>
      <c r="K10" s="64"/>
      <c r="L10" s="71">
        <f t="shared" si="0"/>
        <v>0</v>
      </c>
      <c r="M10" s="64"/>
      <c r="N10" s="71">
        <f t="shared" si="6"/>
        <v>0</v>
      </c>
      <c r="O10" s="64"/>
      <c r="P10" s="72">
        <f t="shared" si="7"/>
        <v>0</v>
      </c>
      <c r="Q10" s="64"/>
      <c r="R10" s="72">
        <f t="shared" si="8"/>
        <v>0</v>
      </c>
      <c r="S10" s="64"/>
      <c r="T10" s="71">
        <f t="shared" si="9"/>
        <v>0</v>
      </c>
      <c r="U10" s="64"/>
      <c r="V10" s="72">
        <f t="shared" si="10"/>
        <v>0</v>
      </c>
      <c r="W10" s="64"/>
      <c r="X10" s="72">
        <f t="shared" si="23"/>
        <v>0</v>
      </c>
      <c r="Y10" s="64"/>
      <c r="Z10" s="72">
        <f t="shared" si="24"/>
        <v>0</v>
      </c>
      <c r="AA10" s="64"/>
      <c r="AB10" s="72">
        <f t="shared" si="25"/>
        <v>0</v>
      </c>
      <c r="AC10" s="64"/>
      <c r="AD10" s="72">
        <f t="shared" si="26"/>
        <v>0</v>
      </c>
      <c r="AE10" s="64"/>
      <c r="AF10" s="72">
        <f t="shared" si="27"/>
        <v>0</v>
      </c>
      <c r="AG10" s="64"/>
      <c r="AH10" s="72">
        <f t="shared" si="11"/>
        <v>0</v>
      </c>
      <c r="AI10" s="64"/>
      <c r="AJ10" s="72">
        <f t="shared" si="28"/>
        <v>0</v>
      </c>
      <c r="AK10" s="64"/>
      <c r="AL10" s="72">
        <f t="shared" si="12"/>
        <v>0</v>
      </c>
      <c r="AM10" s="64"/>
      <c r="AN10" s="72">
        <f t="shared" si="13"/>
        <v>0</v>
      </c>
      <c r="AO10" s="64"/>
      <c r="AP10" s="72">
        <f t="shared" si="14"/>
        <v>0</v>
      </c>
      <c r="AQ10" s="64"/>
      <c r="AR10" s="72">
        <f t="shared" si="29"/>
        <v>0</v>
      </c>
      <c r="AS10" s="64"/>
      <c r="AT10" s="72">
        <f t="shared" si="30"/>
        <v>0</v>
      </c>
      <c r="AU10" s="64"/>
      <c r="AV10" s="72">
        <f t="shared" si="31"/>
        <v>0</v>
      </c>
      <c r="AW10" s="64"/>
      <c r="AX10" s="72">
        <f t="shared" si="32"/>
        <v>0</v>
      </c>
      <c r="AY10" s="64"/>
      <c r="AZ10" s="72">
        <f t="shared" si="33"/>
        <v>0</v>
      </c>
      <c r="BA10" s="64"/>
      <c r="BB10" s="72">
        <f t="shared" si="34"/>
        <v>0</v>
      </c>
      <c r="BC10" s="64"/>
      <c r="BD10" s="72">
        <f t="shared" si="35"/>
        <v>0</v>
      </c>
      <c r="BE10" s="66"/>
      <c r="BF10" s="72">
        <f t="shared" si="15"/>
        <v>0</v>
      </c>
      <c r="BG10" s="67"/>
      <c r="BH10" s="72">
        <f t="shared" si="36"/>
        <v>0</v>
      </c>
      <c r="BI10" s="67"/>
      <c r="BJ10" s="72">
        <f t="shared" si="37"/>
        <v>0</v>
      </c>
      <c r="BK10" s="67"/>
      <c r="BL10" s="72">
        <f t="shared" si="38"/>
        <v>0</v>
      </c>
      <c r="BM10" s="67"/>
      <c r="BN10" s="72">
        <f t="shared" si="39"/>
        <v>0</v>
      </c>
      <c r="BO10" s="67"/>
      <c r="BP10" s="72">
        <f t="shared" si="40"/>
        <v>0</v>
      </c>
      <c r="BQ10" s="67"/>
      <c r="BR10" s="72">
        <f t="shared" si="16"/>
        <v>0</v>
      </c>
      <c r="BS10" s="67"/>
      <c r="BT10" s="72">
        <f t="shared" si="41"/>
        <v>0</v>
      </c>
      <c r="BU10" s="67"/>
      <c r="BV10" s="72">
        <f t="shared" si="1"/>
        <v>0</v>
      </c>
      <c r="BW10" s="67"/>
      <c r="BX10" s="72">
        <f t="shared" si="42"/>
        <v>0</v>
      </c>
      <c r="BY10" s="67"/>
      <c r="BZ10" s="72">
        <f t="shared" si="17"/>
        <v>0</v>
      </c>
      <c r="CA10" s="67"/>
      <c r="CB10" s="72">
        <f t="shared" si="18"/>
        <v>0</v>
      </c>
      <c r="CC10" s="67"/>
      <c r="CD10" s="72">
        <f t="shared" si="19"/>
        <v>0</v>
      </c>
      <c r="CE10" s="67"/>
      <c r="CF10" s="72">
        <f t="shared" si="20"/>
        <v>0</v>
      </c>
      <c r="CG10" s="67"/>
      <c r="CH10" s="72">
        <f t="shared" si="21"/>
        <v>0</v>
      </c>
      <c r="CI10" s="67"/>
      <c r="CJ10" s="72">
        <f t="shared" si="2"/>
        <v>0</v>
      </c>
      <c r="CK10" s="67"/>
      <c r="CL10" s="71">
        <f t="shared" si="22"/>
        <v>0</v>
      </c>
      <c r="CM10" s="72"/>
      <c r="CN10" s="69"/>
      <c r="CO10" s="69"/>
    </row>
    <row r="11" spans="1:93" ht="25.5" customHeight="1" thickBot="1" x14ac:dyDescent="0.45">
      <c r="A11" s="70">
        <v>43869</v>
      </c>
      <c r="B11" s="48"/>
      <c r="C11" s="64"/>
      <c r="D11" s="71">
        <f t="shared" si="3"/>
        <v>0</v>
      </c>
      <c r="E11" s="64"/>
      <c r="F11" s="71">
        <f t="shared" si="4"/>
        <v>0</v>
      </c>
      <c r="G11" s="64"/>
      <c r="H11" s="71">
        <f t="shared" si="5"/>
        <v>0</v>
      </c>
      <c r="I11" s="64"/>
      <c r="J11" s="71">
        <f t="shared" si="43"/>
        <v>0</v>
      </c>
      <c r="K11" s="64"/>
      <c r="L11" s="71">
        <f t="shared" si="0"/>
        <v>0</v>
      </c>
      <c r="M11" s="64"/>
      <c r="N11" s="71">
        <f t="shared" si="6"/>
        <v>0</v>
      </c>
      <c r="O11" s="64"/>
      <c r="P11" s="72">
        <f t="shared" si="7"/>
        <v>0</v>
      </c>
      <c r="Q11" s="64"/>
      <c r="R11" s="72">
        <f t="shared" si="8"/>
        <v>0</v>
      </c>
      <c r="S11" s="64"/>
      <c r="T11" s="71">
        <f t="shared" si="9"/>
        <v>0</v>
      </c>
      <c r="U11" s="64"/>
      <c r="V11" s="72">
        <f t="shared" si="10"/>
        <v>0</v>
      </c>
      <c r="W11" s="64"/>
      <c r="X11" s="72">
        <f t="shared" si="23"/>
        <v>0</v>
      </c>
      <c r="Y11" s="64"/>
      <c r="Z11" s="72">
        <f t="shared" si="24"/>
        <v>0</v>
      </c>
      <c r="AA11" s="64"/>
      <c r="AB11" s="72">
        <f t="shared" si="25"/>
        <v>0</v>
      </c>
      <c r="AC11" s="64"/>
      <c r="AD11" s="72">
        <f t="shared" si="26"/>
        <v>0</v>
      </c>
      <c r="AE11" s="64"/>
      <c r="AF11" s="72">
        <f t="shared" si="27"/>
        <v>0</v>
      </c>
      <c r="AG11" s="64"/>
      <c r="AH11" s="72">
        <f t="shared" si="11"/>
        <v>0</v>
      </c>
      <c r="AI11" s="64"/>
      <c r="AJ11" s="72">
        <f t="shared" si="28"/>
        <v>0</v>
      </c>
      <c r="AK11" s="64"/>
      <c r="AL11" s="72">
        <f t="shared" si="12"/>
        <v>0</v>
      </c>
      <c r="AM11" s="64"/>
      <c r="AN11" s="72">
        <f t="shared" si="13"/>
        <v>0</v>
      </c>
      <c r="AO11" s="64"/>
      <c r="AP11" s="72">
        <f t="shared" si="14"/>
        <v>0</v>
      </c>
      <c r="AQ11" s="64"/>
      <c r="AR11" s="72">
        <f t="shared" si="29"/>
        <v>0</v>
      </c>
      <c r="AS11" s="64"/>
      <c r="AT11" s="72">
        <f t="shared" si="30"/>
        <v>0</v>
      </c>
      <c r="AU11" s="64"/>
      <c r="AV11" s="72">
        <f t="shared" si="31"/>
        <v>0</v>
      </c>
      <c r="AW11" s="64"/>
      <c r="AX11" s="72">
        <f t="shared" si="32"/>
        <v>0</v>
      </c>
      <c r="AY11" s="64"/>
      <c r="AZ11" s="72">
        <f t="shared" si="33"/>
        <v>0</v>
      </c>
      <c r="BA11" s="64"/>
      <c r="BB11" s="72">
        <f t="shared" si="34"/>
        <v>0</v>
      </c>
      <c r="BC11" s="64"/>
      <c r="BD11" s="72">
        <f t="shared" si="35"/>
        <v>0</v>
      </c>
      <c r="BE11" s="66"/>
      <c r="BF11" s="72">
        <f t="shared" si="15"/>
        <v>0</v>
      </c>
      <c r="BG11" s="67"/>
      <c r="BH11" s="72">
        <f t="shared" si="36"/>
        <v>0</v>
      </c>
      <c r="BI11" s="67"/>
      <c r="BJ11" s="72">
        <f t="shared" si="37"/>
        <v>0</v>
      </c>
      <c r="BK11" s="67"/>
      <c r="BL11" s="72">
        <f t="shared" si="38"/>
        <v>0</v>
      </c>
      <c r="BM11" s="67"/>
      <c r="BN11" s="72">
        <f t="shared" si="39"/>
        <v>0</v>
      </c>
      <c r="BO11" s="67"/>
      <c r="BP11" s="72">
        <f t="shared" si="40"/>
        <v>0</v>
      </c>
      <c r="BQ11" s="67"/>
      <c r="BR11" s="72">
        <f t="shared" si="16"/>
        <v>0</v>
      </c>
      <c r="BS11" s="67"/>
      <c r="BT11" s="72">
        <f t="shared" si="41"/>
        <v>0</v>
      </c>
      <c r="BU11" s="67"/>
      <c r="BV11" s="72">
        <f t="shared" si="1"/>
        <v>0</v>
      </c>
      <c r="BW11" s="67"/>
      <c r="BX11" s="72">
        <f t="shared" si="42"/>
        <v>0</v>
      </c>
      <c r="BY11" s="67"/>
      <c r="BZ11" s="72">
        <f t="shared" si="17"/>
        <v>0</v>
      </c>
      <c r="CA11" s="67"/>
      <c r="CB11" s="72">
        <f t="shared" si="18"/>
        <v>0</v>
      </c>
      <c r="CC11" s="67"/>
      <c r="CD11" s="72">
        <f t="shared" si="19"/>
        <v>0</v>
      </c>
      <c r="CE11" s="67"/>
      <c r="CF11" s="72">
        <f t="shared" si="20"/>
        <v>0</v>
      </c>
      <c r="CG11" s="67"/>
      <c r="CH11" s="72">
        <f t="shared" si="21"/>
        <v>0</v>
      </c>
      <c r="CI11" s="67"/>
      <c r="CJ11" s="72">
        <f t="shared" si="2"/>
        <v>0</v>
      </c>
      <c r="CK11" s="67"/>
      <c r="CL11" s="71">
        <f t="shared" si="22"/>
        <v>0</v>
      </c>
      <c r="CM11" s="72"/>
      <c r="CN11" s="69"/>
      <c r="CO11" s="69"/>
    </row>
    <row r="12" spans="1:93" ht="25.5" customHeight="1" thickBot="1" x14ac:dyDescent="0.45">
      <c r="A12" s="70">
        <v>43870</v>
      </c>
      <c r="B12" s="48"/>
      <c r="C12" s="64"/>
      <c r="D12" s="71">
        <f t="shared" si="3"/>
        <v>0</v>
      </c>
      <c r="E12" s="64"/>
      <c r="F12" s="71">
        <f t="shared" si="4"/>
        <v>0</v>
      </c>
      <c r="G12" s="64"/>
      <c r="H12" s="71">
        <f t="shared" si="5"/>
        <v>0</v>
      </c>
      <c r="I12" s="64"/>
      <c r="J12" s="71">
        <f t="shared" si="43"/>
        <v>0</v>
      </c>
      <c r="K12" s="64"/>
      <c r="L12" s="71">
        <f t="shared" si="0"/>
        <v>0</v>
      </c>
      <c r="M12" s="64"/>
      <c r="N12" s="71">
        <f t="shared" si="6"/>
        <v>0</v>
      </c>
      <c r="O12" s="64"/>
      <c r="P12" s="72">
        <f t="shared" si="7"/>
        <v>0</v>
      </c>
      <c r="Q12" s="64"/>
      <c r="R12" s="72">
        <f t="shared" si="8"/>
        <v>0</v>
      </c>
      <c r="S12" s="64"/>
      <c r="T12" s="72">
        <f t="shared" ref="T12:T34" si="44">IF((S12-S11&lt;0), "",S12-S11)</f>
        <v>0</v>
      </c>
      <c r="U12" s="64"/>
      <c r="V12" s="72">
        <f t="shared" si="10"/>
        <v>0</v>
      </c>
      <c r="W12" s="64"/>
      <c r="X12" s="72">
        <f t="shared" si="23"/>
        <v>0</v>
      </c>
      <c r="Y12" s="64"/>
      <c r="Z12" s="72">
        <f t="shared" si="24"/>
        <v>0</v>
      </c>
      <c r="AA12" s="64"/>
      <c r="AB12" s="72">
        <f t="shared" si="25"/>
        <v>0</v>
      </c>
      <c r="AC12" s="64"/>
      <c r="AD12" s="72">
        <f t="shared" si="26"/>
        <v>0</v>
      </c>
      <c r="AE12" s="64"/>
      <c r="AF12" s="72">
        <f t="shared" si="27"/>
        <v>0</v>
      </c>
      <c r="AG12" s="64"/>
      <c r="AH12" s="72">
        <f t="shared" si="11"/>
        <v>0</v>
      </c>
      <c r="AI12" s="64"/>
      <c r="AJ12" s="72">
        <f t="shared" si="28"/>
        <v>0</v>
      </c>
      <c r="AK12" s="64"/>
      <c r="AL12" s="72">
        <f t="shared" si="12"/>
        <v>0</v>
      </c>
      <c r="AM12" s="64"/>
      <c r="AN12" s="72">
        <f t="shared" si="13"/>
        <v>0</v>
      </c>
      <c r="AO12" s="64"/>
      <c r="AP12" s="72">
        <f t="shared" si="14"/>
        <v>0</v>
      </c>
      <c r="AQ12" s="64"/>
      <c r="AR12" s="72">
        <f t="shared" si="29"/>
        <v>0</v>
      </c>
      <c r="AS12" s="64"/>
      <c r="AT12" s="72">
        <f t="shared" si="30"/>
        <v>0</v>
      </c>
      <c r="AU12" s="64"/>
      <c r="AV12" s="72">
        <f t="shared" si="31"/>
        <v>0</v>
      </c>
      <c r="AW12" s="64"/>
      <c r="AX12" s="72">
        <f t="shared" si="32"/>
        <v>0</v>
      </c>
      <c r="AY12" s="64"/>
      <c r="AZ12" s="72">
        <f t="shared" si="33"/>
        <v>0</v>
      </c>
      <c r="BA12" s="64"/>
      <c r="BB12" s="72">
        <f t="shared" si="34"/>
        <v>0</v>
      </c>
      <c r="BC12" s="64"/>
      <c r="BD12" s="72">
        <f t="shared" si="35"/>
        <v>0</v>
      </c>
      <c r="BE12" s="66"/>
      <c r="BF12" s="72">
        <f t="shared" si="15"/>
        <v>0</v>
      </c>
      <c r="BG12" s="67"/>
      <c r="BH12" s="72">
        <f t="shared" si="36"/>
        <v>0</v>
      </c>
      <c r="BI12" s="67"/>
      <c r="BJ12" s="72">
        <f t="shared" si="37"/>
        <v>0</v>
      </c>
      <c r="BK12" s="67"/>
      <c r="BL12" s="72">
        <f t="shared" si="38"/>
        <v>0</v>
      </c>
      <c r="BM12" s="67"/>
      <c r="BN12" s="72">
        <f t="shared" si="39"/>
        <v>0</v>
      </c>
      <c r="BO12" s="67"/>
      <c r="BP12" s="72">
        <f t="shared" si="40"/>
        <v>0</v>
      </c>
      <c r="BQ12" s="67"/>
      <c r="BR12" s="72">
        <f t="shared" si="16"/>
        <v>0</v>
      </c>
      <c r="BS12" s="67"/>
      <c r="BT12" s="72">
        <f t="shared" si="41"/>
        <v>0</v>
      </c>
      <c r="BU12" s="67"/>
      <c r="BV12" s="72">
        <f t="shared" si="1"/>
        <v>0</v>
      </c>
      <c r="BW12" s="67"/>
      <c r="BX12" s="72">
        <f t="shared" si="42"/>
        <v>0</v>
      </c>
      <c r="BY12" s="67"/>
      <c r="BZ12" s="72">
        <f t="shared" si="17"/>
        <v>0</v>
      </c>
      <c r="CA12" s="67"/>
      <c r="CB12" s="72">
        <f t="shared" si="18"/>
        <v>0</v>
      </c>
      <c r="CC12" s="67"/>
      <c r="CD12" s="72">
        <f t="shared" si="19"/>
        <v>0</v>
      </c>
      <c r="CE12" s="67"/>
      <c r="CF12" s="72">
        <f t="shared" si="20"/>
        <v>0</v>
      </c>
      <c r="CG12" s="67"/>
      <c r="CH12" s="72">
        <f t="shared" si="21"/>
        <v>0</v>
      </c>
      <c r="CI12" s="67"/>
      <c r="CJ12" s="72">
        <f t="shared" si="2"/>
        <v>0</v>
      </c>
      <c r="CK12" s="67"/>
      <c r="CL12" s="71">
        <f t="shared" si="22"/>
        <v>0</v>
      </c>
      <c r="CM12" s="72"/>
      <c r="CN12" s="69"/>
      <c r="CO12" s="69"/>
    </row>
    <row r="13" spans="1:93" ht="25.5" customHeight="1" thickBot="1" x14ac:dyDescent="0.45">
      <c r="A13" s="70">
        <v>43871</v>
      </c>
      <c r="B13" s="48"/>
      <c r="C13" s="64"/>
      <c r="D13" s="71">
        <f t="shared" si="3"/>
        <v>0</v>
      </c>
      <c r="E13" s="64"/>
      <c r="F13" s="71">
        <f t="shared" si="4"/>
        <v>0</v>
      </c>
      <c r="G13" s="64"/>
      <c r="H13" s="71">
        <f t="shared" si="5"/>
        <v>0</v>
      </c>
      <c r="I13" s="64"/>
      <c r="J13" s="71">
        <f t="shared" si="43"/>
        <v>0</v>
      </c>
      <c r="K13" s="64"/>
      <c r="L13" s="71">
        <f t="shared" si="0"/>
        <v>0</v>
      </c>
      <c r="M13" s="64"/>
      <c r="N13" s="71">
        <f t="shared" si="6"/>
        <v>0</v>
      </c>
      <c r="O13" s="64"/>
      <c r="P13" s="72">
        <f t="shared" si="7"/>
        <v>0</v>
      </c>
      <c r="Q13" s="64"/>
      <c r="R13" s="72">
        <f t="shared" si="8"/>
        <v>0</v>
      </c>
      <c r="S13" s="64"/>
      <c r="T13" s="72">
        <f t="shared" si="44"/>
        <v>0</v>
      </c>
      <c r="U13" s="64"/>
      <c r="V13" s="72">
        <f t="shared" si="10"/>
        <v>0</v>
      </c>
      <c r="W13" s="64"/>
      <c r="X13" s="72">
        <f t="shared" si="23"/>
        <v>0</v>
      </c>
      <c r="Y13" s="64"/>
      <c r="Z13" s="72">
        <f t="shared" si="24"/>
        <v>0</v>
      </c>
      <c r="AA13" s="64"/>
      <c r="AB13" s="72">
        <f t="shared" si="25"/>
        <v>0</v>
      </c>
      <c r="AC13" s="64"/>
      <c r="AD13" s="72">
        <f t="shared" si="26"/>
        <v>0</v>
      </c>
      <c r="AE13" s="64"/>
      <c r="AF13" s="72">
        <f t="shared" si="27"/>
        <v>0</v>
      </c>
      <c r="AG13" s="64"/>
      <c r="AH13" s="72">
        <f t="shared" si="11"/>
        <v>0</v>
      </c>
      <c r="AI13" s="64"/>
      <c r="AJ13" s="72">
        <f t="shared" si="28"/>
        <v>0</v>
      </c>
      <c r="AK13" s="64"/>
      <c r="AL13" s="72">
        <f t="shared" si="12"/>
        <v>0</v>
      </c>
      <c r="AM13" s="64"/>
      <c r="AN13" s="72">
        <f t="shared" si="13"/>
        <v>0</v>
      </c>
      <c r="AO13" s="64"/>
      <c r="AP13" s="72">
        <f t="shared" si="14"/>
        <v>0</v>
      </c>
      <c r="AQ13" s="64"/>
      <c r="AR13" s="72">
        <f t="shared" si="29"/>
        <v>0</v>
      </c>
      <c r="AS13" s="64"/>
      <c r="AT13" s="72">
        <f t="shared" si="30"/>
        <v>0</v>
      </c>
      <c r="AU13" s="64"/>
      <c r="AV13" s="72">
        <f t="shared" si="31"/>
        <v>0</v>
      </c>
      <c r="AW13" s="64"/>
      <c r="AX13" s="72">
        <f t="shared" si="32"/>
        <v>0</v>
      </c>
      <c r="AY13" s="64"/>
      <c r="AZ13" s="72">
        <f t="shared" si="33"/>
        <v>0</v>
      </c>
      <c r="BA13" s="64"/>
      <c r="BB13" s="72">
        <f t="shared" si="34"/>
        <v>0</v>
      </c>
      <c r="BC13" s="64"/>
      <c r="BD13" s="72">
        <f t="shared" si="35"/>
        <v>0</v>
      </c>
      <c r="BE13" s="66"/>
      <c r="BF13" s="72">
        <f t="shared" si="15"/>
        <v>0</v>
      </c>
      <c r="BG13" s="67"/>
      <c r="BH13" s="72">
        <f t="shared" si="36"/>
        <v>0</v>
      </c>
      <c r="BI13" s="67"/>
      <c r="BJ13" s="72">
        <f t="shared" si="37"/>
        <v>0</v>
      </c>
      <c r="BK13" s="67"/>
      <c r="BL13" s="72">
        <f t="shared" si="38"/>
        <v>0</v>
      </c>
      <c r="BM13" s="67"/>
      <c r="BN13" s="72">
        <f t="shared" si="39"/>
        <v>0</v>
      </c>
      <c r="BO13" s="67"/>
      <c r="BP13" s="72">
        <f t="shared" si="40"/>
        <v>0</v>
      </c>
      <c r="BQ13" s="67"/>
      <c r="BR13" s="72">
        <f t="shared" si="16"/>
        <v>0</v>
      </c>
      <c r="BS13" s="67"/>
      <c r="BT13" s="72">
        <f t="shared" si="41"/>
        <v>0</v>
      </c>
      <c r="BU13" s="67"/>
      <c r="BV13" s="72">
        <f t="shared" si="1"/>
        <v>0</v>
      </c>
      <c r="BW13" s="67"/>
      <c r="BX13" s="72">
        <f t="shared" si="42"/>
        <v>0</v>
      </c>
      <c r="BY13" s="67"/>
      <c r="BZ13" s="72">
        <f t="shared" si="17"/>
        <v>0</v>
      </c>
      <c r="CA13" s="67"/>
      <c r="CB13" s="72">
        <f t="shared" si="18"/>
        <v>0</v>
      </c>
      <c r="CC13" s="67"/>
      <c r="CD13" s="72">
        <f t="shared" si="19"/>
        <v>0</v>
      </c>
      <c r="CE13" s="67"/>
      <c r="CF13" s="72">
        <f t="shared" si="20"/>
        <v>0</v>
      </c>
      <c r="CG13" s="67"/>
      <c r="CH13" s="72">
        <f t="shared" si="21"/>
        <v>0</v>
      </c>
      <c r="CI13" s="67"/>
      <c r="CJ13" s="72">
        <f t="shared" si="2"/>
        <v>0</v>
      </c>
      <c r="CK13" s="67"/>
      <c r="CL13" s="71">
        <f t="shared" si="22"/>
        <v>0</v>
      </c>
      <c r="CM13" s="72"/>
      <c r="CN13" s="69"/>
      <c r="CO13" s="69"/>
    </row>
    <row r="14" spans="1:93" ht="25.5" customHeight="1" thickBot="1" x14ac:dyDescent="0.45">
      <c r="A14" s="70">
        <v>43872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 t="shared" si="23"/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7"/>
      <c r="BJ14" s="72">
        <f t="shared" si="37"/>
        <v>0</v>
      </c>
      <c r="BK14" s="67"/>
      <c r="BL14" s="72">
        <f t="shared" si="38"/>
        <v>0</v>
      </c>
      <c r="BM14" s="67"/>
      <c r="BN14" s="72">
        <f t="shared" si="39"/>
        <v>0</v>
      </c>
      <c r="BO14" s="67"/>
      <c r="BP14" s="72">
        <f t="shared" si="40"/>
        <v>0</v>
      </c>
      <c r="BQ14" s="67"/>
      <c r="BR14" s="72">
        <f t="shared" si="16"/>
        <v>0</v>
      </c>
      <c r="BS14" s="67"/>
      <c r="BT14" s="72">
        <f t="shared" si="41"/>
        <v>0</v>
      </c>
      <c r="BU14" s="67"/>
      <c r="BV14" s="72">
        <f t="shared" si="1"/>
        <v>0</v>
      </c>
      <c r="BW14" s="67"/>
      <c r="BX14" s="72">
        <f t="shared" si="42"/>
        <v>0</v>
      </c>
      <c r="BY14" s="67"/>
      <c r="BZ14" s="72">
        <f t="shared" si="17"/>
        <v>0</v>
      </c>
      <c r="CA14" s="67"/>
      <c r="CB14" s="72">
        <f t="shared" si="18"/>
        <v>0</v>
      </c>
      <c r="CC14" s="67"/>
      <c r="CD14" s="72">
        <f t="shared" si="19"/>
        <v>0</v>
      </c>
      <c r="CE14" s="67"/>
      <c r="CF14" s="72">
        <f t="shared" si="20"/>
        <v>0</v>
      </c>
      <c r="CG14" s="67"/>
      <c r="CH14" s="72">
        <f t="shared" si="21"/>
        <v>0</v>
      </c>
      <c r="CI14" s="67"/>
      <c r="CJ14" s="72">
        <f t="shared" si="2"/>
        <v>0</v>
      </c>
      <c r="CK14" s="67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43873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7"/>
      <c r="BJ15" s="72">
        <f t="shared" si="37"/>
        <v>0</v>
      </c>
      <c r="BK15" s="67"/>
      <c r="BL15" s="72">
        <f t="shared" si="38"/>
        <v>0</v>
      </c>
      <c r="BM15" s="67"/>
      <c r="BN15" s="72">
        <f t="shared" si="39"/>
        <v>0</v>
      </c>
      <c r="BO15" s="67"/>
      <c r="BP15" s="72">
        <f t="shared" si="40"/>
        <v>0</v>
      </c>
      <c r="BQ15" s="67"/>
      <c r="BR15" s="72">
        <f t="shared" si="16"/>
        <v>0</v>
      </c>
      <c r="BS15" s="67"/>
      <c r="BT15" s="72">
        <f t="shared" si="41"/>
        <v>0</v>
      </c>
      <c r="BU15" s="67"/>
      <c r="BV15" s="72">
        <f t="shared" si="1"/>
        <v>0</v>
      </c>
      <c r="BW15" s="67"/>
      <c r="BX15" s="72">
        <f t="shared" si="42"/>
        <v>0</v>
      </c>
      <c r="BY15" s="67"/>
      <c r="BZ15" s="72">
        <f t="shared" si="17"/>
        <v>0</v>
      </c>
      <c r="CA15" s="67"/>
      <c r="CB15" s="72">
        <f t="shared" si="18"/>
        <v>0</v>
      </c>
      <c r="CC15" s="67"/>
      <c r="CD15" s="72">
        <f t="shared" si="19"/>
        <v>0</v>
      </c>
      <c r="CE15" s="67"/>
      <c r="CF15" s="72">
        <f t="shared" si="20"/>
        <v>0</v>
      </c>
      <c r="CG15" s="67"/>
      <c r="CH15" s="72">
        <f t="shared" si="21"/>
        <v>0</v>
      </c>
      <c r="CI15" s="67"/>
      <c r="CJ15" s="72">
        <f t="shared" si="2"/>
        <v>0</v>
      </c>
      <c r="CK15" s="67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43874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7"/>
      <c r="BJ16" s="72">
        <f t="shared" si="37"/>
        <v>0</v>
      </c>
      <c r="BK16" s="67"/>
      <c r="BL16" s="72">
        <f t="shared" si="38"/>
        <v>0</v>
      </c>
      <c r="BM16" s="67"/>
      <c r="BN16" s="72">
        <f t="shared" si="39"/>
        <v>0</v>
      </c>
      <c r="BO16" s="67"/>
      <c r="BP16" s="72">
        <f t="shared" si="40"/>
        <v>0</v>
      </c>
      <c r="BQ16" s="67"/>
      <c r="BR16" s="72">
        <f t="shared" si="16"/>
        <v>0</v>
      </c>
      <c r="BS16" s="67"/>
      <c r="BT16" s="72">
        <f t="shared" si="41"/>
        <v>0</v>
      </c>
      <c r="BU16" s="67"/>
      <c r="BV16" s="72">
        <f t="shared" si="1"/>
        <v>0</v>
      </c>
      <c r="BW16" s="67"/>
      <c r="BX16" s="72">
        <f t="shared" si="42"/>
        <v>0</v>
      </c>
      <c r="BY16" s="67"/>
      <c r="BZ16" s="72">
        <f t="shared" si="17"/>
        <v>0</v>
      </c>
      <c r="CA16" s="67"/>
      <c r="CB16" s="72">
        <f t="shared" si="18"/>
        <v>0</v>
      </c>
      <c r="CC16" s="67"/>
      <c r="CD16" s="72">
        <f t="shared" si="19"/>
        <v>0</v>
      </c>
      <c r="CE16" s="67"/>
      <c r="CF16" s="72">
        <f t="shared" si="20"/>
        <v>0</v>
      </c>
      <c r="CG16" s="67"/>
      <c r="CH16" s="72">
        <f t="shared" si="21"/>
        <v>0</v>
      </c>
      <c r="CI16" s="67"/>
      <c r="CJ16" s="72">
        <f t="shared" si="2"/>
        <v>0</v>
      </c>
      <c r="CK16" s="67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43875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7"/>
      <c r="BJ17" s="72">
        <f t="shared" si="37"/>
        <v>0</v>
      </c>
      <c r="BK17" s="67"/>
      <c r="BL17" s="72">
        <f t="shared" si="38"/>
        <v>0</v>
      </c>
      <c r="BM17" s="67"/>
      <c r="BN17" s="72">
        <f t="shared" si="39"/>
        <v>0</v>
      </c>
      <c r="BO17" s="67"/>
      <c r="BP17" s="72">
        <f t="shared" si="40"/>
        <v>0</v>
      </c>
      <c r="BQ17" s="67"/>
      <c r="BR17" s="72">
        <f t="shared" si="16"/>
        <v>0</v>
      </c>
      <c r="BS17" s="67"/>
      <c r="BT17" s="72">
        <f t="shared" si="41"/>
        <v>0</v>
      </c>
      <c r="BU17" s="67"/>
      <c r="BV17" s="72">
        <f t="shared" si="1"/>
        <v>0</v>
      </c>
      <c r="BW17" s="67"/>
      <c r="BX17" s="72">
        <f t="shared" si="42"/>
        <v>0</v>
      </c>
      <c r="BY17" s="67"/>
      <c r="BZ17" s="72">
        <f t="shared" si="17"/>
        <v>0</v>
      </c>
      <c r="CA17" s="67"/>
      <c r="CB17" s="72">
        <f t="shared" si="18"/>
        <v>0</v>
      </c>
      <c r="CC17" s="67"/>
      <c r="CD17" s="72">
        <f t="shared" si="19"/>
        <v>0</v>
      </c>
      <c r="CE17" s="67"/>
      <c r="CF17" s="72">
        <f t="shared" si="20"/>
        <v>0</v>
      </c>
      <c r="CG17" s="67"/>
      <c r="CH17" s="72">
        <f t="shared" si="21"/>
        <v>0</v>
      </c>
      <c r="CI17" s="67"/>
      <c r="CJ17" s="72">
        <f t="shared" si="2"/>
        <v>0</v>
      </c>
      <c r="CK17" s="67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43876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7"/>
      <c r="BJ18" s="72">
        <f t="shared" si="37"/>
        <v>0</v>
      </c>
      <c r="BK18" s="67"/>
      <c r="BL18" s="72">
        <f t="shared" si="38"/>
        <v>0</v>
      </c>
      <c r="BM18" s="67"/>
      <c r="BN18" s="72">
        <f t="shared" si="39"/>
        <v>0</v>
      </c>
      <c r="BO18" s="67"/>
      <c r="BP18" s="72">
        <f t="shared" si="40"/>
        <v>0</v>
      </c>
      <c r="BQ18" s="67"/>
      <c r="BR18" s="72">
        <f t="shared" si="16"/>
        <v>0</v>
      </c>
      <c r="BS18" s="67"/>
      <c r="BT18" s="72">
        <f t="shared" si="41"/>
        <v>0</v>
      </c>
      <c r="BU18" s="67"/>
      <c r="BV18" s="72">
        <f t="shared" si="1"/>
        <v>0</v>
      </c>
      <c r="BW18" s="67"/>
      <c r="BX18" s="72">
        <f t="shared" si="42"/>
        <v>0</v>
      </c>
      <c r="BY18" s="67"/>
      <c r="BZ18" s="72">
        <f t="shared" si="17"/>
        <v>0</v>
      </c>
      <c r="CA18" s="67"/>
      <c r="CB18" s="72">
        <f t="shared" si="18"/>
        <v>0</v>
      </c>
      <c r="CC18" s="67"/>
      <c r="CD18" s="72">
        <f t="shared" si="19"/>
        <v>0</v>
      </c>
      <c r="CE18" s="67"/>
      <c r="CF18" s="72">
        <f t="shared" si="20"/>
        <v>0</v>
      </c>
      <c r="CG18" s="67"/>
      <c r="CH18" s="72">
        <f t="shared" si="21"/>
        <v>0</v>
      </c>
      <c r="CI18" s="67"/>
      <c r="CJ18" s="72">
        <f t="shared" si="2"/>
        <v>0</v>
      </c>
      <c r="CK18" s="67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43877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7"/>
      <c r="BJ19" s="72">
        <f t="shared" si="37"/>
        <v>0</v>
      </c>
      <c r="BK19" s="67"/>
      <c r="BL19" s="72">
        <f t="shared" si="38"/>
        <v>0</v>
      </c>
      <c r="BM19" s="67"/>
      <c r="BN19" s="72">
        <f t="shared" si="39"/>
        <v>0</v>
      </c>
      <c r="BO19" s="67"/>
      <c r="BP19" s="72">
        <f t="shared" si="40"/>
        <v>0</v>
      </c>
      <c r="BQ19" s="67"/>
      <c r="BR19" s="72">
        <f t="shared" si="16"/>
        <v>0</v>
      </c>
      <c r="BS19" s="67"/>
      <c r="BT19" s="72">
        <f t="shared" si="41"/>
        <v>0</v>
      </c>
      <c r="BU19" s="67"/>
      <c r="BV19" s="72">
        <f t="shared" si="1"/>
        <v>0</v>
      </c>
      <c r="BW19" s="67"/>
      <c r="BX19" s="72">
        <f t="shared" si="42"/>
        <v>0</v>
      </c>
      <c r="BY19" s="67"/>
      <c r="BZ19" s="72">
        <f t="shared" si="17"/>
        <v>0</v>
      </c>
      <c r="CA19" s="67"/>
      <c r="CB19" s="72">
        <f t="shared" si="18"/>
        <v>0</v>
      </c>
      <c r="CC19" s="67"/>
      <c r="CD19" s="72">
        <f t="shared" si="19"/>
        <v>0</v>
      </c>
      <c r="CE19" s="67"/>
      <c r="CF19" s="72">
        <f t="shared" si="20"/>
        <v>0</v>
      </c>
      <c r="CG19" s="67"/>
      <c r="CH19" s="72">
        <f t="shared" si="21"/>
        <v>0</v>
      </c>
      <c r="CI19" s="67"/>
      <c r="CJ19" s="72">
        <f t="shared" si="2"/>
        <v>0</v>
      </c>
      <c r="CK19" s="67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43878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>IF((AE20-AE19&lt;0), "",(AE20-AE19)*10000)</f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43879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43880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43881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43882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43883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43884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43885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66</v>
      </c>
      <c r="R35" s="76">
        <f>SUM(R4:R33)</f>
        <v>24</v>
      </c>
      <c r="AX35" s="72">
        <f t="shared" si="32"/>
        <v>0</v>
      </c>
      <c r="BF35" s="76">
        <f>SUM(BF4:BF33)</f>
        <v>223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B13" sqref="B1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85</v>
      </c>
      <c r="H12" s="45">
        <v>1273</v>
      </c>
      <c r="I12" s="45">
        <v>80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/>
      <c r="C13" s="44"/>
      <c r="D13" s="44"/>
      <c r="E13" s="45"/>
      <c r="F13" s="45"/>
      <c r="G13" s="45"/>
      <c r="H13" s="45"/>
      <c r="I13" s="45"/>
      <c r="J13" s="45"/>
      <c r="K13" s="46"/>
      <c r="L13" s="46"/>
      <c r="M13" s="46"/>
      <c r="N13" s="43"/>
      <c r="O13" s="43"/>
      <c r="P13" s="43"/>
      <c r="Q13" s="43"/>
    </row>
    <row r="14" spans="1:17" x14ac:dyDescent="0.25">
      <c r="A14" s="27">
        <v>43867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27">
        <v>43868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27">
        <v>43869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27">
        <v>43870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27">
        <v>43871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43872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43873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43874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43875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43876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43877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43878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43879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43880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43881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43882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43883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43884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2020-02-05T01:19:37Z</dcterms:modified>
</cp:coreProperties>
</file>