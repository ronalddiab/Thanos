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J4" i="7" l="1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H6" i="6"/>
  <c r="AW6" i="6"/>
  <c r="F7" i="6"/>
  <c r="H7" i="6"/>
  <c r="AW7" i="6"/>
  <c r="F8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<sst xmlns="http://schemas.openxmlformats.org/spreadsheetml/2006/main" count="296" uniqueCount="138">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</sst>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11061.900000000302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 t="e">
        <f>Submetering!E4+Submetering!F4+Submetering!G4+Submetering!H4-Submetering!AV4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1.9000000000000128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 t="str">
        <f>'FS Desroches Daily'!T5</f>
        <v/>
      </c>
      <c r="N3" s="35" t="str">
        <f>'FS Desroches Daily'!V5</f>
        <v/>
      </c>
      <c r="O3" s="35">
        <f>'FS Desroches Daily'!X5</f>
        <v>500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 t="str">
        <f>'FS Desroches Daily'!D6</f>
        <v>0</v>
      </c>
      <c r="F4" s="36" t="str">
        <f>'FS Desroches Daily'!F6</f>
        <v>0</v>
      </c>
      <c r="G4" s="35" t="str">
        <f>'FS Desroches Daily'!H6</f>
        <v>0</v>
      </c>
      <c r="H4" s="36" t="str">
        <f>'FS Desroches Daily'!J6</f>
        <v>0</v>
      </c>
      <c r="I4" s="35" t="str">
        <f>'FS Desroches Daily'!L6</f>
        <v>0</v>
      </c>
      <c r="J4" s="36" t="str">
        <f>'FS Desroches Daily'!N6</f>
        <v/>
      </c>
      <c r="K4" s="13" t="str">
        <f>'FS Desroches Daily'!P6</f>
        <v/>
      </c>
      <c r="L4" s="35" t="str">
        <f>'FS Desroches Daily'!R6</f>
        <v/>
      </c>
      <c r="M4" s="35">
        <f>'FS Desroches Daily'!T6</f>
        <v>0</v>
      </c>
      <c r="N4" s="35">
        <f>'FS Desroches Daily'!V6</f>
        <v>0</v>
      </c>
      <c r="O4" s="35">
        <f>'FS Desroches Daily'!X6</f>
        <v>0</v>
      </c>
      <c r="P4" s="35" t="str">
        <f>'FS Desroches Daily'!Z6</f>
        <v/>
      </c>
      <c r="Q4" s="35" t="str">
        <f>'FS Desroches Daily'!AB6</f>
        <v/>
      </c>
      <c r="R4" s="35" t="str">
        <f>'FS Desroches Daily'!AD6</f>
        <v/>
      </c>
      <c r="S4" s="35" t="str">
        <f>'FS Desroches Daily'!AF6</f>
        <v/>
      </c>
      <c r="T4" s="35" t="str">
        <f>'FS Desroches Daily'!AH6</f>
        <v/>
      </c>
      <c r="U4" s="39" t="str">
        <f>'FS Desroches Daily'!AJ6</f>
        <v/>
      </c>
      <c r="V4" s="39" t="str">
        <f>'FS Desroches Daily'!AL6</f>
        <v/>
      </c>
      <c r="W4" s="39" t="str">
        <f>'FS Desroches Daily'!AN6</f>
        <v/>
      </c>
      <c r="X4" s="39" t="str">
        <f>'FS Desroches Daily'!AP6</f>
        <v/>
      </c>
      <c r="Y4" s="39" t="str">
        <f>'FS Desroches Daily'!AR6</f>
        <v/>
      </c>
      <c r="Z4" s="39" t="str">
        <f>'FS Desroches Daily'!AT6</f>
        <v/>
      </c>
      <c r="AA4" s="39" t="str">
        <f>'FS Desroches Daily'!AT6</f>
        <v/>
      </c>
      <c r="AB4" s="39" t="str">
        <f>'FS Desroches Daily'!AV6</f>
        <v/>
      </c>
      <c r="AC4" s="39" t="str">
        <f>'FS Desroches Daily'!AZ6</f>
        <v/>
      </c>
      <c r="AD4" s="39" t="str">
        <f>'FS Desroches Daily'!BB6</f>
        <v/>
      </c>
      <c r="AE4" s="39" t="str">
        <f>'FS Desroches Daily'!BD6</f>
        <v/>
      </c>
      <c r="AF4" s="35" t="str">
        <f>'FS Desroches Daily'!BF6</f>
        <v/>
      </c>
      <c r="AG4" s="36" t="str">
        <f>'FS Desroches Daily'!BH6</f>
        <v/>
      </c>
      <c r="AH4" s="36" t="str">
        <f>'FS Desroches Daily'!BJ6</f>
        <v/>
      </c>
      <c r="AI4" s="36" t="str">
        <f>'FS Desroches Daily'!BL6</f>
        <v/>
      </c>
      <c r="AJ4" s="36" t="str">
        <f>'FS Desroches Daily'!BN6</f>
        <v/>
      </c>
      <c r="AK4" s="36" t="str">
        <f>'FS Desroches Daily'!BP6</f>
        <v/>
      </c>
      <c r="AL4" s="36" t="str">
        <f>'FS Desroches Daily'!BR6</f>
        <v/>
      </c>
      <c r="AM4" s="36" t="str">
        <f>'FS Desroches Daily'!BT6</f>
        <v/>
      </c>
      <c r="AN4" s="36" t="str">
        <f>'FS Desroches Daily'!BV6</f>
        <v/>
      </c>
      <c r="AO4" s="36" t="str">
        <f>'FS Desroches Daily'!BX6</f>
        <v/>
      </c>
      <c r="AP4" s="36" t="str">
        <f>'FS Desroches Daily'!BZ6</f>
        <v/>
      </c>
      <c r="AQ4" s="35" t="str">
        <f>'FS Desroches Daily'!CB6</f>
        <v/>
      </c>
      <c r="AR4" s="35" t="str">
        <f>'FS Desroches Daily'!CD6</f>
        <v/>
      </c>
      <c r="AS4" s="35" t="str">
        <f>'FS Desroches Daily'!CF6</f>
        <v/>
      </c>
      <c r="AT4" s="35" t="str">
        <f>'FS Desroches Daily'!CH6</f>
        <v/>
      </c>
      <c r="AU4" s="35" t="str">
        <f>'FS Desroches Daily'!CJ6</f>
        <v/>
      </c>
      <c r="AV4" s="35" t="str">
        <f>'FS Desroches Daily'!CL6</f>
        <v/>
      </c>
      <c r="AW4" s="35">
        <f>'FS Desroches Daily'!CM6</f>
        <v>0</v>
      </c>
      <c r="AX4" s="35" t="str">
        <f>IF(LPG!F11-LPG!F10&lt;0,"0",(LPG!F11-LPG!F10)*1.8315)</f>
        <v>0</v>
      </c>
      <c r="AY4" s="35" t="str">
        <f>IF(LPG!H11-LPG!H10&lt;0,"0",(LPG!H11-LPG!H10)*1.8315)</f>
        <v>0</v>
      </c>
      <c r="AZ4" s="35" t="str">
        <f>IF(LPG!J11-LPG!J10&lt;0,"0",(LPG!J11-LPG!J10)*1.8315)</f>
        <v>0</v>
      </c>
      <c r="BA4" s="35" t="str">
        <f>IF(LPG!M11-LPG!M10&lt;0,"0",(LPG!M11-LPG!M10)*1.8315)</f>
        <v>0</v>
      </c>
      <c r="BB4" s="35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0</v>
      </c>
      <c r="F5" s="36">
        <f>'FS Desroches Daily'!F7</f>
        <v>0</v>
      </c>
      <c r="G5" s="35">
        <f>'FS Desroches Daily'!H7</f>
        <v>0</v>
      </c>
      <c r="H5" s="36">
        <f>'FS Desroches Daily'!J7</f>
        <v>0</v>
      </c>
      <c r="I5" s="35">
        <f>'FS Desroches Daily'!L7</f>
        <v>0</v>
      </c>
      <c r="J5" s="36">
        <f>'FS Desroches Daily'!N7</f>
        <v>0</v>
      </c>
      <c r="K5" s="13">
        <f>'FS Desroches Daily'!P7</f>
        <v>0</v>
      </c>
      <c r="L5" s="35">
        <f>'FS Desroches Daily'!R7</f>
        <v>0</v>
      </c>
      <c r="M5" s="35">
        <f>'FS Desroches Daily'!T7</f>
        <v>0</v>
      </c>
      <c r="N5" s="35">
        <f>'FS Desroches Daily'!V7</f>
        <v>0</v>
      </c>
      <c r="O5" s="35">
        <f>'FS Desroches Daily'!X7</f>
        <v>0</v>
      </c>
      <c r="P5" s="35">
        <f>'FS Desroches Daily'!Z7</f>
        <v>0</v>
      </c>
      <c r="Q5" s="35">
        <f>'FS Desroches Daily'!AB7</f>
        <v>0</v>
      </c>
      <c r="R5" s="35">
        <f>'FS Desroches Daily'!AD7</f>
        <v>0</v>
      </c>
      <c r="S5" s="35">
        <f>'FS Desroches Daily'!AF7</f>
        <v>0</v>
      </c>
      <c r="T5" s="35">
        <f>'FS Desroches Daily'!AH7</f>
        <v>0</v>
      </c>
      <c r="U5" s="39">
        <f>'FS Desroches Daily'!AJ7</f>
        <v>0</v>
      </c>
      <c r="V5" s="39">
        <f>'FS Desroches Daily'!AL7</f>
        <v>0</v>
      </c>
      <c r="W5" s="39">
        <f>'FS Desroches Daily'!AN7</f>
        <v>0</v>
      </c>
      <c r="X5" s="39">
        <f>'FS Desroches Daily'!AP7</f>
        <v>0</v>
      </c>
      <c r="Y5" s="39">
        <f>'FS Desroches Daily'!AR7</f>
        <v>0</v>
      </c>
      <c r="Z5" s="39">
        <f>'FS Desroches Daily'!AT7</f>
        <v>0</v>
      </c>
      <c r="AA5" s="39">
        <f>'FS Desroches Daily'!AT7</f>
        <v>0</v>
      </c>
      <c r="AB5" s="39">
        <f>'FS Desroches Daily'!AV7</f>
        <v>0</v>
      </c>
      <c r="AC5" s="39">
        <f>'FS Desroches Daily'!AZ7</f>
        <v>0</v>
      </c>
      <c r="AD5" s="39">
        <f>'FS Desroches Daily'!BB7</f>
        <v>0</v>
      </c>
      <c r="AE5" s="39">
        <f>'FS Desroches Daily'!BD7</f>
        <v>0</v>
      </c>
      <c r="AF5" s="35">
        <f>'FS Desroches Daily'!BF7</f>
        <v>0</v>
      </c>
      <c r="AG5" s="36">
        <f>'FS Desroches Daily'!BH7</f>
        <v>0</v>
      </c>
      <c r="AH5" s="36">
        <f>'FS Desroches Daily'!BJ7</f>
        <v>0</v>
      </c>
      <c r="AI5" s="36">
        <f>'FS Desroches Daily'!BL7</f>
        <v>0</v>
      </c>
      <c r="AJ5" s="36">
        <f>'FS Desroches Daily'!BN7</f>
        <v>0</v>
      </c>
      <c r="AK5" s="36">
        <f>'FS Desroches Daily'!BP7</f>
        <v>0</v>
      </c>
      <c r="AL5" s="36">
        <f>'FS Desroches Daily'!BR7</f>
        <v>0</v>
      </c>
      <c r="AM5" s="36">
        <f>'FS Desroches Daily'!BT7</f>
        <v>0</v>
      </c>
      <c r="AN5" s="36">
        <f>'FS Desroches Daily'!BV7</f>
        <v>0</v>
      </c>
      <c r="AO5" s="36">
        <f>'FS Desroches Daily'!BX7</f>
        <v>0</v>
      </c>
      <c r="AP5" s="36">
        <f>'FS Desroches Daily'!BZ7</f>
        <v>0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0</v>
      </c>
      <c r="AU5" s="35">
        <f>'FS Desroches Daily'!CJ7</f>
        <v>0</v>
      </c>
      <c r="AV5" s="35">
        <f>'FS Desroches Daily'!CL7</f>
        <v>0</v>
      </c>
      <c r="AW5" s="35">
        <f>'FS Desroches Daily'!CM7</f>
        <v>0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0</v>
      </c>
      <c r="F6" s="36">
        <f>'FS Desroches Daily'!F8</f>
        <v>0</v>
      </c>
      <c r="G6" s="35">
        <f>'FS Desroches Daily'!H8</f>
        <v>0</v>
      </c>
      <c r="H6" s="36">
        <f>'FS Desroches Daily'!J8</f>
        <v>0</v>
      </c>
      <c r="I6" s="35">
        <f>'FS Desroches Daily'!L8</f>
        <v>0</v>
      </c>
      <c r="J6" s="36">
        <f>'FS Desroches Daily'!N8</f>
        <v>0</v>
      </c>
      <c r="K6" s="13">
        <f>'FS Desroches Daily'!P8</f>
        <v>0</v>
      </c>
      <c r="L6" s="35">
        <f>'FS Desroches Daily'!R8</f>
        <v>0</v>
      </c>
      <c r="M6" s="35">
        <f>'FS Desroches Daily'!T8</f>
        <v>0</v>
      </c>
      <c r="N6" s="35">
        <f>'FS Desroches Daily'!V8</f>
        <v>0</v>
      </c>
      <c r="O6" s="35">
        <f>'FS Desroches Daily'!X8</f>
        <v>0</v>
      </c>
      <c r="P6" s="35">
        <f>'FS Desroches Daily'!Z8</f>
        <v>0</v>
      </c>
      <c r="Q6" s="35">
        <f>'FS Desroches Daily'!AB8</f>
        <v>0</v>
      </c>
      <c r="R6" s="35">
        <f>'FS Desroches Daily'!AD8</f>
        <v>0</v>
      </c>
      <c r="S6" s="35">
        <f>'FS Desroches Daily'!AF8</f>
        <v>0</v>
      </c>
      <c r="T6" s="35">
        <f>'FS Desroches Daily'!AH8</f>
        <v>0</v>
      </c>
      <c r="U6" s="39">
        <f>'FS Desroches Daily'!AJ8</f>
        <v>0</v>
      </c>
      <c r="V6" s="39">
        <f>'FS Desroches Daily'!AL8</f>
        <v>0</v>
      </c>
      <c r="W6" s="39">
        <f>'FS Desroches Daily'!AN8</f>
        <v>0</v>
      </c>
      <c r="X6" s="39">
        <f>'FS Desroches Daily'!AP8</f>
        <v>0</v>
      </c>
      <c r="Y6" s="39">
        <f>'FS Desroches Daily'!AR8</f>
        <v>0</v>
      </c>
      <c r="Z6" s="39">
        <f>'FS Desroches Daily'!AT8</f>
        <v>0</v>
      </c>
      <c r="AA6" s="39">
        <f>'FS Desroches Daily'!AT8</f>
        <v>0</v>
      </c>
      <c r="AB6" s="39">
        <f>'FS Desroches Daily'!AV8</f>
        <v>0</v>
      </c>
      <c r="AC6" s="39">
        <f>'FS Desroches Daily'!AZ8</f>
        <v>0</v>
      </c>
      <c r="AD6" s="39">
        <f>'FS Desroches Daily'!BB8</f>
        <v>0</v>
      </c>
      <c r="AE6" s="39">
        <f>'FS Desroches Daily'!BD8</f>
        <v>0</v>
      </c>
      <c r="AF6" s="35">
        <f>'FS Desroches Daily'!BF8</f>
        <v>0</v>
      </c>
      <c r="AG6" s="36">
        <f>'FS Desroches Daily'!BH8</f>
        <v>0</v>
      </c>
      <c r="AH6" s="36">
        <f>'FS Desroches Daily'!BJ8</f>
        <v>0</v>
      </c>
      <c r="AI6" s="36">
        <f>'FS Desroches Daily'!BL8</f>
        <v>0</v>
      </c>
      <c r="AJ6" s="36">
        <f>'FS Desroches Daily'!BN8</f>
        <v>0</v>
      </c>
      <c r="AK6" s="36">
        <f>'FS Desroches Daily'!BP8</f>
        <v>0</v>
      </c>
      <c r="AL6" s="36">
        <f>'FS Desroches Daily'!BR8</f>
        <v>0</v>
      </c>
      <c r="AM6" s="36">
        <f>'FS Desroches Daily'!BT8</f>
        <v>0</v>
      </c>
      <c r="AN6" s="36">
        <f>'FS Desroches Daily'!BV8</f>
        <v>0</v>
      </c>
      <c r="AO6" s="36">
        <f>'FS Desroches Daily'!BX8</f>
        <v>0</v>
      </c>
      <c r="AP6" s="36">
        <f>'FS Desroches Daily'!BZ8</f>
        <v>0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0</v>
      </c>
      <c r="AU6" s="35">
        <f>'FS Desroches Daily'!CJ8</f>
        <v>0</v>
      </c>
      <c r="AV6" s="35">
        <f>'FS Desroches Daily'!CL8</f>
        <v>0</v>
      </c>
      <c r="AW6" s="35">
        <f>'FS Desroches Daily'!CM8</f>
        <v>0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7300.0000000000837</v>
      </c>
      <c r="F33" s="17">
        <f t="shared" ref="F33:BC33" si="1">SUM(F2:F32)</f>
        <v>8300.0000000001965</v>
      </c>
      <c r="G33" s="17">
        <f t="shared" si="1"/>
        <v>7499.9999999998399</v>
      </c>
      <c r="H33" s="17">
        <f t="shared" si="1"/>
        <v>1801.900000000024</v>
      </c>
      <c r="I33" s="17">
        <f t="shared" si="1"/>
        <v>6799.9999999999172</v>
      </c>
      <c r="J33" s="17">
        <f t="shared" si="1"/>
        <v>3689.9999999999409</v>
      </c>
      <c r="K33" s="17">
        <f t="shared" si="1"/>
        <v>40</v>
      </c>
      <c r="L33" s="17">
        <f t="shared" si="1"/>
        <v>19</v>
      </c>
      <c r="M33" s="17">
        <f t="shared" si="1"/>
        <v>1547</v>
      </c>
      <c r="N33" s="17">
        <f t="shared" si="1"/>
        <v>618.40000000002328</v>
      </c>
      <c r="O33" s="17">
        <f t="shared" si="1"/>
        <v>1000</v>
      </c>
      <c r="P33" s="17">
        <f t="shared" si="1"/>
        <v>7099.9999999998836</v>
      </c>
      <c r="Q33" s="17">
        <f t="shared" si="1"/>
        <v>1129.9999999999955</v>
      </c>
      <c r="R33" s="17">
        <f t="shared" si="1"/>
        <v>560.00000000000227</v>
      </c>
      <c r="S33" s="17">
        <f t="shared" si="1"/>
        <v>1680.0000000000068</v>
      </c>
      <c r="T33" s="17">
        <f t="shared" si="1"/>
        <v>4</v>
      </c>
      <c r="U33" s="39">
        <f t="shared" si="1"/>
        <v>1240.0000000000091</v>
      </c>
      <c r="V33" s="39">
        <f t="shared" si="1"/>
        <v>0.42000000000000171</v>
      </c>
      <c r="W33" s="39">
        <f t="shared" si="1"/>
        <v>0.46999999999999886</v>
      </c>
      <c r="X33" s="39">
        <f t="shared" si="1"/>
        <v>0.57999999999999829</v>
      </c>
      <c r="Y33" s="39">
        <f t="shared" si="1"/>
        <v>599.99999999999432</v>
      </c>
      <c r="Z33" s="39">
        <f t="shared" si="1"/>
        <v>439.99999999999773</v>
      </c>
      <c r="AA33" s="39">
        <f t="shared" si="1"/>
        <v>439.99999999999773</v>
      </c>
      <c r="AB33" s="39">
        <f t="shared" si="1"/>
        <v>389.99999999998636</v>
      </c>
      <c r="AC33" s="39">
        <f t="shared" si="1"/>
        <v>89.999999999974989</v>
      </c>
      <c r="AD33" s="39">
        <f t="shared" si="1"/>
        <v>610.00000000001364</v>
      </c>
      <c r="AE33" s="39">
        <f t="shared" si="1"/>
        <v>479.99999999998977</v>
      </c>
      <c r="AF33" s="17">
        <f t="shared" si="1"/>
        <v>132</v>
      </c>
      <c r="AG33" s="36">
        <f t="shared" si="1"/>
        <v>89.999999999974989</v>
      </c>
      <c r="AH33" s="36">
        <f t="shared" si="1"/>
        <v>139.99999999998636</v>
      </c>
      <c r="AI33" s="36">
        <f t="shared" si="1"/>
        <v>129.99999999999545</v>
      </c>
      <c r="AJ33" s="36">
        <f t="shared" si="1"/>
        <v>99.999999999994316</v>
      </c>
      <c r="AK33" s="36">
        <f t="shared" si="1"/>
        <v>60.000000000002274</v>
      </c>
      <c r="AL33" s="36">
        <f t="shared" si="1"/>
        <v>93</v>
      </c>
      <c r="AM33" s="36">
        <f t="shared" si="1"/>
        <v>119.99999999997613</v>
      </c>
      <c r="AN33" s="36">
        <f t="shared" si="1"/>
        <v>97</v>
      </c>
      <c r="AO33" s="36">
        <f t="shared" si="1"/>
        <v>120.00000000000455</v>
      </c>
      <c r="AP33" s="36">
        <f t="shared" si="1"/>
        <v>162</v>
      </c>
      <c r="AQ33" s="17">
        <f t="shared" si="1"/>
        <v>77.700000000000728</v>
      </c>
      <c r="AR33" s="17">
        <f t="shared" si="1"/>
        <v>27.299999999999272</v>
      </c>
      <c r="AS33" s="17">
        <f t="shared" si="1"/>
        <v>20.600000000000364</v>
      </c>
      <c r="AT33" s="17">
        <f t="shared" si="1"/>
        <v>142.90000000000146</v>
      </c>
      <c r="AU33" s="17">
        <f t="shared" si="1"/>
        <v>551</v>
      </c>
      <c r="AV33" s="17">
        <f t="shared" si="1"/>
        <v>1529.9999999999727</v>
      </c>
      <c r="AW33" s="17">
        <f t="shared" si="1"/>
        <v>202.3</v>
      </c>
      <c r="AX33" s="17">
        <f t="shared" si="1"/>
        <v>34.798499999999997</v>
      </c>
      <c r="AY33" s="17">
        <f t="shared" si="1"/>
        <v>12.820499999999999</v>
      </c>
      <c r="AZ33" s="17">
        <f t="shared" si="1"/>
        <v>3.6629999999999998</v>
      </c>
      <c r="BA33" s="17">
        <f t="shared" si="1"/>
        <v>10.988999999999999</v>
      </c>
      <c r="BB33" s="17">
        <f t="shared" si="1"/>
        <v>10.988999999999999</v>
      </c>
      <c r="BC33" s="17">
        <f t="shared" si="1"/>
        <v>89</v>
      </c>
    </row>
    <row r="35" spans="5:55" x14ac:dyDescent="0.25">
      <c r="E35" s="42">
        <f>E33/E37</f>
        <v>0.36999680687687481</v>
      </c>
      <c r="G35" s="33">
        <f>G33-M36</f>
        <v>5334.5999999998166</v>
      </c>
      <c r="AE35" s="39">
        <f>SUM(U33:AE33)</f>
        <v>4291.4699999999639</v>
      </c>
      <c r="AG35" s="36">
        <f>SUM(AG33:AP33)</f>
        <v>1111.9999999999341</v>
      </c>
    </row>
    <row r="36" spans="5:55" x14ac:dyDescent="0.25">
      <c r="G36" s="33">
        <f>G35-633*14</f>
        <v>-3527.4000000001834</v>
      </c>
      <c r="M36" s="33">
        <f>M33+N33</f>
        <v>2165.4000000000233</v>
      </c>
    </row>
    <row r="37" spans="5:55" x14ac:dyDescent="0.25">
      <c r="E37" s="17">
        <f>E33+F33+G33+H33+J33-633*14</f>
        <v>19729.900000000085</v>
      </c>
      <c r="G37" s="41">
        <f>M36/E37</f>
        <v>0.10975220350838139</v>
      </c>
      <c r="M37" s="39">
        <f>AE35</f>
        <v>4291.4699999999639</v>
      </c>
    </row>
    <row r="38" spans="5:55" x14ac:dyDescent="0.25">
      <c r="L38" s="31">
        <f>M38/E37</f>
        <v>5.6361157431103516E-2</v>
      </c>
      <c r="M38" s="33">
        <f>AG35</f>
        <v>1111.9999999999341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N1" zoomScale="70" zoomScaleNormal="70" workbookViewId="0">
      <pane ySplit="1" topLeftCell="A2" activePane="bottomLeft" state="frozen"/>
      <selection pane="bottomLeft" activeCell="CM5" sqref="CM5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 t="shared" ref="J5:J34" si="6">IF((I5-I4&lt;0), "0",(I5-I4)*1000)</f>
        <v>1.9000000000000128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7">IF((O5-O4&lt;0), "",O5-O4)</f>
        <v>22</v>
      </c>
      <c r="Q5" s="65">
        <v>4336</v>
      </c>
      <c r="R5" s="77">
        <f t="shared" ref="R5:R34" si="8">IF((Q5-Q4&lt;0), "",Q5-Q4)</f>
        <v>10</v>
      </c>
      <c r="S5" s="65"/>
      <c r="T5" s="77" t="str">
        <f t="shared" ref="T5:T34" si="9">IF((S5-S4&lt;0), "",S5-S4)</f>
        <v/>
      </c>
      <c r="U5" s="65"/>
      <c r="V5" s="77" t="str">
        <f t="shared" ref="V5:V34" si="10">IF((U5-U4&lt;0), "",U5-U4)</f>
        <v/>
      </c>
      <c r="W5" s="65">
        <v>281.32</v>
      </c>
      <c r="X5" s="77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1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2">IF((AK5-AK4&lt;0), "",AK5-AK4)</f>
        <v>0.21000000000000796</v>
      </c>
      <c r="AM5" s="65">
        <v>122.52</v>
      </c>
      <c r="AN5" s="77">
        <f t="shared" ref="AN5:AN34" si="13">IF((AM5-AM4&lt;0), "",AM5-AM4)</f>
        <v>0.23999999999999488</v>
      </c>
      <c r="AO5" s="65">
        <v>121.45</v>
      </c>
      <c r="AP5" s="77">
        <f t="shared" ref="AP5:AP34" si="14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5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6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7">IF((BY5-BY4&lt;0), "",BY5-BY4)</f>
        <v>84</v>
      </c>
      <c r="CA5" s="65">
        <v>24189.9</v>
      </c>
      <c r="CB5" s="77">
        <f t="shared" ref="CB5:CB34" si="18">IF((CA5-CA4&lt;0), "",CA5-CA4)</f>
        <v>47.100000000002183</v>
      </c>
      <c r="CC5" s="65">
        <v>10289.799999999999</v>
      </c>
      <c r="CD5" s="77">
        <f t="shared" ref="CD5:CD34" si="19">IF((CC5-CC4&lt;0), "",CC5-CC4)</f>
        <v>11</v>
      </c>
      <c r="CE5" s="65">
        <v>4887.8</v>
      </c>
      <c r="CF5" s="77">
        <f t="shared" ref="CF5:CF34" si="20">IF((CE5-CE4&lt;0), "",CE5-CE4)</f>
        <v>7.5</v>
      </c>
      <c r="CG5" s="65">
        <v>36650.9</v>
      </c>
      <c r="CH5" s="77">
        <f t="shared" ref="CH5:CH34" si="21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2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/>
      <c r="D6" s="76" t="str">
        <f t="shared" si="3"/>
        <v>0</v>
      </c>
      <c r="E6" s="65"/>
      <c r="F6" s="76" t="str">
        <f t="shared" si="4"/>
        <v>0</v>
      </c>
      <c r="G6" s="65"/>
      <c r="H6" s="76" t="str">
        <f t="shared" si="5"/>
        <v>0</v>
      </c>
      <c r="I6" s="65"/>
      <c r="J6" s="76" t="str">
        <f t="shared" si="6"/>
        <v>0</v>
      </c>
      <c r="K6" s="65"/>
      <c r="L6" s="76" t="str">
        <f t="shared" si="0"/>
        <v>0</v>
      </c>
      <c r="M6" s="65"/>
      <c r="N6" s="77" t="str">
        <f t="shared" ref="N6:N34" si="23">IF((M6-M5&lt;0), "",(M6-M5)*1000)</f>
        <v/>
      </c>
      <c r="O6" s="65"/>
      <c r="P6" s="77" t="str">
        <f t="shared" si="7"/>
        <v/>
      </c>
      <c r="Q6" s="65"/>
      <c r="R6" s="77" t="str">
        <f t="shared" si="8"/>
        <v/>
      </c>
      <c r="S6" s="65"/>
      <c r="T6" s="77">
        <f t="shared" si="9"/>
        <v>0</v>
      </c>
      <c r="U6" s="65"/>
      <c r="V6" s="77">
        <f t="shared" si="10"/>
        <v>0</v>
      </c>
      <c r="W6" s="65"/>
      <c r="X6" s="77"/>
      <c r="Y6" s="65"/>
      <c r="Z6" s="77" t="str">
        <f t="shared" ref="Z6:Z34" si="24">IF((Y6-Y5&lt;0), "",(Y6-Y5)*1000000)</f>
        <v/>
      </c>
      <c r="AA6" s="65"/>
      <c r="AB6" s="77" t="str">
        <f t="shared" ref="AB6:AB34" si="25">IF((AA6-AA5&lt;0), "",(AA6-AA5)*1000)</f>
        <v/>
      </c>
      <c r="AC6" s="65"/>
      <c r="AD6" s="77" t="str">
        <f t="shared" ref="AD6:AD34" si="26">IF((AC6-AC5&lt;0), "",(AC6-AC5)*1000)</f>
        <v/>
      </c>
      <c r="AE6" s="65"/>
      <c r="AF6" s="77" t="str">
        <f t="shared" ref="AF6:AF34" si="27">IF((AE6-AE5&lt;0), "",(AE6-AE5)*1000)</f>
        <v/>
      </c>
      <c r="AG6" s="65"/>
      <c r="AH6" s="77" t="str">
        <f t="shared" si="11"/>
        <v/>
      </c>
      <c r="AI6" s="65"/>
      <c r="AJ6" s="77" t="str">
        <f t="shared" ref="AJ6:AJ34" si="28">IF((AI6-AI5&lt;0), "",(AI6-AI5)*1000)</f>
        <v/>
      </c>
      <c r="AK6" s="65"/>
      <c r="AL6" s="77" t="str">
        <f t="shared" si="12"/>
        <v/>
      </c>
      <c r="AM6" s="65"/>
      <c r="AN6" s="77" t="str">
        <f t="shared" si="13"/>
        <v/>
      </c>
      <c r="AO6" s="65"/>
      <c r="AP6" s="77" t="str">
        <f t="shared" si="14"/>
        <v/>
      </c>
      <c r="AQ6" s="65"/>
      <c r="AR6" s="77" t="str">
        <f t="shared" ref="AR6:AR34" si="29">IF((AQ6-AQ5&lt;0), "",(AQ6-AQ5)*1000)</f>
        <v/>
      </c>
      <c r="AS6" s="65"/>
      <c r="AT6" s="77" t="str">
        <f t="shared" ref="AT6:AT34" si="30">IF((AS6-AS5&lt;0), "",(AS6-AS5)*1000)</f>
        <v/>
      </c>
      <c r="AU6" s="65"/>
      <c r="AV6" s="77" t="str">
        <f t="shared" ref="AV6:AV34" si="31">IF((AU6-AU5&lt;0), "",(AU6-AU5)*1000)</f>
        <v/>
      </c>
      <c r="AW6" s="65"/>
      <c r="AX6" s="77" t="str">
        <f t="shared" ref="AX6:AX37" si="32">IF((AW6-AW5&lt;0), "",(AW6-AW5)*1000)</f>
        <v/>
      </c>
      <c r="AY6" s="65"/>
      <c r="AZ6" s="77" t="str">
        <f t="shared" ref="AZ6:AZ34" si="33">IF((AY6-AY5&lt;0), "",(AY6-AY5)*1000)</f>
        <v/>
      </c>
      <c r="BA6" s="65"/>
      <c r="BB6" s="77" t="str">
        <f t="shared" ref="BB6:BB34" si="34">IF((BA6-BA5&lt;0), "",(BA6-BA5)*1000)</f>
        <v/>
      </c>
      <c r="BC6" s="65"/>
      <c r="BD6" s="77" t="str">
        <f t="shared" ref="BD6:BD34" si="35">IF((BC6-BC5&lt;0), "",(BC6-BC5)*1000)</f>
        <v/>
      </c>
      <c r="BE6" s="70"/>
      <c r="BF6" s="77" t="str">
        <f t="shared" si="15"/>
        <v/>
      </c>
      <c r="BG6" s="71"/>
      <c r="BH6" s="77" t="str">
        <f t="shared" ref="BH6:BH34" si="36">IF((BG6-BG5&lt;0), "",(BG6-BG5)*1000)</f>
        <v/>
      </c>
      <c r="BI6" s="70"/>
      <c r="BJ6" s="77" t="str">
        <f t="shared" ref="BJ6:BJ35" si="37">IF((BI6-BI5&lt;0), "",(BI6-BI5)*1000)</f>
        <v/>
      </c>
      <c r="BK6" s="70"/>
      <c r="BL6" s="77" t="str">
        <f t="shared" ref="BL6:BL35" si="38">IF((BK6-BK5&lt;0), "",(BK6-BK5)*1000)</f>
        <v/>
      </c>
      <c r="BM6" s="70"/>
      <c r="BN6" s="77" t="str">
        <f t="shared" ref="BN6:BN34" si="39">IF((BM6-BM5&lt;0), "",(BM6-BM5)*1000)</f>
        <v/>
      </c>
      <c r="BO6" s="70"/>
      <c r="BP6" s="77" t="str">
        <f t="shared" ref="BP6:BP34" si="40">IF((BO6-BO5&lt;0), "",(BO6-BO5)*1000)</f>
        <v/>
      </c>
      <c r="BQ6" s="70"/>
      <c r="BR6" s="77" t="str">
        <f t="shared" si="16"/>
        <v/>
      </c>
      <c r="BS6" s="70"/>
      <c r="BT6" s="77" t="str">
        <f t="shared" ref="BT6:BT35" si="41">IF((BS6-BS5&lt;0), "",(BS6-BS5)*1000)</f>
        <v/>
      </c>
      <c r="BU6" s="70"/>
      <c r="BV6" s="77" t="str">
        <f t="shared" si="1"/>
        <v/>
      </c>
      <c r="BW6" s="70"/>
      <c r="BX6" s="77" t="str">
        <f t="shared" ref="BX6:BX34" si="42">IF((BW6-BW5&lt;0), "",(BW6-BW5)*1000)</f>
        <v/>
      </c>
      <c r="BY6" s="72"/>
      <c r="BZ6" s="77" t="str">
        <f t="shared" si="17"/>
        <v/>
      </c>
      <c r="CA6" s="65"/>
      <c r="CB6" s="77" t="str">
        <f t="shared" si="18"/>
        <v/>
      </c>
      <c r="CC6" s="65"/>
      <c r="CD6" s="77" t="str">
        <f t="shared" si="19"/>
        <v/>
      </c>
      <c r="CE6" s="65"/>
      <c r="CF6" s="77" t="str">
        <f t="shared" si="20"/>
        <v/>
      </c>
      <c r="CG6" s="65"/>
      <c r="CH6" s="77" t="str">
        <f t="shared" si="21"/>
        <v/>
      </c>
      <c r="CI6" s="65"/>
      <c r="CJ6" s="77" t="str">
        <f t="shared" si="2"/>
        <v/>
      </c>
      <c r="CK6" s="65"/>
      <c r="CL6" s="76" t="str">
        <f t="shared" si="22"/>
        <v/>
      </c>
      <c r="CM6" s="77"/>
      <c r="CN6" s="74"/>
      <c r="CO6" s="74"/>
    </row>
    <row r="7" spans="1:93" ht="25.5" customHeight="1" thickBot="1" x14ac:dyDescent="0.45">
      <c r="A7" s="75">
        <v>43834</v>
      </c>
      <c r="B7" s="49"/>
      <c r="C7" s="65"/>
      <c r="D7" s="76">
        <f t="shared" si="3"/>
        <v>0</v>
      </c>
      <c r="E7" s="65"/>
      <c r="F7" s="76">
        <f t="shared" si="4"/>
        <v>0</v>
      </c>
      <c r="G7" s="65"/>
      <c r="H7" s="76">
        <f t="shared" si="5"/>
        <v>0</v>
      </c>
      <c r="I7" s="65"/>
      <c r="J7" s="76">
        <f t="shared" si="6"/>
        <v>0</v>
      </c>
      <c r="K7" s="65"/>
      <c r="L7" s="76">
        <f t="shared" si="0"/>
        <v>0</v>
      </c>
      <c r="M7" s="65"/>
      <c r="N7" s="77">
        <f t="shared" si="23"/>
        <v>0</v>
      </c>
      <c r="O7" s="65"/>
      <c r="P7" s="77">
        <f t="shared" si="7"/>
        <v>0</v>
      </c>
      <c r="Q7" s="65"/>
      <c r="R7" s="77">
        <f t="shared" si="8"/>
        <v>0</v>
      </c>
      <c r="S7" s="65"/>
      <c r="T7" s="77">
        <f t="shared" si="9"/>
        <v>0</v>
      </c>
      <c r="U7" s="65"/>
      <c r="V7" s="77">
        <f t="shared" si="10"/>
        <v>0</v>
      </c>
      <c r="W7" s="65"/>
      <c r="X7" s="77">
        <f t="shared" ref="X7:X34" si="43">IF((W7-W6&lt;0), "",(W7-W6)*1000)</f>
        <v>0</v>
      </c>
      <c r="Y7" s="65"/>
      <c r="Z7" s="77">
        <f t="shared" si="24"/>
        <v>0</v>
      </c>
      <c r="AA7" s="65"/>
      <c r="AB7" s="77">
        <f t="shared" si="25"/>
        <v>0</v>
      </c>
      <c r="AC7" s="65"/>
      <c r="AD7" s="77">
        <f t="shared" si="26"/>
        <v>0</v>
      </c>
      <c r="AE7" s="65"/>
      <c r="AF7" s="77">
        <f t="shared" si="27"/>
        <v>0</v>
      </c>
      <c r="AG7" s="65"/>
      <c r="AH7" s="77">
        <f t="shared" si="11"/>
        <v>0</v>
      </c>
      <c r="AI7" s="65"/>
      <c r="AJ7" s="77">
        <f t="shared" si="28"/>
        <v>0</v>
      </c>
      <c r="AK7" s="65"/>
      <c r="AL7" s="77">
        <f t="shared" si="12"/>
        <v>0</v>
      </c>
      <c r="AM7" s="65"/>
      <c r="AN7" s="77">
        <f t="shared" si="13"/>
        <v>0</v>
      </c>
      <c r="AO7" s="65"/>
      <c r="AP7" s="77">
        <f t="shared" si="14"/>
        <v>0</v>
      </c>
      <c r="AQ7" s="65"/>
      <c r="AR7" s="77">
        <f t="shared" si="29"/>
        <v>0</v>
      </c>
      <c r="AS7" s="65"/>
      <c r="AT7" s="77">
        <f t="shared" si="30"/>
        <v>0</v>
      </c>
      <c r="AU7" s="65"/>
      <c r="AV7" s="77">
        <f t="shared" si="31"/>
        <v>0</v>
      </c>
      <c r="AW7" s="65"/>
      <c r="AX7" s="77">
        <f t="shared" si="32"/>
        <v>0</v>
      </c>
      <c r="AY7" s="65"/>
      <c r="AZ7" s="77">
        <f t="shared" si="33"/>
        <v>0</v>
      </c>
      <c r="BA7" s="65"/>
      <c r="BB7" s="77">
        <f t="shared" si="34"/>
        <v>0</v>
      </c>
      <c r="BC7" s="65"/>
      <c r="BD7" s="77">
        <f t="shared" si="35"/>
        <v>0</v>
      </c>
      <c r="BE7" s="70"/>
      <c r="BF7" s="77">
        <f t="shared" si="15"/>
        <v>0</v>
      </c>
      <c r="BG7" s="71"/>
      <c r="BH7" s="77">
        <f t="shared" si="36"/>
        <v>0</v>
      </c>
      <c r="BI7" s="70"/>
      <c r="BJ7" s="77">
        <f t="shared" si="37"/>
        <v>0</v>
      </c>
      <c r="BK7" s="70"/>
      <c r="BL7" s="77">
        <f t="shared" si="38"/>
        <v>0</v>
      </c>
      <c r="BM7" s="70"/>
      <c r="BN7" s="77">
        <f t="shared" si="39"/>
        <v>0</v>
      </c>
      <c r="BO7" s="70"/>
      <c r="BP7" s="77">
        <f t="shared" si="40"/>
        <v>0</v>
      </c>
      <c r="BQ7" s="70"/>
      <c r="BR7" s="77">
        <f t="shared" si="16"/>
        <v>0</v>
      </c>
      <c r="BS7" s="70"/>
      <c r="BT7" s="77">
        <f t="shared" si="41"/>
        <v>0</v>
      </c>
      <c r="BU7" s="70"/>
      <c r="BV7" s="77">
        <f t="shared" si="1"/>
        <v>0</v>
      </c>
      <c r="BW7" s="70"/>
      <c r="BX7" s="77">
        <f t="shared" si="42"/>
        <v>0</v>
      </c>
      <c r="BY7" s="72"/>
      <c r="BZ7" s="77">
        <f t="shared" si="17"/>
        <v>0</v>
      </c>
      <c r="CA7" s="65"/>
      <c r="CB7" s="77">
        <f t="shared" si="18"/>
        <v>0</v>
      </c>
      <c r="CC7" s="65"/>
      <c r="CD7" s="77">
        <f t="shared" si="19"/>
        <v>0</v>
      </c>
      <c r="CE7" s="65"/>
      <c r="CF7" s="77">
        <f t="shared" si="20"/>
        <v>0</v>
      </c>
      <c r="CG7" s="65"/>
      <c r="CH7" s="77">
        <f t="shared" si="21"/>
        <v>0</v>
      </c>
      <c r="CI7" s="65"/>
      <c r="CJ7" s="77">
        <f t="shared" si="2"/>
        <v>0</v>
      </c>
      <c r="CK7" s="65"/>
      <c r="CL7" s="76">
        <f t="shared" si="22"/>
        <v>0</v>
      </c>
      <c r="CM7" s="77"/>
      <c r="CN7" s="74"/>
      <c r="CO7" s="74"/>
    </row>
    <row r="8" spans="1:93" ht="25.5" customHeight="1" thickBot="1" x14ac:dyDescent="0.45">
      <c r="A8" s="75">
        <v>43835</v>
      </c>
      <c r="B8" s="49"/>
      <c r="C8" s="65"/>
      <c r="D8" s="76">
        <f t="shared" si="3"/>
        <v>0</v>
      </c>
      <c r="E8" s="65"/>
      <c r="F8" s="76">
        <f t="shared" si="4"/>
        <v>0</v>
      </c>
      <c r="G8" s="65"/>
      <c r="H8" s="76">
        <f t="shared" si="5"/>
        <v>0</v>
      </c>
      <c r="I8" s="65"/>
      <c r="J8" s="76">
        <f t="shared" si="6"/>
        <v>0</v>
      </c>
      <c r="K8" s="65"/>
      <c r="L8" s="76">
        <f t="shared" si="0"/>
        <v>0</v>
      </c>
      <c r="M8" s="65"/>
      <c r="N8" s="77">
        <f t="shared" si="23"/>
        <v>0</v>
      </c>
      <c r="O8" s="65"/>
      <c r="P8" s="77">
        <f t="shared" si="7"/>
        <v>0</v>
      </c>
      <c r="Q8" s="65"/>
      <c r="R8" s="77">
        <f t="shared" si="8"/>
        <v>0</v>
      </c>
      <c r="S8" s="65"/>
      <c r="T8" s="77">
        <f t="shared" si="9"/>
        <v>0</v>
      </c>
      <c r="U8" s="65"/>
      <c r="V8" s="77">
        <f t="shared" si="10"/>
        <v>0</v>
      </c>
      <c r="W8" s="65"/>
      <c r="X8" s="77">
        <f t="shared" si="43"/>
        <v>0</v>
      </c>
      <c r="Y8" s="65"/>
      <c r="Z8" s="77">
        <f t="shared" si="24"/>
        <v>0</v>
      </c>
      <c r="AA8" s="65"/>
      <c r="AB8" s="77">
        <f t="shared" si="25"/>
        <v>0</v>
      </c>
      <c r="AC8" s="65"/>
      <c r="AD8" s="77">
        <f t="shared" si="26"/>
        <v>0</v>
      </c>
      <c r="AE8" s="65"/>
      <c r="AF8" s="77">
        <f t="shared" si="27"/>
        <v>0</v>
      </c>
      <c r="AG8" s="65"/>
      <c r="AH8" s="77">
        <f t="shared" si="11"/>
        <v>0</v>
      </c>
      <c r="AI8" s="65"/>
      <c r="AJ8" s="77">
        <f t="shared" si="28"/>
        <v>0</v>
      </c>
      <c r="AK8" s="65"/>
      <c r="AL8" s="77">
        <f t="shared" si="12"/>
        <v>0</v>
      </c>
      <c r="AM8" s="65"/>
      <c r="AN8" s="77">
        <f t="shared" si="13"/>
        <v>0</v>
      </c>
      <c r="AO8" s="65"/>
      <c r="AP8" s="77">
        <f t="shared" si="14"/>
        <v>0</v>
      </c>
      <c r="AQ8" s="65"/>
      <c r="AR8" s="77">
        <f t="shared" si="29"/>
        <v>0</v>
      </c>
      <c r="AS8" s="65"/>
      <c r="AT8" s="77">
        <f t="shared" si="30"/>
        <v>0</v>
      </c>
      <c r="AU8" s="65"/>
      <c r="AV8" s="77">
        <f t="shared" si="31"/>
        <v>0</v>
      </c>
      <c r="AW8" s="65"/>
      <c r="AX8" s="77">
        <f t="shared" si="32"/>
        <v>0</v>
      </c>
      <c r="AY8" s="65"/>
      <c r="AZ8" s="77">
        <f t="shared" si="33"/>
        <v>0</v>
      </c>
      <c r="BA8" s="65"/>
      <c r="BB8" s="77">
        <f t="shared" si="34"/>
        <v>0</v>
      </c>
      <c r="BC8" s="65"/>
      <c r="BD8" s="77">
        <f t="shared" si="35"/>
        <v>0</v>
      </c>
      <c r="BE8" s="70"/>
      <c r="BF8" s="77">
        <f t="shared" si="15"/>
        <v>0</v>
      </c>
      <c r="BG8" s="71"/>
      <c r="BH8" s="77">
        <f t="shared" si="36"/>
        <v>0</v>
      </c>
      <c r="BI8" s="70"/>
      <c r="BJ8" s="77">
        <f t="shared" si="37"/>
        <v>0</v>
      </c>
      <c r="BK8" s="70"/>
      <c r="BL8" s="77">
        <f t="shared" si="38"/>
        <v>0</v>
      </c>
      <c r="BM8" s="70"/>
      <c r="BN8" s="77">
        <f t="shared" si="39"/>
        <v>0</v>
      </c>
      <c r="BO8" s="70"/>
      <c r="BP8" s="77">
        <f t="shared" si="40"/>
        <v>0</v>
      </c>
      <c r="BQ8" s="70"/>
      <c r="BR8" s="77">
        <f t="shared" si="16"/>
        <v>0</v>
      </c>
      <c r="BS8" s="70"/>
      <c r="BT8" s="77">
        <f t="shared" si="41"/>
        <v>0</v>
      </c>
      <c r="BU8" s="70"/>
      <c r="BV8" s="77">
        <f t="shared" si="1"/>
        <v>0</v>
      </c>
      <c r="BW8" s="70"/>
      <c r="BX8" s="77">
        <f t="shared" si="42"/>
        <v>0</v>
      </c>
      <c r="BY8" s="72"/>
      <c r="BZ8" s="77">
        <f t="shared" si="17"/>
        <v>0</v>
      </c>
      <c r="CA8" s="65"/>
      <c r="CB8" s="77">
        <f t="shared" si="18"/>
        <v>0</v>
      </c>
      <c r="CC8" s="65"/>
      <c r="CD8" s="77">
        <f t="shared" si="19"/>
        <v>0</v>
      </c>
      <c r="CE8" s="65"/>
      <c r="CF8" s="77">
        <f t="shared" si="20"/>
        <v>0</v>
      </c>
      <c r="CG8" s="65"/>
      <c r="CH8" s="77">
        <f t="shared" si="21"/>
        <v>0</v>
      </c>
      <c r="CI8" s="65"/>
      <c r="CJ8" s="77">
        <f t="shared" si="2"/>
        <v>0</v>
      </c>
      <c r="CK8" s="65"/>
      <c r="CL8" s="76">
        <f t="shared" si="22"/>
        <v>0</v>
      </c>
      <c r="CM8" s="77"/>
      <c r="CN8" s="74"/>
      <c r="CO8" s="74"/>
    </row>
    <row r="9" spans="1:93" ht="25.5" customHeight="1" thickBot="1" x14ac:dyDescent="0.45">
      <c r="A9" s="75">
        <v>43836</v>
      </c>
      <c r="B9" s="49"/>
      <c r="C9" s="65"/>
      <c r="D9" s="76">
        <f t="shared" si="3"/>
        <v>0</v>
      </c>
      <c r="E9" s="65"/>
      <c r="F9" s="76">
        <f t="shared" si="4"/>
        <v>0</v>
      </c>
      <c r="G9" s="65"/>
      <c r="H9" s="76">
        <f t="shared" si="5"/>
        <v>0</v>
      </c>
      <c r="I9" s="65"/>
      <c r="J9" s="76">
        <f t="shared" si="6"/>
        <v>0</v>
      </c>
      <c r="K9" s="65"/>
      <c r="L9" s="76">
        <f t="shared" si="0"/>
        <v>0</v>
      </c>
      <c r="M9" s="65"/>
      <c r="N9" s="77">
        <f t="shared" si="23"/>
        <v>0</v>
      </c>
      <c r="O9" s="65"/>
      <c r="P9" s="77">
        <f t="shared" si="7"/>
        <v>0</v>
      </c>
      <c r="Q9" s="65"/>
      <c r="R9" s="77">
        <f t="shared" si="8"/>
        <v>0</v>
      </c>
      <c r="S9" s="65"/>
      <c r="T9" s="77">
        <f t="shared" si="9"/>
        <v>0</v>
      </c>
      <c r="U9" s="65"/>
      <c r="V9" s="77">
        <f t="shared" si="10"/>
        <v>0</v>
      </c>
      <c r="W9" s="65"/>
      <c r="X9" s="77">
        <f t="shared" si="43"/>
        <v>0</v>
      </c>
      <c r="Y9" s="65"/>
      <c r="Z9" s="77">
        <f t="shared" si="24"/>
        <v>0</v>
      </c>
      <c r="AA9" s="65"/>
      <c r="AB9" s="77">
        <f t="shared" si="25"/>
        <v>0</v>
      </c>
      <c r="AC9" s="65"/>
      <c r="AD9" s="77">
        <f t="shared" si="26"/>
        <v>0</v>
      </c>
      <c r="AE9" s="65"/>
      <c r="AF9" s="77">
        <f t="shared" si="27"/>
        <v>0</v>
      </c>
      <c r="AG9" s="65"/>
      <c r="AH9" s="77">
        <f t="shared" si="11"/>
        <v>0</v>
      </c>
      <c r="AI9" s="65"/>
      <c r="AJ9" s="77">
        <f t="shared" si="28"/>
        <v>0</v>
      </c>
      <c r="AK9" s="65"/>
      <c r="AL9" s="77">
        <f t="shared" si="12"/>
        <v>0</v>
      </c>
      <c r="AM9" s="65"/>
      <c r="AN9" s="77">
        <f t="shared" si="13"/>
        <v>0</v>
      </c>
      <c r="AO9" s="65"/>
      <c r="AP9" s="77">
        <f t="shared" si="14"/>
        <v>0</v>
      </c>
      <c r="AQ9" s="65"/>
      <c r="AR9" s="77">
        <f t="shared" si="29"/>
        <v>0</v>
      </c>
      <c r="AS9" s="65"/>
      <c r="AT9" s="77">
        <f t="shared" si="30"/>
        <v>0</v>
      </c>
      <c r="AU9" s="65"/>
      <c r="AV9" s="77">
        <f t="shared" si="31"/>
        <v>0</v>
      </c>
      <c r="AW9" s="65"/>
      <c r="AX9" s="77">
        <f t="shared" si="32"/>
        <v>0</v>
      </c>
      <c r="AY9" s="65"/>
      <c r="AZ9" s="77">
        <f t="shared" si="33"/>
        <v>0</v>
      </c>
      <c r="BA9" s="65"/>
      <c r="BB9" s="77">
        <f t="shared" si="34"/>
        <v>0</v>
      </c>
      <c r="BC9" s="65"/>
      <c r="BD9" s="77">
        <f t="shared" si="35"/>
        <v>0</v>
      </c>
      <c r="BE9" s="70"/>
      <c r="BF9" s="77">
        <f t="shared" si="15"/>
        <v>0</v>
      </c>
      <c r="BG9" s="71"/>
      <c r="BH9" s="77">
        <f t="shared" si="36"/>
        <v>0</v>
      </c>
      <c r="BI9" s="70"/>
      <c r="BJ9" s="77">
        <f t="shared" si="37"/>
        <v>0</v>
      </c>
      <c r="BK9" s="70"/>
      <c r="BL9" s="77">
        <f t="shared" si="38"/>
        <v>0</v>
      </c>
      <c r="BM9" s="70"/>
      <c r="BN9" s="77">
        <f t="shared" si="39"/>
        <v>0</v>
      </c>
      <c r="BO9" s="70"/>
      <c r="BP9" s="77">
        <f t="shared" si="40"/>
        <v>0</v>
      </c>
      <c r="BQ9" s="70"/>
      <c r="BR9" s="77">
        <f t="shared" si="16"/>
        <v>0</v>
      </c>
      <c r="BS9" s="70"/>
      <c r="BT9" s="77">
        <f t="shared" si="41"/>
        <v>0</v>
      </c>
      <c r="BU9" s="70"/>
      <c r="BV9" s="77">
        <f t="shared" si="1"/>
        <v>0</v>
      </c>
      <c r="BW9" s="70"/>
      <c r="BX9" s="77">
        <f t="shared" si="42"/>
        <v>0</v>
      </c>
      <c r="BY9" s="72"/>
      <c r="BZ9" s="77">
        <f t="shared" si="17"/>
        <v>0</v>
      </c>
      <c r="CA9" s="65"/>
      <c r="CB9" s="77">
        <f t="shared" si="18"/>
        <v>0</v>
      </c>
      <c r="CC9" s="65"/>
      <c r="CD9" s="77">
        <f t="shared" si="19"/>
        <v>0</v>
      </c>
      <c r="CE9" s="65"/>
      <c r="CF9" s="77">
        <f t="shared" si="20"/>
        <v>0</v>
      </c>
      <c r="CG9" s="65"/>
      <c r="CH9" s="77">
        <f t="shared" si="21"/>
        <v>0</v>
      </c>
      <c r="CI9" s="65"/>
      <c r="CJ9" s="77">
        <f t="shared" si="2"/>
        <v>0</v>
      </c>
      <c r="CK9" s="65"/>
      <c r="CL9" s="76">
        <f t="shared" si="22"/>
        <v>0</v>
      </c>
      <c r="CM9" s="77"/>
      <c r="CN9" s="74"/>
      <c r="CO9" s="74"/>
    </row>
    <row r="10" spans="1:93" ht="25.5" customHeight="1" thickBot="1" x14ac:dyDescent="0.45">
      <c r="A10" s="75">
        <v>43837</v>
      </c>
      <c r="B10" s="49"/>
      <c r="C10" s="65"/>
      <c r="D10" s="76">
        <f t="shared" si="3"/>
        <v>0</v>
      </c>
      <c r="E10" s="65"/>
      <c r="F10" s="76">
        <f t="shared" si="4"/>
        <v>0</v>
      </c>
      <c r="G10" s="65"/>
      <c r="H10" s="76">
        <f t="shared" si="5"/>
        <v>0</v>
      </c>
      <c r="I10" s="65"/>
      <c r="J10" s="76">
        <f t="shared" si="6"/>
        <v>0</v>
      </c>
      <c r="K10" s="65"/>
      <c r="L10" s="76">
        <f t="shared" si="0"/>
        <v>0</v>
      </c>
      <c r="M10" s="65"/>
      <c r="N10" s="77">
        <f t="shared" si="23"/>
        <v>0</v>
      </c>
      <c r="O10" s="65"/>
      <c r="P10" s="77">
        <f t="shared" si="7"/>
        <v>0</v>
      </c>
      <c r="Q10" s="65"/>
      <c r="R10" s="77">
        <f t="shared" si="8"/>
        <v>0</v>
      </c>
      <c r="S10" s="65"/>
      <c r="T10" s="77">
        <f t="shared" si="9"/>
        <v>0</v>
      </c>
      <c r="U10" s="65"/>
      <c r="V10" s="77">
        <f t="shared" si="10"/>
        <v>0</v>
      </c>
      <c r="W10" s="65"/>
      <c r="X10" s="77">
        <f t="shared" si="43"/>
        <v>0</v>
      </c>
      <c r="Y10" s="65"/>
      <c r="Z10" s="77">
        <f t="shared" si="24"/>
        <v>0</v>
      </c>
      <c r="AA10" s="65"/>
      <c r="AB10" s="77">
        <f t="shared" si="25"/>
        <v>0</v>
      </c>
      <c r="AC10" s="65"/>
      <c r="AD10" s="77">
        <f t="shared" si="26"/>
        <v>0</v>
      </c>
      <c r="AE10" s="65"/>
      <c r="AF10" s="77">
        <f t="shared" si="27"/>
        <v>0</v>
      </c>
      <c r="AG10" s="65"/>
      <c r="AH10" s="77">
        <f t="shared" si="11"/>
        <v>0</v>
      </c>
      <c r="AI10" s="65"/>
      <c r="AJ10" s="77">
        <f t="shared" si="28"/>
        <v>0</v>
      </c>
      <c r="AK10" s="65"/>
      <c r="AL10" s="77">
        <f t="shared" si="12"/>
        <v>0</v>
      </c>
      <c r="AM10" s="65"/>
      <c r="AN10" s="77">
        <f t="shared" si="13"/>
        <v>0</v>
      </c>
      <c r="AO10" s="65"/>
      <c r="AP10" s="77">
        <f t="shared" si="14"/>
        <v>0</v>
      </c>
      <c r="AQ10" s="65"/>
      <c r="AR10" s="77">
        <f t="shared" si="29"/>
        <v>0</v>
      </c>
      <c r="AS10" s="65"/>
      <c r="AT10" s="77">
        <f t="shared" si="30"/>
        <v>0</v>
      </c>
      <c r="AU10" s="65"/>
      <c r="AV10" s="77">
        <f t="shared" si="31"/>
        <v>0</v>
      </c>
      <c r="AW10" s="65"/>
      <c r="AX10" s="77">
        <f t="shared" si="32"/>
        <v>0</v>
      </c>
      <c r="AY10" s="65"/>
      <c r="AZ10" s="77">
        <f t="shared" si="33"/>
        <v>0</v>
      </c>
      <c r="BA10" s="65"/>
      <c r="BB10" s="77">
        <f t="shared" si="34"/>
        <v>0</v>
      </c>
      <c r="BC10" s="65"/>
      <c r="BD10" s="77">
        <f t="shared" si="35"/>
        <v>0</v>
      </c>
      <c r="BE10" s="70"/>
      <c r="BF10" s="77">
        <f t="shared" si="15"/>
        <v>0</v>
      </c>
      <c r="BG10" s="71"/>
      <c r="BH10" s="77">
        <f t="shared" si="36"/>
        <v>0</v>
      </c>
      <c r="BI10" s="70"/>
      <c r="BJ10" s="77">
        <f t="shared" si="37"/>
        <v>0</v>
      </c>
      <c r="BK10" s="70"/>
      <c r="BL10" s="77">
        <f t="shared" si="38"/>
        <v>0</v>
      </c>
      <c r="BM10" s="70"/>
      <c r="BN10" s="77">
        <f t="shared" si="39"/>
        <v>0</v>
      </c>
      <c r="BO10" s="70"/>
      <c r="BP10" s="77">
        <f t="shared" si="40"/>
        <v>0</v>
      </c>
      <c r="BQ10" s="70"/>
      <c r="BR10" s="77">
        <f t="shared" si="16"/>
        <v>0</v>
      </c>
      <c r="BS10" s="70"/>
      <c r="BT10" s="77">
        <f t="shared" si="41"/>
        <v>0</v>
      </c>
      <c r="BU10" s="70"/>
      <c r="BV10" s="77">
        <f t="shared" si="1"/>
        <v>0</v>
      </c>
      <c r="BW10" s="70"/>
      <c r="BX10" s="77">
        <f t="shared" si="42"/>
        <v>0</v>
      </c>
      <c r="BY10" s="72"/>
      <c r="BZ10" s="77">
        <f t="shared" si="17"/>
        <v>0</v>
      </c>
      <c r="CA10" s="65"/>
      <c r="CB10" s="77">
        <f t="shared" si="18"/>
        <v>0</v>
      </c>
      <c r="CC10" s="65"/>
      <c r="CD10" s="77">
        <f t="shared" si="19"/>
        <v>0</v>
      </c>
      <c r="CE10" s="65"/>
      <c r="CF10" s="77">
        <f t="shared" si="20"/>
        <v>0</v>
      </c>
      <c r="CG10" s="65"/>
      <c r="CH10" s="77">
        <f t="shared" si="21"/>
        <v>0</v>
      </c>
      <c r="CI10" s="65"/>
      <c r="CJ10" s="77">
        <f t="shared" si="2"/>
        <v>0</v>
      </c>
      <c r="CK10" s="65"/>
      <c r="CL10" s="76">
        <f t="shared" si="22"/>
        <v>0</v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6"/>
        <v>0</v>
      </c>
      <c r="K11" s="65"/>
      <c r="L11" s="76">
        <f t="shared" si="0"/>
        <v>0</v>
      </c>
      <c r="M11" s="65"/>
      <c r="N11" s="77">
        <f t="shared" si="23"/>
        <v>0</v>
      </c>
      <c r="O11" s="65"/>
      <c r="P11" s="77">
        <f t="shared" si="7"/>
        <v>0</v>
      </c>
      <c r="Q11" s="65"/>
      <c r="R11" s="77">
        <f t="shared" si="8"/>
        <v>0</v>
      </c>
      <c r="S11" s="65"/>
      <c r="T11" s="77">
        <f t="shared" si="9"/>
        <v>0</v>
      </c>
      <c r="U11" s="65"/>
      <c r="V11" s="77">
        <f t="shared" si="10"/>
        <v>0</v>
      </c>
      <c r="W11" s="65"/>
      <c r="X11" s="77">
        <f t="shared" si="4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1"/>
        <v>0</v>
      </c>
      <c r="AI11" s="65"/>
      <c r="AJ11" s="77">
        <f t="shared" si="28"/>
        <v>0</v>
      </c>
      <c r="AK11" s="65"/>
      <c r="AL11" s="77">
        <f t="shared" si="12"/>
        <v>0</v>
      </c>
      <c r="AM11" s="65"/>
      <c r="AN11" s="77">
        <f t="shared" si="13"/>
        <v>0</v>
      </c>
      <c r="AO11" s="65"/>
      <c r="AP11" s="77">
        <f t="shared" si="14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5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6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7"/>
        <v>0</v>
      </c>
      <c r="CA11" s="65"/>
      <c r="CB11" s="77">
        <f t="shared" si="18"/>
        <v>0</v>
      </c>
      <c r="CC11" s="65"/>
      <c r="CD11" s="77">
        <f t="shared" si="19"/>
        <v>0</v>
      </c>
      <c r="CE11" s="65"/>
      <c r="CF11" s="77">
        <f t="shared" si="20"/>
        <v>0</v>
      </c>
      <c r="CG11" s="65"/>
      <c r="CH11" s="77">
        <f t="shared" si="21"/>
        <v>0</v>
      </c>
      <c r="CI11" s="65"/>
      <c r="CJ11" s="77">
        <f t="shared" si="2"/>
        <v>0</v>
      </c>
      <c r="CK11" s="65"/>
      <c r="CL11" s="76">
        <f t="shared" si="22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6"/>
        <v>0</v>
      </c>
      <c r="K12" s="65"/>
      <c r="L12" s="76">
        <f t="shared" si="0"/>
        <v>0</v>
      </c>
      <c r="M12" s="65"/>
      <c r="N12" s="77">
        <f t="shared" si="23"/>
        <v>0</v>
      </c>
      <c r="O12" s="65"/>
      <c r="P12" s="77">
        <f t="shared" si="7"/>
        <v>0</v>
      </c>
      <c r="Q12" s="65"/>
      <c r="R12" s="77">
        <f t="shared" si="8"/>
        <v>0</v>
      </c>
      <c r="S12" s="65"/>
      <c r="T12" s="77">
        <f t="shared" si="9"/>
        <v>0</v>
      </c>
      <c r="U12" s="65"/>
      <c r="V12" s="77">
        <f t="shared" si="10"/>
        <v>0</v>
      </c>
      <c r="W12" s="65"/>
      <c r="X12" s="77">
        <f t="shared" si="4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1"/>
        <v>0</v>
      </c>
      <c r="AI12" s="65"/>
      <c r="AJ12" s="77">
        <f t="shared" si="28"/>
        <v>0</v>
      </c>
      <c r="AK12" s="65"/>
      <c r="AL12" s="77">
        <f t="shared" si="12"/>
        <v>0</v>
      </c>
      <c r="AM12" s="65"/>
      <c r="AN12" s="77">
        <f t="shared" si="13"/>
        <v>0</v>
      </c>
      <c r="AO12" s="65"/>
      <c r="AP12" s="77">
        <f t="shared" si="14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5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6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7"/>
        <v>0</v>
      </c>
      <c r="CA12" s="65"/>
      <c r="CB12" s="77">
        <f t="shared" si="18"/>
        <v>0</v>
      </c>
      <c r="CC12" s="65"/>
      <c r="CD12" s="77">
        <f t="shared" si="19"/>
        <v>0</v>
      </c>
      <c r="CE12" s="65"/>
      <c r="CF12" s="77">
        <f t="shared" si="20"/>
        <v>0</v>
      </c>
      <c r="CG12" s="65"/>
      <c r="CH12" s="77">
        <f t="shared" si="21"/>
        <v>0</v>
      </c>
      <c r="CI12" s="65"/>
      <c r="CJ12" s="77">
        <f t="shared" si="2"/>
        <v>0</v>
      </c>
      <c r="CK12" s="65"/>
      <c r="CL12" s="76">
        <f t="shared" si="22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6"/>
        <v>0</v>
      </c>
      <c r="K13" s="65"/>
      <c r="L13" s="76">
        <f t="shared" si="0"/>
        <v>0</v>
      </c>
      <c r="M13" s="65"/>
      <c r="N13" s="77">
        <f t="shared" si="23"/>
        <v>0</v>
      </c>
      <c r="O13" s="65"/>
      <c r="P13" s="77">
        <f t="shared" si="7"/>
        <v>0</v>
      </c>
      <c r="Q13" s="65"/>
      <c r="R13" s="77">
        <f t="shared" si="8"/>
        <v>0</v>
      </c>
      <c r="S13" s="65"/>
      <c r="T13" s="77">
        <f t="shared" si="9"/>
        <v>0</v>
      </c>
      <c r="U13" s="65"/>
      <c r="V13" s="77">
        <f t="shared" si="10"/>
        <v>0</v>
      </c>
      <c r="W13" s="65"/>
      <c r="X13" s="77">
        <f t="shared" si="4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1"/>
        <v>0</v>
      </c>
      <c r="AI13" s="65"/>
      <c r="AJ13" s="77">
        <f t="shared" si="28"/>
        <v>0</v>
      </c>
      <c r="AK13" s="65"/>
      <c r="AL13" s="77">
        <f t="shared" si="12"/>
        <v>0</v>
      </c>
      <c r="AM13" s="65"/>
      <c r="AN13" s="77">
        <f t="shared" si="13"/>
        <v>0</v>
      </c>
      <c r="AO13" s="65"/>
      <c r="AP13" s="77">
        <f t="shared" si="14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5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6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7"/>
        <v>0</v>
      </c>
      <c r="CA13" s="65"/>
      <c r="CB13" s="77">
        <f t="shared" si="18"/>
        <v>0</v>
      </c>
      <c r="CC13" s="65"/>
      <c r="CD13" s="77">
        <f t="shared" si="19"/>
        <v>0</v>
      </c>
      <c r="CE13" s="65"/>
      <c r="CF13" s="77">
        <f t="shared" si="20"/>
        <v>0</v>
      </c>
      <c r="CG13" s="65"/>
      <c r="CH13" s="77">
        <f t="shared" si="21"/>
        <v>0</v>
      </c>
      <c r="CI13" s="65"/>
      <c r="CJ13" s="77">
        <f t="shared" si="2"/>
        <v>0</v>
      </c>
      <c r="CK13" s="65"/>
      <c r="CL13" s="76">
        <f t="shared" si="22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6"/>
        <v>0</v>
      </c>
      <c r="K14" s="65"/>
      <c r="L14" s="76">
        <f t="shared" si="0"/>
        <v>0</v>
      </c>
      <c r="M14" s="65"/>
      <c r="N14" s="77">
        <f t="shared" si="23"/>
        <v>0</v>
      </c>
      <c r="O14" s="65"/>
      <c r="P14" s="77">
        <f t="shared" si="7"/>
        <v>0</v>
      </c>
      <c r="Q14" s="65"/>
      <c r="R14" s="77">
        <f t="shared" si="8"/>
        <v>0</v>
      </c>
      <c r="S14" s="65"/>
      <c r="T14" s="77">
        <f t="shared" si="9"/>
        <v>0</v>
      </c>
      <c r="U14" s="65"/>
      <c r="V14" s="77">
        <f t="shared" si="10"/>
        <v>0</v>
      </c>
      <c r="W14" s="65"/>
      <c r="X14" s="77">
        <f t="shared" si="4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1"/>
        <v>0</v>
      </c>
      <c r="AI14" s="65"/>
      <c r="AJ14" s="77">
        <f t="shared" si="28"/>
        <v>0</v>
      </c>
      <c r="AK14" s="65"/>
      <c r="AL14" s="77">
        <f t="shared" si="12"/>
        <v>0</v>
      </c>
      <c r="AM14" s="65"/>
      <c r="AN14" s="77">
        <f t="shared" si="13"/>
        <v>0</v>
      </c>
      <c r="AO14" s="65"/>
      <c r="AP14" s="77">
        <f t="shared" si="14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5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6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7"/>
        <v>0</v>
      </c>
      <c r="CA14" s="65"/>
      <c r="CB14" s="77">
        <f t="shared" si="18"/>
        <v>0</v>
      </c>
      <c r="CC14" s="65"/>
      <c r="CD14" s="77">
        <f t="shared" si="19"/>
        <v>0</v>
      </c>
      <c r="CE14" s="65"/>
      <c r="CF14" s="77">
        <f t="shared" si="20"/>
        <v>0</v>
      </c>
      <c r="CG14" s="65"/>
      <c r="CH14" s="77">
        <f t="shared" si="21"/>
        <v>0</v>
      </c>
      <c r="CI14" s="65"/>
      <c r="CJ14" s="77">
        <f t="shared" si="2"/>
        <v>0</v>
      </c>
      <c r="CK14" s="65"/>
      <c r="CL14" s="76">
        <f t="shared" si="22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6"/>
        <v>0</v>
      </c>
      <c r="K15" s="65"/>
      <c r="L15" s="76">
        <f t="shared" si="0"/>
        <v>0</v>
      </c>
      <c r="M15" s="65"/>
      <c r="N15" s="77">
        <f t="shared" si="23"/>
        <v>0</v>
      </c>
      <c r="O15" s="65"/>
      <c r="P15" s="77">
        <f t="shared" si="7"/>
        <v>0</v>
      </c>
      <c r="Q15" s="65"/>
      <c r="R15" s="77">
        <f t="shared" si="8"/>
        <v>0</v>
      </c>
      <c r="S15" s="65"/>
      <c r="T15" s="77">
        <f t="shared" si="9"/>
        <v>0</v>
      </c>
      <c r="U15" s="65"/>
      <c r="V15" s="77">
        <f t="shared" si="10"/>
        <v>0</v>
      </c>
      <c r="W15" s="65"/>
      <c r="X15" s="77">
        <f t="shared" si="4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1"/>
        <v>0</v>
      </c>
      <c r="AI15" s="65"/>
      <c r="AJ15" s="77">
        <f t="shared" si="28"/>
        <v>0</v>
      </c>
      <c r="AK15" s="65"/>
      <c r="AL15" s="77">
        <f t="shared" si="12"/>
        <v>0</v>
      </c>
      <c r="AM15" s="65"/>
      <c r="AN15" s="77">
        <f t="shared" si="13"/>
        <v>0</v>
      </c>
      <c r="AO15" s="65"/>
      <c r="AP15" s="77">
        <f t="shared" si="14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5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6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7"/>
        <v>0</v>
      </c>
      <c r="CA15" s="65"/>
      <c r="CB15" s="77">
        <f t="shared" si="18"/>
        <v>0</v>
      </c>
      <c r="CC15" s="65"/>
      <c r="CD15" s="77">
        <f t="shared" si="19"/>
        <v>0</v>
      </c>
      <c r="CE15" s="65"/>
      <c r="CF15" s="77">
        <f t="shared" si="20"/>
        <v>0</v>
      </c>
      <c r="CG15" s="65"/>
      <c r="CH15" s="77">
        <f t="shared" si="21"/>
        <v>0</v>
      </c>
      <c r="CI15" s="65"/>
      <c r="CJ15" s="77">
        <f t="shared" si="2"/>
        <v>0</v>
      </c>
      <c r="CK15" s="65"/>
      <c r="CL15" s="76">
        <f t="shared" si="22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6"/>
        <v>0</v>
      </c>
      <c r="K16" s="65"/>
      <c r="L16" s="76">
        <f t="shared" si="0"/>
        <v>0</v>
      </c>
      <c r="M16" s="65"/>
      <c r="N16" s="77">
        <f t="shared" si="23"/>
        <v>0</v>
      </c>
      <c r="O16" s="65"/>
      <c r="P16" s="77">
        <f t="shared" si="7"/>
        <v>0</v>
      </c>
      <c r="Q16" s="65"/>
      <c r="R16" s="77">
        <f t="shared" si="8"/>
        <v>0</v>
      </c>
      <c r="S16" s="65"/>
      <c r="T16" s="77">
        <f t="shared" si="9"/>
        <v>0</v>
      </c>
      <c r="U16" s="65"/>
      <c r="V16" s="77">
        <f t="shared" si="10"/>
        <v>0</v>
      </c>
      <c r="W16" s="65"/>
      <c r="X16" s="77">
        <f t="shared" si="4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1"/>
        <v>0</v>
      </c>
      <c r="AI16" s="65"/>
      <c r="AJ16" s="77">
        <f t="shared" si="28"/>
        <v>0</v>
      </c>
      <c r="AK16" s="65"/>
      <c r="AL16" s="77">
        <f t="shared" si="12"/>
        <v>0</v>
      </c>
      <c r="AM16" s="65"/>
      <c r="AN16" s="77">
        <f t="shared" si="13"/>
        <v>0</v>
      </c>
      <c r="AO16" s="65"/>
      <c r="AP16" s="77">
        <f t="shared" si="14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5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6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7"/>
        <v>0</v>
      </c>
      <c r="CA16" s="65"/>
      <c r="CB16" s="77">
        <f t="shared" si="18"/>
        <v>0</v>
      </c>
      <c r="CC16" s="65"/>
      <c r="CD16" s="77">
        <f t="shared" si="19"/>
        <v>0</v>
      </c>
      <c r="CE16" s="65"/>
      <c r="CF16" s="77">
        <f t="shared" si="20"/>
        <v>0</v>
      </c>
      <c r="CG16" s="65"/>
      <c r="CH16" s="77">
        <f t="shared" si="21"/>
        <v>0</v>
      </c>
      <c r="CI16" s="65"/>
      <c r="CJ16" s="77">
        <f t="shared" si="2"/>
        <v>0</v>
      </c>
      <c r="CK16" s="65"/>
      <c r="CL16" s="76">
        <f t="shared" si="22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6"/>
        <v>0</v>
      </c>
      <c r="K17" s="65"/>
      <c r="L17" s="76">
        <f t="shared" si="0"/>
        <v>0</v>
      </c>
      <c r="M17" s="65"/>
      <c r="N17" s="77">
        <f t="shared" si="23"/>
        <v>0</v>
      </c>
      <c r="O17" s="65"/>
      <c r="P17" s="77">
        <f t="shared" si="7"/>
        <v>0</v>
      </c>
      <c r="Q17" s="65"/>
      <c r="R17" s="77">
        <f t="shared" si="8"/>
        <v>0</v>
      </c>
      <c r="S17" s="65"/>
      <c r="T17" s="77">
        <f t="shared" si="9"/>
        <v>0</v>
      </c>
      <c r="U17" s="65"/>
      <c r="V17" s="77">
        <f t="shared" si="10"/>
        <v>0</v>
      </c>
      <c r="W17" s="65"/>
      <c r="X17" s="77">
        <f t="shared" si="4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1"/>
        <v>0</v>
      </c>
      <c r="AI17" s="65"/>
      <c r="AJ17" s="77">
        <f t="shared" si="28"/>
        <v>0</v>
      </c>
      <c r="AK17" s="65"/>
      <c r="AL17" s="77">
        <f t="shared" si="12"/>
        <v>0</v>
      </c>
      <c r="AM17" s="65"/>
      <c r="AN17" s="77">
        <f t="shared" si="13"/>
        <v>0</v>
      </c>
      <c r="AO17" s="65"/>
      <c r="AP17" s="77">
        <f t="shared" si="14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5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6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7"/>
        <v>0</v>
      </c>
      <c r="CA17" s="65"/>
      <c r="CB17" s="77">
        <f t="shared" si="18"/>
        <v>0</v>
      </c>
      <c r="CC17" s="65"/>
      <c r="CD17" s="77">
        <f t="shared" si="19"/>
        <v>0</v>
      </c>
      <c r="CE17" s="65"/>
      <c r="CF17" s="77">
        <f t="shared" si="20"/>
        <v>0</v>
      </c>
      <c r="CG17" s="65"/>
      <c r="CH17" s="77">
        <f t="shared" si="21"/>
        <v>0</v>
      </c>
      <c r="CI17" s="65"/>
      <c r="CJ17" s="77">
        <f t="shared" si="2"/>
        <v>0</v>
      </c>
      <c r="CK17" s="65"/>
      <c r="CL17" s="76">
        <f t="shared" si="22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6"/>
        <v>0</v>
      </c>
      <c r="K18" s="65"/>
      <c r="L18" s="76">
        <f t="shared" si="0"/>
        <v>0</v>
      </c>
      <c r="M18" s="65"/>
      <c r="N18" s="77">
        <f t="shared" si="23"/>
        <v>0</v>
      </c>
      <c r="O18" s="65"/>
      <c r="P18" s="77">
        <f t="shared" si="7"/>
        <v>0</v>
      </c>
      <c r="Q18" s="65"/>
      <c r="R18" s="77">
        <f t="shared" si="8"/>
        <v>0</v>
      </c>
      <c r="S18" s="65"/>
      <c r="T18" s="77">
        <f t="shared" si="9"/>
        <v>0</v>
      </c>
      <c r="U18" s="65"/>
      <c r="V18" s="77">
        <f t="shared" si="10"/>
        <v>0</v>
      </c>
      <c r="W18" s="65"/>
      <c r="X18" s="77">
        <f t="shared" si="4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1"/>
        <v>0</v>
      </c>
      <c r="AI18" s="65"/>
      <c r="AJ18" s="77">
        <f t="shared" si="28"/>
        <v>0</v>
      </c>
      <c r="AK18" s="65"/>
      <c r="AL18" s="77">
        <f t="shared" si="12"/>
        <v>0</v>
      </c>
      <c r="AM18" s="65"/>
      <c r="AN18" s="77">
        <f t="shared" si="13"/>
        <v>0</v>
      </c>
      <c r="AO18" s="65"/>
      <c r="AP18" s="77">
        <f t="shared" si="14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5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6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7"/>
        <v>0</v>
      </c>
      <c r="CA18" s="65"/>
      <c r="CB18" s="77">
        <f t="shared" si="18"/>
        <v>0</v>
      </c>
      <c r="CC18" s="65"/>
      <c r="CD18" s="77">
        <f t="shared" si="19"/>
        <v>0</v>
      </c>
      <c r="CE18" s="65"/>
      <c r="CF18" s="77">
        <f t="shared" si="20"/>
        <v>0</v>
      </c>
      <c r="CG18" s="65"/>
      <c r="CH18" s="77">
        <f t="shared" si="21"/>
        <v>0</v>
      </c>
      <c r="CI18" s="65"/>
      <c r="CJ18" s="77">
        <f t="shared" si="2"/>
        <v>0</v>
      </c>
      <c r="CK18" s="65"/>
      <c r="CL18" s="76">
        <f t="shared" si="22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6"/>
        <v>0</v>
      </c>
      <c r="K19" s="65"/>
      <c r="L19" s="76">
        <f t="shared" si="0"/>
        <v>0</v>
      </c>
      <c r="M19" s="65"/>
      <c r="N19" s="77">
        <f t="shared" si="23"/>
        <v>0</v>
      </c>
      <c r="O19" s="65"/>
      <c r="P19" s="77">
        <f t="shared" si="7"/>
        <v>0</v>
      </c>
      <c r="Q19" s="65"/>
      <c r="R19" s="77">
        <f t="shared" si="8"/>
        <v>0</v>
      </c>
      <c r="S19" s="65"/>
      <c r="T19" s="77">
        <f t="shared" si="9"/>
        <v>0</v>
      </c>
      <c r="U19" s="65"/>
      <c r="V19" s="77">
        <f t="shared" si="10"/>
        <v>0</v>
      </c>
      <c r="W19" s="65"/>
      <c r="X19" s="77">
        <f t="shared" si="4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1"/>
        <v>0</v>
      </c>
      <c r="AI19" s="65"/>
      <c r="AJ19" s="77">
        <f t="shared" si="28"/>
        <v>0</v>
      </c>
      <c r="AK19" s="65"/>
      <c r="AL19" s="77">
        <f t="shared" si="12"/>
        <v>0</v>
      </c>
      <c r="AM19" s="65"/>
      <c r="AN19" s="77">
        <f t="shared" si="13"/>
        <v>0</v>
      </c>
      <c r="AO19" s="65"/>
      <c r="AP19" s="77">
        <f t="shared" si="14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5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6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7"/>
        <v>0</v>
      </c>
      <c r="CA19" s="65"/>
      <c r="CB19" s="77">
        <f t="shared" si="18"/>
        <v>0</v>
      </c>
      <c r="CC19" s="65"/>
      <c r="CD19" s="77">
        <f t="shared" si="19"/>
        <v>0</v>
      </c>
      <c r="CE19" s="65"/>
      <c r="CF19" s="77">
        <f t="shared" si="20"/>
        <v>0</v>
      </c>
      <c r="CG19" s="65"/>
      <c r="CH19" s="77">
        <f t="shared" si="21"/>
        <v>0</v>
      </c>
      <c r="CI19" s="65"/>
      <c r="CJ19" s="77">
        <f t="shared" si="2"/>
        <v>0</v>
      </c>
      <c r="CK19" s="65"/>
      <c r="CL19" s="76">
        <f t="shared" si="22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6"/>
        <v>0</v>
      </c>
      <c r="K20" s="65"/>
      <c r="L20" s="76">
        <f t="shared" si="0"/>
        <v>0</v>
      </c>
      <c r="M20" s="65"/>
      <c r="N20" s="77">
        <f t="shared" si="23"/>
        <v>0</v>
      </c>
      <c r="O20" s="65"/>
      <c r="P20" s="77">
        <f t="shared" si="7"/>
        <v>0</v>
      </c>
      <c r="Q20" s="65"/>
      <c r="R20" s="77">
        <f t="shared" si="8"/>
        <v>0</v>
      </c>
      <c r="S20" s="65"/>
      <c r="T20" s="77">
        <f t="shared" si="9"/>
        <v>0</v>
      </c>
      <c r="U20" s="65"/>
      <c r="V20" s="77">
        <f t="shared" si="10"/>
        <v>0</v>
      </c>
      <c r="W20" s="65"/>
      <c r="X20" s="77">
        <f t="shared" si="4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1"/>
        <v>0</v>
      </c>
      <c r="AI20" s="65"/>
      <c r="AJ20" s="77">
        <f t="shared" si="28"/>
        <v>0</v>
      </c>
      <c r="AK20" s="65"/>
      <c r="AL20" s="77">
        <f t="shared" si="12"/>
        <v>0</v>
      </c>
      <c r="AM20" s="65"/>
      <c r="AN20" s="77">
        <f t="shared" si="13"/>
        <v>0</v>
      </c>
      <c r="AO20" s="65"/>
      <c r="AP20" s="77">
        <f t="shared" si="14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5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6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7"/>
        <v>0</v>
      </c>
      <c r="CA20" s="65"/>
      <c r="CB20" s="77">
        <f t="shared" si="18"/>
        <v>0</v>
      </c>
      <c r="CC20" s="65"/>
      <c r="CD20" s="77">
        <f t="shared" si="19"/>
        <v>0</v>
      </c>
      <c r="CE20" s="65"/>
      <c r="CF20" s="77">
        <f t="shared" si="20"/>
        <v>0</v>
      </c>
      <c r="CG20" s="65"/>
      <c r="CH20" s="77">
        <f t="shared" si="21"/>
        <v>0</v>
      </c>
      <c r="CI20" s="65"/>
      <c r="CJ20" s="77">
        <f t="shared" si="2"/>
        <v>0</v>
      </c>
      <c r="CK20" s="65"/>
      <c r="CL20" s="76">
        <f t="shared" si="22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6"/>
        <v>0</v>
      </c>
      <c r="K21" s="65"/>
      <c r="L21" s="76">
        <f t="shared" si="0"/>
        <v>0</v>
      </c>
      <c r="M21" s="65"/>
      <c r="N21" s="77">
        <f t="shared" si="23"/>
        <v>0</v>
      </c>
      <c r="O21" s="65"/>
      <c r="P21" s="77">
        <f t="shared" si="7"/>
        <v>0</v>
      </c>
      <c r="Q21" s="65"/>
      <c r="R21" s="77">
        <f t="shared" si="8"/>
        <v>0</v>
      </c>
      <c r="S21" s="65"/>
      <c r="T21" s="77">
        <f t="shared" si="9"/>
        <v>0</v>
      </c>
      <c r="U21" s="65"/>
      <c r="V21" s="77">
        <f t="shared" si="10"/>
        <v>0</v>
      </c>
      <c r="W21" s="65"/>
      <c r="X21" s="77">
        <f t="shared" si="4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1"/>
        <v>0</v>
      </c>
      <c r="AI21" s="65"/>
      <c r="AJ21" s="77">
        <f t="shared" si="28"/>
        <v>0</v>
      </c>
      <c r="AK21" s="65"/>
      <c r="AL21" s="77">
        <f t="shared" si="12"/>
        <v>0</v>
      </c>
      <c r="AM21" s="65"/>
      <c r="AN21" s="77">
        <f t="shared" si="13"/>
        <v>0</v>
      </c>
      <c r="AO21" s="65"/>
      <c r="AP21" s="77">
        <f t="shared" si="14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5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6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7"/>
        <v>0</v>
      </c>
      <c r="CA21" s="65"/>
      <c r="CB21" s="77">
        <f t="shared" si="18"/>
        <v>0</v>
      </c>
      <c r="CC21" s="65"/>
      <c r="CD21" s="77">
        <f t="shared" si="19"/>
        <v>0</v>
      </c>
      <c r="CE21" s="65"/>
      <c r="CF21" s="77">
        <f t="shared" si="20"/>
        <v>0</v>
      </c>
      <c r="CG21" s="65"/>
      <c r="CH21" s="77">
        <f t="shared" si="21"/>
        <v>0</v>
      </c>
      <c r="CI21" s="65"/>
      <c r="CJ21" s="77">
        <f t="shared" si="2"/>
        <v>0</v>
      </c>
      <c r="CK21" s="65"/>
      <c r="CL21" s="76">
        <f t="shared" si="22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6"/>
        <v>0</v>
      </c>
      <c r="K22" s="65"/>
      <c r="L22" s="76">
        <f t="shared" si="0"/>
        <v>0</v>
      </c>
      <c r="M22" s="65"/>
      <c r="N22" s="77">
        <f t="shared" si="23"/>
        <v>0</v>
      </c>
      <c r="O22" s="65"/>
      <c r="P22" s="77">
        <f t="shared" si="7"/>
        <v>0</v>
      </c>
      <c r="Q22" s="65"/>
      <c r="R22" s="77">
        <f t="shared" si="8"/>
        <v>0</v>
      </c>
      <c r="S22" s="65"/>
      <c r="T22" s="77">
        <f t="shared" si="9"/>
        <v>0</v>
      </c>
      <c r="U22" s="65"/>
      <c r="V22" s="77">
        <f t="shared" si="10"/>
        <v>0</v>
      </c>
      <c r="W22" s="65"/>
      <c r="X22" s="77">
        <f t="shared" si="4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1"/>
        <v>0</v>
      </c>
      <c r="AI22" s="65"/>
      <c r="AJ22" s="77">
        <f t="shared" si="28"/>
        <v>0</v>
      </c>
      <c r="AK22" s="65"/>
      <c r="AL22" s="77">
        <f t="shared" si="12"/>
        <v>0</v>
      </c>
      <c r="AM22" s="65"/>
      <c r="AN22" s="77">
        <f t="shared" si="13"/>
        <v>0</v>
      </c>
      <c r="AO22" s="65"/>
      <c r="AP22" s="77">
        <f t="shared" si="14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5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6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7"/>
        <v>0</v>
      </c>
      <c r="CA22" s="65"/>
      <c r="CB22" s="77">
        <f t="shared" si="18"/>
        <v>0</v>
      </c>
      <c r="CC22" s="65"/>
      <c r="CD22" s="77">
        <f t="shared" si="19"/>
        <v>0</v>
      </c>
      <c r="CE22" s="65"/>
      <c r="CF22" s="77">
        <f t="shared" si="20"/>
        <v>0</v>
      </c>
      <c r="CG22" s="65"/>
      <c r="CH22" s="77">
        <f t="shared" si="21"/>
        <v>0</v>
      </c>
      <c r="CI22" s="65"/>
      <c r="CJ22" s="77">
        <f t="shared" si="2"/>
        <v>0</v>
      </c>
      <c r="CK22" s="65"/>
      <c r="CL22" s="76">
        <f t="shared" si="22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6"/>
        <v>0</v>
      </c>
      <c r="K23" s="65"/>
      <c r="L23" s="76">
        <f t="shared" si="0"/>
        <v>0</v>
      </c>
      <c r="M23" s="65"/>
      <c r="N23" s="77">
        <f t="shared" si="23"/>
        <v>0</v>
      </c>
      <c r="O23" s="65"/>
      <c r="P23" s="77">
        <f t="shared" si="7"/>
        <v>0</v>
      </c>
      <c r="Q23" s="65"/>
      <c r="R23" s="77">
        <f t="shared" si="8"/>
        <v>0</v>
      </c>
      <c r="S23" s="65"/>
      <c r="T23" s="77">
        <f t="shared" si="9"/>
        <v>0</v>
      </c>
      <c r="U23" s="65"/>
      <c r="V23" s="77">
        <f t="shared" si="10"/>
        <v>0</v>
      </c>
      <c r="W23" s="65"/>
      <c r="X23" s="77">
        <f t="shared" si="4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1"/>
        <v>0</v>
      </c>
      <c r="AI23" s="65"/>
      <c r="AJ23" s="77">
        <f t="shared" si="28"/>
        <v>0</v>
      </c>
      <c r="AK23" s="65"/>
      <c r="AL23" s="77"/>
      <c r="AM23" s="65"/>
      <c r="AN23" s="77">
        <f t="shared" si="13"/>
        <v>0</v>
      </c>
      <c r="AO23" s="65"/>
      <c r="AP23" s="77">
        <f t="shared" si="14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5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6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7"/>
        <v>0</v>
      </c>
      <c r="CA23" s="65"/>
      <c r="CB23" s="77">
        <f t="shared" si="18"/>
        <v>0</v>
      </c>
      <c r="CC23" s="65"/>
      <c r="CD23" s="77">
        <f t="shared" si="19"/>
        <v>0</v>
      </c>
      <c r="CE23" s="65"/>
      <c r="CF23" s="77">
        <f t="shared" si="20"/>
        <v>0</v>
      </c>
      <c r="CG23" s="65"/>
      <c r="CH23" s="77">
        <f t="shared" si="21"/>
        <v>0</v>
      </c>
      <c r="CI23" s="65"/>
      <c r="CJ23" s="77">
        <f t="shared" si="2"/>
        <v>0</v>
      </c>
      <c r="CK23" s="65"/>
      <c r="CL23" s="76">
        <f t="shared" si="22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6"/>
        <v>0</v>
      </c>
      <c r="K24" s="65"/>
      <c r="L24" s="76">
        <f t="shared" si="0"/>
        <v>0</v>
      </c>
      <c r="M24" s="65"/>
      <c r="N24" s="77">
        <f t="shared" si="23"/>
        <v>0</v>
      </c>
      <c r="O24" s="65"/>
      <c r="P24" s="77">
        <f t="shared" si="7"/>
        <v>0</v>
      </c>
      <c r="Q24" s="65"/>
      <c r="R24" s="77">
        <f t="shared" si="8"/>
        <v>0</v>
      </c>
      <c r="S24" s="65"/>
      <c r="T24" s="77">
        <f t="shared" si="9"/>
        <v>0</v>
      </c>
      <c r="U24" s="65"/>
      <c r="V24" s="77">
        <f t="shared" si="10"/>
        <v>0</v>
      </c>
      <c r="W24" s="65"/>
      <c r="X24" s="77">
        <f t="shared" si="4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1"/>
        <v>0</v>
      </c>
      <c r="AI24" s="65"/>
      <c r="AJ24" s="77">
        <f t="shared" si="28"/>
        <v>0</v>
      </c>
      <c r="AK24" s="65"/>
      <c r="AL24" s="77">
        <f t="shared" si="12"/>
        <v>0</v>
      </c>
      <c r="AM24" s="65"/>
      <c r="AN24" s="77">
        <f t="shared" si="13"/>
        <v>0</v>
      </c>
      <c r="AO24" s="65"/>
      <c r="AP24" s="77">
        <f t="shared" si="14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5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6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7"/>
        <v>0</v>
      </c>
      <c r="CA24" s="65"/>
      <c r="CB24" s="77">
        <f t="shared" si="18"/>
        <v>0</v>
      </c>
      <c r="CC24" s="65"/>
      <c r="CD24" s="77">
        <f t="shared" si="19"/>
        <v>0</v>
      </c>
      <c r="CE24" s="65"/>
      <c r="CF24" s="77">
        <f t="shared" si="20"/>
        <v>0</v>
      </c>
      <c r="CG24" s="65"/>
      <c r="CH24" s="77">
        <f t="shared" si="21"/>
        <v>0</v>
      </c>
      <c r="CI24" s="65"/>
      <c r="CJ24" s="77">
        <f t="shared" si="2"/>
        <v>0</v>
      </c>
      <c r="CK24" s="65"/>
      <c r="CL24" s="76">
        <f t="shared" si="22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6"/>
        <v>0</v>
      </c>
      <c r="K25" s="65"/>
      <c r="L25" s="76">
        <f t="shared" si="0"/>
        <v>0</v>
      </c>
      <c r="M25" s="65"/>
      <c r="N25" s="77">
        <f t="shared" si="23"/>
        <v>0</v>
      </c>
      <c r="O25" s="65"/>
      <c r="P25" s="77">
        <f t="shared" si="7"/>
        <v>0</v>
      </c>
      <c r="Q25" s="65"/>
      <c r="R25" s="77">
        <f t="shared" si="8"/>
        <v>0</v>
      </c>
      <c r="S25" s="65"/>
      <c r="T25" s="77">
        <f t="shared" si="9"/>
        <v>0</v>
      </c>
      <c r="U25" s="65"/>
      <c r="V25" s="77">
        <f t="shared" si="10"/>
        <v>0</v>
      </c>
      <c r="W25" s="65"/>
      <c r="X25" s="77">
        <f t="shared" si="4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1"/>
        <v>0</v>
      </c>
      <c r="AI25" s="65"/>
      <c r="AJ25" s="77">
        <f t="shared" si="28"/>
        <v>0</v>
      </c>
      <c r="AK25" s="65"/>
      <c r="AL25" s="77">
        <f t="shared" si="12"/>
        <v>0</v>
      </c>
      <c r="AM25" s="65"/>
      <c r="AN25" s="77">
        <f t="shared" si="13"/>
        <v>0</v>
      </c>
      <c r="AO25" s="65"/>
      <c r="AP25" s="77">
        <f t="shared" si="14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5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6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7"/>
        <v>0</v>
      </c>
      <c r="CA25" s="65"/>
      <c r="CB25" s="77">
        <f t="shared" si="18"/>
        <v>0</v>
      </c>
      <c r="CC25" s="65"/>
      <c r="CD25" s="77">
        <f t="shared" si="19"/>
        <v>0</v>
      </c>
      <c r="CE25" s="65"/>
      <c r="CF25" s="77">
        <f t="shared" si="20"/>
        <v>0</v>
      </c>
      <c r="CG25" s="65"/>
      <c r="CH25" s="77">
        <f t="shared" si="21"/>
        <v>0</v>
      </c>
      <c r="CI25" s="65"/>
      <c r="CJ25" s="77">
        <f t="shared" si="2"/>
        <v>0</v>
      </c>
      <c r="CK25" s="65"/>
      <c r="CL25" s="76">
        <f t="shared" si="22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6"/>
        <v>0</v>
      </c>
      <c r="K26" s="65"/>
      <c r="L26" s="76">
        <f t="shared" si="0"/>
        <v>0</v>
      </c>
      <c r="M26" s="65"/>
      <c r="N26" s="77">
        <f t="shared" si="23"/>
        <v>0</v>
      </c>
      <c r="O26" s="65"/>
      <c r="P26" s="77">
        <f t="shared" si="7"/>
        <v>0</v>
      </c>
      <c r="Q26" s="65"/>
      <c r="R26" s="77">
        <f t="shared" si="8"/>
        <v>0</v>
      </c>
      <c r="S26" s="65"/>
      <c r="T26" s="77">
        <f t="shared" si="9"/>
        <v>0</v>
      </c>
      <c r="U26" s="65"/>
      <c r="V26" s="77">
        <f t="shared" si="10"/>
        <v>0</v>
      </c>
      <c r="W26" s="65"/>
      <c r="X26" s="77">
        <f t="shared" si="4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1"/>
        <v>0</v>
      </c>
      <c r="AI26" s="65"/>
      <c r="AJ26" s="77">
        <f t="shared" si="28"/>
        <v>0</v>
      </c>
      <c r="AK26" s="65"/>
      <c r="AL26" s="77">
        <f t="shared" si="12"/>
        <v>0</v>
      </c>
      <c r="AM26" s="65"/>
      <c r="AN26" s="77">
        <f t="shared" si="13"/>
        <v>0</v>
      </c>
      <c r="AO26" s="65"/>
      <c r="AP26" s="77">
        <f t="shared" si="14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5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6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7"/>
        <v>0</v>
      </c>
      <c r="CA26" s="65"/>
      <c r="CB26" s="77">
        <f t="shared" si="18"/>
        <v>0</v>
      </c>
      <c r="CC26" s="65"/>
      <c r="CD26" s="77">
        <f t="shared" si="19"/>
        <v>0</v>
      </c>
      <c r="CE26" s="65"/>
      <c r="CF26" s="77">
        <f t="shared" si="20"/>
        <v>0</v>
      </c>
      <c r="CG26" s="65"/>
      <c r="CH26" s="77">
        <f t="shared" si="21"/>
        <v>0</v>
      </c>
      <c r="CI26" s="65"/>
      <c r="CJ26" s="77">
        <f t="shared" si="2"/>
        <v>0</v>
      </c>
      <c r="CK26" s="65"/>
      <c r="CL26" s="76">
        <f t="shared" si="22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6"/>
        <v>0</v>
      </c>
      <c r="K27" s="65"/>
      <c r="L27" s="76">
        <f t="shared" si="0"/>
        <v>0</v>
      </c>
      <c r="M27" s="65"/>
      <c r="N27" s="77">
        <f t="shared" si="23"/>
        <v>0</v>
      </c>
      <c r="O27" s="65"/>
      <c r="P27" s="77">
        <f t="shared" si="7"/>
        <v>0</v>
      </c>
      <c r="Q27" s="65"/>
      <c r="R27" s="77">
        <f t="shared" si="8"/>
        <v>0</v>
      </c>
      <c r="S27" s="65"/>
      <c r="T27" s="77">
        <f t="shared" si="9"/>
        <v>0</v>
      </c>
      <c r="U27" s="65"/>
      <c r="V27" s="77">
        <f t="shared" si="10"/>
        <v>0</v>
      </c>
      <c r="W27" s="65"/>
      <c r="X27" s="77">
        <f t="shared" si="4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1"/>
        <v>0</v>
      </c>
      <c r="AI27" s="65"/>
      <c r="AJ27" s="77">
        <f t="shared" si="28"/>
        <v>0</v>
      </c>
      <c r="AK27" s="65"/>
      <c r="AL27" s="77">
        <f t="shared" si="12"/>
        <v>0</v>
      </c>
      <c r="AM27" s="65"/>
      <c r="AN27" s="77">
        <f t="shared" si="13"/>
        <v>0</v>
      </c>
      <c r="AO27" s="65"/>
      <c r="AP27" s="77">
        <f t="shared" si="14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5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6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7"/>
        <v>0</v>
      </c>
      <c r="CA27" s="65"/>
      <c r="CB27" s="77">
        <f t="shared" si="18"/>
        <v>0</v>
      </c>
      <c r="CC27" s="65"/>
      <c r="CD27" s="77">
        <f t="shared" si="19"/>
        <v>0</v>
      </c>
      <c r="CE27" s="65"/>
      <c r="CF27" s="77">
        <f t="shared" si="20"/>
        <v>0</v>
      </c>
      <c r="CG27" s="65"/>
      <c r="CH27" s="77">
        <f t="shared" si="21"/>
        <v>0</v>
      </c>
      <c r="CI27" s="65"/>
      <c r="CJ27" s="77">
        <f t="shared" si="2"/>
        <v>0</v>
      </c>
      <c r="CK27" s="65"/>
      <c r="CL27" s="76">
        <f t="shared" si="22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6"/>
        <v>0</v>
      </c>
      <c r="K28" s="65"/>
      <c r="L28" s="76">
        <f t="shared" si="0"/>
        <v>0</v>
      </c>
      <c r="M28" s="65"/>
      <c r="N28" s="77">
        <f t="shared" si="23"/>
        <v>0</v>
      </c>
      <c r="O28" s="65"/>
      <c r="P28" s="77">
        <f t="shared" si="7"/>
        <v>0</v>
      </c>
      <c r="Q28" s="65"/>
      <c r="R28" s="77">
        <f t="shared" si="8"/>
        <v>0</v>
      </c>
      <c r="S28" s="65"/>
      <c r="T28" s="77">
        <f t="shared" si="9"/>
        <v>0</v>
      </c>
      <c r="U28" s="65"/>
      <c r="V28" s="77">
        <f t="shared" si="10"/>
        <v>0</v>
      </c>
      <c r="W28" s="65"/>
      <c r="X28" s="77">
        <f t="shared" si="4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1"/>
        <v>0</v>
      </c>
      <c r="AI28" s="65"/>
      <c r="AJ28" s="77">
        <f t="shared" si="28"/>
        <v>0</v>
      </c>
      <c r="AK28" s="65"/>
      <c r="AL28" s="77">
        <f t="shared" si="12"/>
        <v>0</v>
      </c>
      <c r="AM28" s="65"/>
      <c r="AN28" s="77">
        <f t="shared" si="13"/>
        <v>0</v>
      </c>
      <c r="AO28" s="65"/>
      <c r="AP28" s="77">
        <f t="shared" si="14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5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6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7"/>
        <v>0</v>
      </c>
      <c r="CA28" s="65"/>
      <c r="CB28" s="77">
        <f t="shared" si="18"/>
        <v>0</v>
      </c>
      <c r="CC28" s="65"/>
      <c r="CD28" s="77">
        <f t="shared" si="19"/>
        <v>0</v>
      </c>
      <c r="CE28" s="65"/>
      <c r="CF28" s="77">
        <f t="shared" si="20"/>
        <v>0</v>
      </c>
      <c r="CG28" s="65"/>
      <c r="CH28" s="77">
        <f t="shared" si="21"/>
        <v>0</v>
      </c>
      <c r="CI28" s="65"/>
      <c r="CJ28" s="77">
        <f t="shared" si="2"/>
        <v>0</v>
      </c>
      <c r="CK28" s="65"/>
      <c r="CL28" s="76">
        <f t="shared" si="22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6"/>
        <v>0</v>
      </c>
      <c r="K29" s="65"/>
      <c r="L29" s="76">
        <f t="shared" si="0"/>
        <v>0</v>
      </c>
      <c r="M29" s="65"/>
      <c r="N29" s="77">
        <f t="shared" si="23"/>
        <v>0</v>
      </c>
      <c r="O29" s="65"/>
      <c r="P29" s="77">
        <f t="shared" si="7"/>
        <v>0</v>
      </c>
      <c r="Q29" s="65"/>
      <c r="R29" s="77">
        <f t="shared" si="8"/>
        <v>0</v>
      </c>
      <c r="S29" s="65"/>
      <c r="T29" s="77">
        <f t="shared" si="9"/>
        <v>0</v>
      </c>
      <c r="U29" s="65"/>
      <c r="V29" s="77">
        <f t="shared" si="10"/>
        <v>0</v>
      </c>
      <c r="W29" s="65"/>
      <c r="X29" s="77">
        <f t="shared" si="4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1"/>
        <v>0</v>
      </c>
      <c r="AI29" s="65"/>
      <c r="AJ29" s="77">
        <f t="shared" si="28"/>
        <v>0</v>
      </c>
      <c r="AK29" s="65"/>
      <c r="AL29" s="77">
        <f t="shared" si="12"/>
        <v>0</v>
      </c>
      <c r="AM29" s="65"/>
      <c r="AN29" s="77">
        <f t="shared" si="13"/>
        <v>0</v>
      </c>
      <c r="AO29" s="65"/>
      <c r="AP29" s="77">
        <f t="shared" si="14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5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6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7"/>
        <v>0</v>
      </c>
      <c r="CA29" s="65"/>
      <c r="CB29" s="77">
        <f t="shared" si="18"/>
        <v>0</v>
      </c>
      <c r="CC29" s="65"/>
      <c r="CD29" s="77">
        <f t="shared" si="19"/>
        <v>0</v>
      </c>
      <c r="CE29" s="65"/>
      <c r="CF29" s="77">
        <f t="shared" si="20"/>
        <v>0</v>
      </c>
      <c r="CG29" s="65"/>
      <c r="CH29" s="77">
        <f t="shared" si="21"/>
        <v>0</v>
      </c>
      <c r="CI29" s="65"/>
      <c r="CJ29" s="77">
        <f t="shared" si="2"/>
        <v>0</v>
      </c>
      <c r="CK29" s="65"/>
      <c r="CL29" s="76">
        <f t="shared" si="22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6"/>
        <v>0</v>
      </c>
      <c r="K30" s="65"/>
      <c r="L30" s="76">
        <f t="shared" si="0"/>
        <v>0</v>
      </c>
      <c r="M30" s="65"/>
      <c r="N30" s="77">
        <f t="shared" si="23"/>
        <v>0</v>
      </c>
      <c r="O30" s="65"/>
      <c r="P30" s="77">
        <f t="shared" si="7"/>
        <v>0</v>
      </c>
      <c r="Q30" s="65"/>
      <c r="R30" s="77">
        <f t="shared" si="8"/>
        <v>0</v>
      </c>
      <c r="S30" s="65"/>
      <c r="T30" s="77">
        <f t="shared" si="9"/>
        <v>0</v>
      </c>
      <c r="U30" s="65"/>
      <c r="V30" s="77">
        <f t="shared" si="10"/>
        <v>0</v>
      </c>
      <c r="W30" s="65"/>
      <c r="X30" s="77">
        <f t="shared" si="4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1"/>
        <v>0</v>
      </c>
      <c r="AI30" s="65"/>
      <c r="AJ30" s="77">
        <f t="shared" si="28"/>
        <v>0</v>
      </c>
      <c r="AK30" s="65"/>
      <c r="AL30" s="77">
        <f t="shared" si="12"/>
        <v>0</v>
      </c>
      <c r="AM30" s="65"/>
      <c r="AN30" s="77">
        <f t="shared" si="13"/>
        <v>0</v>
      </c>
      <c r="AO30" s="65"/>
      <c r="AP30" s="77">
        <f t="shared" si="14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5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6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7"/>
        <v>0</v>
      </c>
      <c r="CA30" s="65"/>
      <c r="CB30" s="77">
        <f t="shared" si="18"/>
        <v>0</v>
      </c>
      <c r="CC30" s="65"/>
      <c r="CD30" s="77">
        <f t="shared" si="19"/>
        <v>0</v>
      </c>
      <c r="CE30" s="65"/>
      <c r="CF30" s="77">
        <f t="shared" si="20"/>
        <v>0</v>
      </c>
      <c r="CG30" s="65"/>
      <c r="CH30" s="77">
        <f t="shared" si="21"/>
        <v>0</v>
      </c>
      <c r="CI30" s="65"/>
      <c r="CJ30" s="77">
        <f t="shared" si="2"/>
        <v>0</v>
      </c>
      <c r="CK30" s="65"/>
      <c r="CL30" s="76">
        <f t="shared" si="22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6"/>
        <v>0</v>
      </c>
      <c r="K31" s="65"/>
      <c r="L31" s="76">
        <f t="shared" si="0"/>
        <v>0</v>
      </c>
      <c r="M31" s="65"/>
      <c r="N31" s="77">
        <f t="shared" si="23"/>
        <v>0</v>
      </c>
      <c r="O31" s="65"/>
      <c r="P31" s="79">
        <f t="shared" si="7"/>
        <v>0</v>
      </c>
      <c r="Q31" s="65"/>
      <c r="R31" s="79">
        <f t="shared" si="8"/>
        <v>0</v>
      </c>
      <c r="S31" s="65"/>
      <c r="T31" s="79">
        <f t="shared" si="9"/>
        <v>0</v>
      </c>
      <c r="U31" s="65"/>
      <c r="V31" s="79">
        <f t="shared" si="10"/>
        <v>0</v>
      </c>
      <c r="W31" s="65"/>
      <c r="X31" s="77">
        <f t="shared" si="4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1"/>
        <v>0</v>
      </c>
      <c r="AI31" s="65"/>
      <c r="AJ31" s="77">
        <f t="shared" si="28"/>
        <v>0</v>
      </c>
      <c r="AK31" s="65"/>
      <c r="AL31" s="77">
        <f t="shared" si="12"/>
        <v>0</v>
      </c>
      <c r="AM31" s="65"/>
      <c r="AN31" s="77">
        <f t="shared" si="13"/>
        <v>0</v>
      </c>
      <c r="AO31" s="65"/>
      <c r="AP31" s="77">
        <f t="shared" si="14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5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6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7"/>
        <v>0</v>
      </c>
      <c r="CA31" s="65"/>
      <c r="CB31" s="79">
        <f t="shared" si="18"/>
        <v>0</v>
      </c>
      <c r="CC31" s="65"/>
      <c r="CD31" s="79">
        <f t="shared" si="19"/>
        <v>0</v>
      </c>
      <c r="CE31" s="65"/>
      <c r="CF31" s="79">
        <f t="shared" si="20"/>
        <v>0</v>
      </c>
      <c r="CG31" s="65"/>
      <c r="CH31" s="79">
        <f t="shared" si="21"/>
        <v>0</v>
      </c>
      <c r="CI31" s="65"/>
      <c r="CJ31" s="79">
        <f t="shared" si="2"/>
        <v>0</v>
      </c>
      <c r="CK31" s="65"/>
      <c r="CL31" s="76">
        <f t="shared" si="22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6"/>
        <v>0</v>
      </c>
      <c r="K32" s="65"/>
      <c r="L32" s="76">
        <f t="shared" si="0"/>
        <v>0</v>
      </c>
      <c r="M32" s="65"/>
      <c r="N32" s="77">
        <f t="shared" si="23"/>
        <v>0</v>
      </c>
      <c r="O32" s="65"/>
      <c r="P32" s="79">
        <f t="shared" si="7"/>
        <v>0</v>
      </c>
      <c r="Q32" s="65"/>
      <c r="R32" s="79">
        <f t="shared" si="8"/>
        <v>0</v>
      </c>
      <c r="S32" s="65"/>
      <c r="T32" s="79">
        <f t="shared" si="9"/>
        <v>0</v>
      </c>
      <c r="U32" s="65"/>
      <c r="V32" s="79">
        <f t="shared" si="10"/>
        <v>0</v>
      </c>
      <c r="W32" s="65"/>
      <c r="X32" s="77">
        <f t="shared" si="4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1"/>
        <v>0</v>
      </c>
      <c r="AI32" s="65"/>
      <c r="AJ32" s="77">
        <f t="shared" si="28"/>
        <v>0</v>
      </c>
      <c r="AK32" s="65"/>
      <c r="AL32" s="77">
        <f t="shared" si="12"/>
        <v>0</v>
      </c>
      <c r="AM32" s="65"/>
      <c r="AN32" s="77">
        <f t="shared" si="13"/>
        <v>0</v>
      </c>
      <c r="AO32" s="65"/>
      <c r="AP32" s="77">
        <f t="shared" si="14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5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6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7"/>
        <v>0</v>
      </c>
      <c r="CA32" s="65"/>
      <c r="CB32" s="79">
        <f t="shared" si="18"/>
        <v>0</v>
      </c>
      <c r="CC32" s="65"/>
      <c r="CD32" s="79">
        <f t="shared" si="19"/>
        <v>0</v>
      </c>
      <c r="CE32" s="65"/>
      <c r="CF32" s="79">
        <f t="shared" si="20"/>
        <v>0</v>
      </c>
      <c r="CG32" s="65"/>
      <c r="CH32" s="79">
        <f t="shared" si="21"/>
        <v>0</v>
      </c>
      <c r="CI32" s="65"/>
      <c r="CJ32" s="79">
        <f t="shared" si="2"/>
        <v>0</v>
      </c>
      <c r="CK32" s="65"/>
      <c r="CL32" s="76">
        <f t="shared" si="22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6"/>
        <v>0</v>
      </c>
      <c r="K33" s="65"/>
      <c r="L33" s="76">
        <f t="shared" si="0"/>
        <v>0</v>
      </c>
      <c r="M33" s="65"/>
      <c r="N33" s="77">
        <f t="shared" si="23"/>
        <v>0</v>
      </c>
      <c r="O33" s="65"/>
      <c r="P33" s="79">
        <f>IF((O33-O32&lt;0), "",O33-O32)</f>
        <v>0</v>
      </c>
      <c r="Q33" s="65"/>
      <c r="R33" s="79">
        <f t="shared" si="8"/>
        <v>0</v>
      </c>
      <c r="S33" s="65"/>
      <c r="T33" s="79">
        <f t="shared" si="9"/>
        <v>0</v>
      </c>
      <c r="U33" s="65"/>
      <c r="V33" s="79">
        <f t="shared" si="10"/>
        <v>0</v>
      </c>
      <c r="W33" s="65"/>
      <c r="X33" s="77">
        <f t="shared" si="4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1"/>
        <v>0</v>
      </c>
      <c r="AI33" s="65"/>
      <c r="AJ33" s="77">
        <f t="shared" si="28"/>
        <v>0</v>
      </c>
      <c r="AK33" s="65"/>
      <c r="AL33" s="77">
        <f t="shared" si="12"/>
        <v>0</v>
      </c>
      <c r="AM33" s="65"/>
      <c r="AN33" s="77">
        <f t="shared" si="13"/>
        <v>0</v>
      </c>
      <c r="AO33" s="65"/>
      <c r="AP33" s="77">
        <f t="shared" si="14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5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6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7"/>
        <v>0</v>
      </c>
      <c r="CA33" s="65"/>
      <c r="CB33" s="79">
        <f t="shared" si="18"/>
        <v>0</v>
      </c>
      <c r="CC33" s="65"/>
      <c r="CD33" s="79">
        <f t="shared" si="19"/>
        <v>0</v>
      </c>
      <c r="CE33" s="65"/>
      <c r="CF33" s="79">
        <f t="shared" si="20"/>
        <v>0</v>
      </c>
      <c r="CG33" s="65"/>
      <c r="CH33" s="79">
        <f t="shared" si="21"/>
        <v>0</v>
      </c>
      <c r="CI33" s="65"/>
      <c r="CJ33" s="79">
        <f t="shared" si="2"/>
        <v>0</v>
      </c>
      <c r="CK33" s="65"/>
      <c r="CL33" s="76">
        <f t="shared" si="22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6"/>
        <v>0</v>
      </c>
      <c r="K34" s="65"/>
      <c r="L34" s="76">
        <f t="shared" si="0"/>
        <v>0</v>
      </c>
      <c r="M34" s="65"/>
      <c r="N34" s="77">
        <f t="shared" si="23"/>
        <v>0</v>
      </c>
      <c r="O34" s="65"/>
      <c r="P34" s="79">
        <f>IF((O34-O33&lt;0), "",O34-O33)</f>
        <v>0</v>
      </c>
      <c r="Q34" s="65"/>
      <c r="R34" s="79">
        <f t="shared" si="8"/>
        <v>0</v>
      </c>
      <c r="S34" s="65"/>
      <c r="T34" s="79">
        <f t="shared" si="9"/>
        <v>0</v>
      </c>
      <c r="U34" s="65"/>
      <c r="V34" s="79">
        <f t="shared" si="10"/>
        <v>0</v>
      </c>
      <c r="W34" s="65"/>
      <c r="X34" s="77">
        <f t="shared" si="4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1"/>
        <v>0</v>
      </c>
      <c r="AI34" s="65"/>
      <c r="AJ34" s="77">
        <f t="shared" si="28"/>
        <v>0</v>
      </c>
      <c r="AK34" s="65"/>
      <c r="AL34" s="77">
        <f t="shared" si="12"/>
        <v>0</v>
      </c>
      <c r="AM34" s="65"/>
      <c r="AN34" s="77">
        <f t="shared" si="13"/>
        <v>0</v>
      </c>
      <c r="AO34" s="65"/>
      <c r="AP34" s="77">
        <f t="shared" si="14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6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7"/>
        <v>0</v>
      </c>
      <c r="CA34" s="65"/>
      <c r="CB34" s="79">
        <f t="shared" si="18"/>
        <v>0</v>
      </c>
      <c r="CC34" s="65"/>
      <c r="CD34" s="79">
        <f t="shared" si="19"/>
        <v>0</v>
      </c>
      <c r="CE34" s="65"/>
      <c r="CF34" s="79">
        <f t="shared" si="20"/>
        <v>0</v>
      </c>
      <c r="CG34" s="65"/>
      <c r="CH34" s="79">
        <f t="shared" si="21"/>
        <v>0</v>
      </c>
      <c r="CI34" s="65"/>
      <c r="CJ34" s="79">
        <f t="shared" si="2"/>
        <v>0</v>
      </c>
      <c r="CK34" s="65"/>
      <c r="CL34" s="76">
        <f t="shared" si="22"/>
        <v>0</v>
      </c>
      <c r="CM34" s="77"/>
      <c r="CN34" s="74"/>
      <c r="CO34" s="74"/>
    </row>
    <row r="35" spans="1:93" ht="21.75" x14ac:dyDescent="0.4">
      <c r="P35" s="81">
        <f>SUM(P4:P33)</f>
        <v>40</v>
      </c>
      <c r="R35" s="81">
        <f>SUM(R4:R33)</f>
        <v>19</v>
      </c>
      <c r="AX35" s="77">
        <f t="shared" si="32"/>
        <v>0</v>
      </c>
      <c r="BF35" s="81">
        <f>SUM(BF4:BF33)</f>
        <v>132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B11" sqref="B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/>
      <c r="C11" s="44"/>
      <c r="D11" s="44"/>
      <c r="E11" s="45"/>
      <c r="F11" s="45"/>
      <c r="G11" s="45"/>
      <c r="H11" s="45"/>
      <c r="I11" s="45"/>
      <c r="J11" s="45"/>
      <c r="K11" s="46"/>
      <c r="L11" s="46"/>
      <c r="M11" s="46"/>
      <c r="N11" s="43"/>
      <c r="O11" s="43"/>
      <c r="P11" s="43"/>
      <c r="Q11" s="43"/>
    </row>
    <row r="12" spans="1:17" x14ac:dyDescent="0.25">
      <c r="A12" s="47">
        <v>43834</v>
      </c>
      <c r="B12" s="44"/>
      <c r="C12" s="44"/>
      <c r="D12" s="44"/>
      <c r="E12" s="45"/>
      <c r="F12" s="45"/>
      <c r="G12" s="45"/>
      <c r="H12" s="45"/>
      <c r="I12" s="45"/>
      <c r="J12" s="45"/>
      <c r="K12" s="46"/>
      <c r="L12" s="46"/>
      <c r="M12" s="46"/>
      <c r="N12" s="43"/>
      <c r="O12" s="43"/>
      <c r="P12" s="43"/>
      <c r="Q12" s="43"/>
    </row>
    <row r="13" spans="1:17" x14ac:dyDescent="0.25">
      <c r="A13" s="47">
        <v>43835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47">
        <v>43836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2020-01-02T23:30:41Z</dcterms:modified>
</cp:coreProperties>
</file>