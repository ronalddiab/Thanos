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0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 DECEMBER\"/>
    </mc:Choice>
  </mc:AlternateContent>
  <xr:revisionPtr revIDLastSave="1251" documentId="13_ncr:1_{83C287CF-C334-4BE5-BF29-FA1D4D504CBD}" xr6:coauthVersionLast="47" xr6:coauthVersionMax="47" xr10:uidLastSave="{9AE6A576-60DB-4A79-8230-820B538A19FA}"/>
  <bookViews>
    <workbookView xWindow="-120" yWindow="-120" windowWidth="29040" windowHeight="15840" tabRatio="764" firstSheet="2" activeTab="8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6" l="1"/>
  <c r="I21" i="6"/>
  <c r="G21" i="6"/>
  <c r="E21" i="6"/>
  <c r="K20" i="6"/>
  <c r="I20" i="6"/>
  <c r="G20" i="6"/>
  <c r="E20" i="6"/>
  <c r="K19" i="6"/>
  <c r="I19" i="6"/>
  <c r="G19" i="6"/>
  <c r="E19" i="6"/>
  <c r="K18" i="6"/>
  <c r="I18" i="6"/>
  <c r="G18" i="6"/>
  <c r="E18" i="6"/>
  <c r="G17" i="6"/>
  <c r="K15" i="6"/>
  <c r="K16" i="6"/>
  <c r="I15" i="6"/>
  <c r="I16" i="6"/>
  <c r="G15" i="6"/>
  <c r="G16" i="6"/>
  <c r="G12" i="4"/>
  <c r="E15" i="6"/>
  <c r="K14" i="6"/>
  <c r="I14" i="6"/>
  <c r="G14" i="6"/>
  <c r="E14" i="6"/>
  <c r="AC7" i="4"/>
  <c r="E13" i="6"/>
  <c r="K13" i="6"/>
  <c r="I13" i="6"/>
  <c r="G13" i="6"/>
  <c r="K12" i="6"/>
  <c r="I12" i="6"/>
  <c r="G12" i="6"/>
  <c r="E12" i="6"/>
  <c r="P5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" i="4"/>
  <c r="X11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E17" i="19"/>
  <c r="E18" i="19"/>
  <c r="E19" i="19"/>
  <c r="K11" i="6"/>
  <c r="I11" i="6"/>
  <c r="G11" i="6"/>
  <c r="E11" i="6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H26" i="21"/>
  <c r="I26" i="21"/>
  <c r="H27" i="21"/>
  <c r="I27" i="21"/>
  <c r="H28" i="21"/>
  <c r="I28" i="21"/>
  <c r="H29" i="21"/>
  <c r="I29" i="21"/>
  <c r="H30" i="21"/>
  <c r="I30" i="21"/>
  <c r="H31" i="21"/>
  <c r="I31" i="21"/>
  <c r="H32" i="21"/>
  <c r="I32" i="21"/>
  <c r="K3" i="22"/>
  <c r="L3" i="22"/>
  <c r="K4" i="22"/>
  <c r="L4" i="22"/>
  <c r="K5" i="22"/>
  <c r="L5" i="22"/>
  <c r="K6" i="22"/>
  <c r="L6" i="22"/>
  <c r="K7" i="22"/>
  <c r="L7" i="22"/>
  <c r="K8" i="22"/>
  <c r="L8" i="22"/>
  <c r="L2" i="22"/>
  <c r="K2" i="22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I2" i="21"/>
  <c r="H2" i="21"/>
  <c r="E16" i="6"/>
  <c r="K17" i="6"/>
  <c r="K23" i="6"/>
  <c r="K24" i="6"/>
  <c r="K25" i="6"/>
  <c r="K26" i="6"/>
  <c r="I17" i="6"/>
  <c r="I23" i="6"/>
  <c r="I24" i="6"/>
  <c r="I25" i="6"/>
  <c r="G23" i="6"/>
  <c r="G24" i="6"/>
  <c r="E10" i="6"/>
  <c r="K10" i="6"/>
  <c r="I10" i="6"/>
  <c r="G10" i="6"/>
  <c r="E17" i="6"/>
  <c r="L17" i="2" l="1"/>
  <c r="E9" i="21" s="1"/>
  <c r="N16" i="2"/>
  <c r="G8" i="21" s="1"/>
  <c r="L16" i="2"/>
  <c r="E8" i="21" s="1"/>
  <c r="N40" i="2"/>
  <c r="G32" i="21" s="1"/>
  <c r="M40" i="2"/>
  <c r="F32" i="21" s="1"/>
  <c r="L40" i="2"/>
  <c r="E32" i="21" s="1"/>
  <c r="E32" i="22" s="1"/>
  <c r="F40" i="2"/>
  <c r="I32" i="22" s="1"/>
  <c r="N39" i="2"/>
  <c r="G31" i="21" s="1"/>
  <c r="M39" i="2"/>
  <c r="F31" i="21" s="1"/>
  <c r="L39" i="2"/>
  <c r="E31" i="21" s="1"/>
  <c r="E31" i="22" s="1"/>
  <c r="F39" i="2"/>
  <c r="I31" i="22" s="1"/>
  <c r="N38" i="2"/>
  <c r="G30" i="21" s="1"/>
  <c r="M38" i="2"/>
  <c r="F30" i="21" s="1"/>
  <c r="L38" i="2"/>
  <c r="E30" i="21" s="1"/>
  <c r="E30" i="22" s="1"/>
  <c r="F38" i="2"/>
  <c r="I30" i="22" s="1"/>
  <c r="N37" i="2"/>
  <c r="G29" i="21" s="1"/>
  <c r="M37" i="2"/>
  <c r="F29" i="21" s="1"/>
  <c r="L37" i="2"/>
  <c r="E29" i="21" s="1"/>
  <c r="E29" i="22" s="1"/>
  <c r="F37" i="2"/>
  <c r="N36" i="2"/>
  <c r="G28" i="21" s="1"/>
  <c r="M36" i="2"/>
  <c r="F28" i="21" s="1"/>
  <c r="L36" i="2"/>
  <c r="E28" i="21" s="1"/>
  <c r="E28" i="22" s="1"/>
  <c r="F36" i="2"/>
  <c r="I28" i="22" s="1"/>
  <c r="N35" i="2"/>
  <c r="G27" i="21" s="1"/>
  <c r="M35" i="2"/>
  <c r="F27" i="21" s="1"/>
  <c r="L35" i="2"/>
  <c r="E27" i="21" s="1"/>
  <c r="E27" i="22" s="1"/>
  <c r="F35" i="2"/>
  <c r="N34" i="2"/>
  <c r="G26" i="21" s="1"/>
  <c r="M34" i="2"/>
  <c r="F26" i="21" s="1"/>
  <c r="L34" i="2"/>
  <c r="E26" i="21" s="1"/>
  <c r="E26" i="22" s="1"/>
  <c r="F34" i="2"/>
  <c r="I26" i="22" s="1"/>
  <c r="N33" i="2"/>
  <c r="G25" i="21" s="1"/>
  <c r="M33" i="2"/>
  <c r="F25" i="21" s="1"/>
  <c r="L33" i="2"/>
  <c r="E25" i="21" s="1"/>
  <c r="E25" i="22" s="1"/>
  <c r="F33" i="2"/>
  <c r="I25" i="22" s="1"/>
  <c r="N32" i="2"/>
  <c r="G24" i="21" s="1"/>
  <c r="M32" i="2"/>
  <c r="F24" i="21" s="1"/>
  <c r="L32" i="2"/>
  <c r="E24" i="21" s="1"/>
  <c r="E24" i="22" s="1"/>
  <c r="F32" i="2"/>
  <c r="I24" i="22" s="1"/>
  <c r="N31" i="2"/>
  <c r="G23" i="21" s="1"/>
  <c r="M31" i="2"/>
  <c r="F23" i="21" s="1"/>
  <c r="L31" i="2"/>
  <c r="E23" i="21" s="1"/>
  <c r="E23" i="22" s="1"/>
  <c r="F31" i="2"/>
  <c r="I23" i="22" s="1"/>
  <c r="N30" i="2"/>
  <c r="G22" i="21" s="1"/>
  <c r="M30" i="2"/>
  <c r="F22" i="21" s="1"/>
  <c r="L30" i="2"/>
  <c r="E22" i="21" s="1"/>
  <c r="E22" i="22" s="1"/>
  <c r="F30" i="2"/>
  <c r="I22" i="22" s="1"/>
  <c r="N29" i="2"/>
  <c r="G21" i="21" s="1"/>
  <c r="M29" i="2"/>
  <c r="F21" i="21" s="1"/>
  <c r="L29" i="2"/>
  <c r="E21" i="21" s="1"/>
  <c r="E21" i="22" s="1"/>
  <c r="F29" i="2"/>
  <c r="I21" i="22" s="1"/>
  <c r="N28" i="2"/>
  <c r="G20" i="21" s="1"/>
  <c r="M28" i="2"/>
  <c r="F20" i="21" s="1"/>
  <c r="L28" i="2"/>
  <c r="E20" i="21" s="1"/>
  <c r="E20" i="22" s="1"/>
  <c r="F28" i="2"/>
  <c r="I20" i="22" s="1"/>
  <c r="N27" i="2"/>
  <c r="G19" i="21" s="1"/>
  <c r="M27" i="2"/>
  <c r="F19" i="21" s="1"/>
  <c r="L27" i="2"/>
  <c r="E19" i="21" s="1"/>
  <c r="E19" i="22" s="1"/>
  <c r="F27" i="2"/>
  <c r="I19" i="22" s="1"/>
  <c r="N26" i="2"/>
  <c r="G18" i="21" s="1"/>
  <c r="M26" i="2"/>
  <c r="F18" i="21" s="1"/>
  <c r="L26" i="2"/>
  <c r="E18" i="21" s="1"/>
  <c r="E18" i="22" s="1"/>
  <c r="F26" i="2"/>
  <c r="I18" i="22" s="1"/>
  <c r="N25" i="2"/>
  <c r="G17" i="21" s="1"/>
  <c r="M25" i="2"/>
  <c r="F17" i="21" s="1"/>
  <c r="L25" i="2"/>
  <c r="E17" i="21" s="1"/>
  <c r="E17" i="22" s="1"/>
  <c r="F25" i="2"/>
  <c r="N24" i="2"/>
  <c r="G16" i="21" s="1"/>
  <c r="M24" i="2"/>
  <c r="F16" i="21" s="1"/>
  <c r="L24" i="2"/>
  <c r="E16" i="21" s="1"/>
  <c r="E16" i="22" s="1"/>
  <c r="F24" i="2"/>
  <c r="N23" i="2"/>
  <c r="G15" i="21" s="1"/>
  <c r="M23" i="2"/>
  <c r="F15" i="21" s="1"/>
  <c r="L23" i="2"/>
  <c r="E15" i="21" s="1"/>
  <c r="E15" i="22" s="1"/>
  <c r="F23" i="2"/>
  <c r="N22" i="2"/>
  <c r="G14" i="21" s="1"/>
  <c r="M22" i="2"/>
  <c r="F14" i="21" s="1"/>
  <c r="L22" i="2"/>
  <c r="E14" i="21" s="1"/>
  <c r="E14" i="22" s="1"/>
  <c r="F22" i="2"/>
  <c r="I14" i="22" s="1"/>
  <c r="N21" i="2"/>
  <c r="G13" i="21" s="1"/>
  <c r="M21" i="2"/>
  <c r="F13" i="21" s="1"/>
  <c r="L21" i="2"/>
  <c r="E13" i="21" s="1"/>
  <c r="E13" i="22" s="1"/>
  <c r="F21" i="2"/>
  <c r="H21" i="2" s="1"/>
  <c r="N20" i="2"/>
  <c r="G12" i="21" s="1"/>
  <c r="M20" i="2"/>
  <c r="F12" i="21" s="1"/>
  <c r="L20" i="2"/>
  <c r="E12" i="21" s="1"/>
  <c r="E12" i="22" s="1"/>
  <c r="F20" i="2"/>
  <c r="N19" i="2"/>
  <c r="G11" i="21" s="1"/>
  <c r="M19" i="2"/>
  <c r="F11" i="21" s="1"/>
  <c r="L19" i="2"/>
  <c r="E11" i="21" s="1"/>
  <c r="E11" i="22" s="1"/>
  <c r="N18" i="2"/>
  <c r="G10" i="21" s="1"/>
  <c r="M18" i="2"/>
  <c r="F10" i="21" s="1"/>
  <c r="L18" i="2"/>
  <c r="E10" i="21" s="1"/>
  <c r="E10" i="22" s="1"/>
  <c r="N17" i="2"/>
  <c r="G9" i="21" s="1"/>
  <c r="M17" i="2"/>
  <c r="F9" i="21" s="1"/>
  <c r="M16" i="2"/>
  <c r="F8" i="21" s="1"/>
  <c r="F16" i="2"/>
  <c r="F17" i="2"/>
  <c r="H17" i="2" s="1"/>
  <c r="N15" i="2"/>
  <c r="G7" i="21" s="1"/>
  <c r="M15" i="2"/>
  <c r="F7" i="21" s="1"/>
  <c r="L15" i="2"/>
  <c r="E7" i="21" s="1"/>
  <c r="E7" i="22" s="1"/>
  <c r="F15" i="2"/>
  <c r="N14" i="2"/>
  <c r="G6" i="21" s="1"/>
  <c r="M14" i="2"/>
  <c r="F6" i="21" s="1"/>
  <c r="L14" i="2"/>
  <c r="E6" i="21" s="1"/>
  <c r="E6" i="22" s="1"/>
  <c r="F14" i="2"/>
  <c r="N13" i="2"/>
  <c r="G5" i="21" s="1"/>
  <c r="M13" i="2"/>
  <c r="F5" i="21" s="1"/>
  <c r="L13" i="2"/>
  <c r="E5" i="21" s="1"/>
  <c r="E5" i="22" s="1"/>
  <c r="F13" i="2"/>
  <c r="N12" i="2"/>
  <c r="G4" i="21" s="1"/>
  <c r="M12" i="2"/>
  <c r="F4" i="21" s="1"/>
  <c r="L12" i="2"/>
  <c r="E4" i="21" s="1"/>
  <c r="E4" i="22" s="1"/>
  <c r="F12" i="2"/>
  <c r="M4" i="4"/>
  <c r="M5" i="4"/>
  <c r="M6" i="4"/>
  <c r="M7" i="4"/>
  <c r="N11" i="2"/>
  <c r="G3" i="21" s="1"/>
  <c r="M11" i="2"/>
  <c r="F3" i="21" s="1"/>
  <c r="L11" i="2"/>
  <c r="E3" i="21" s="1"/>
  <c r="E3" i="22" s="1"/>
  <c r="F11" i="2"/>
  <c r="N10" i="2"/>
  <c r="G2" i="21" s="1"/>
  <c r="M10" i="2"/>
  <c r="L10" i="2"/>
  <c r="F10" i="2"/>
  <c r="I2" i="22" s="1"/>
  <c r="G4" i="4"/>
  <c r="E4" i="4"/>
  <c r="C4" i="4"/>
  <c r="L31" i="22"/>
  <c r="L32" i="22"/>
  <c r="K31" i="22"/>
  <c r="K32" i="22"/>
  <c r="B31" i="22"/>
  <c r="B32" i="22"/>
  <c r="B31" i="21"/>
  <c r="B32" i="21"/>
  <c r="H39" i="2"/>
  <c r="H40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I29" i="22"/>
  <c r="I27" i="22"/>
  <c r="AC9" i="4"/>
  <c r="AC10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H37" i="2"/>
  <c r="H38" i="2"/>
  <c r="Q18" i="2"/>
  <c r="H35" i="2"/>
  <c r="H36" i="2"/>
  <c r="H34" i="2"/>
  <c r="H31" i="2"/>
  <c r="H30" i="2"/>
  <c r="H25" i="2"/>
  <c r="I16" i="22"/>
  <c r="I15" i="22"/>
  <c r="H20" i="2"/>
  <c r="I9" i="22"/>
  <c r="AC22" i="4"/>
  <c r="I22" i="4" s="1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I18" i="19"/>
  <c r="F18" i="20"/>
  <c r="F17" i="20"/>
  <c r="F16" i="20"/>
  <c r="I17" i="19"/>
  <c r="H31" i="19"/>
  <c r="I31" i="19"/>
  <c r="H30" i="19"/>
  <c r="I30" i="19"/>
  <c r="F28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C15" i="4" s="1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I12" i="22"/>
  <c r="H23" i="2"/>
  <c r="H27" i="2"/>
  <c r="H28" i="2"/>
  <c r="H22" i="2"/>
  <c r="H32" i="2"/>
  <c r="H24" i="2"/>
  <c r="I19" i="10"/>
  <c r="E20" i="10"/>
  <c r="D25" i="10"/>
  <c r="F25" i="10"/>
  <c r="F32" i="10"/>
  <c r="H25" i="10"/>
  <c r="I25" i="10"/>
  <c r="I32" i="10"/>
  <c r="F18" i="10"/>
  <c r="I17" i="22"/>
  <c r="H29" i="2"/>
  <c r="O18" i="2"/>
  <c r="I13" i="2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P16" i="4" s="1"/>
  <c r="L14" i="4"/>
  <c r="N14" i="4"/>
  <c r="O14" i="4"/>
  <c r="P14" i="4" s="1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P12" i="4" s="1"/>
  <c r="L11" i="4"/>
  <c r="N11" i="4" s="1"/>
  <c r="O11" i="4"/>
  <c r="P11" i="4" s="1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P15" i="4" s="1"/>
  <c r="E2" i="21"/>
  <c r="Q11" i="2"/>
  <c r="O7" i="4"/>
  <c r="P7" i="4" s="1"/>
  <c r="J10" i="21"/>
  <c r="H10" i="2"/>
  <c r="Q44" i="4"/>
  <c r="AC44" i="4"/>
  <c r="K48" i="4" s="1"/>
  <c r="L48" i="4" s="1"/>
  <c r="M48" i="4" s="1"/>
  <c r="L9" i="4"/>
  <c r="N9" i="4"/>
  <c r="AC43" i="4"/>
  <c r="I9" i="4"/>
  <c r="O9" i="4"/>
  <c r="P9" i="4" s="1"/>
  <c r="E9" i="22" l="1"/>
  <c r="E8" i="22"/>
  <c r="H26" i="2"/>
  <c r="Q33" i="2"/>
  <c r="Q31" i="2"/>
  <c r="O20" i="2"/>
  <c r="O22" i="2"/>
  <c r="O24" i="2"/>
  <c r="O26" i="2"/>
  <c r="O34" i="2"/>
  <c r="O27" i="2"/>
  <c r="O37" i="2"/>
  <c r="O39" i="2"/>
  <c r="Q27" i="2"/>
  <c r="O19" i="2"/>
  <c r="O36" i="2"/>
  <c r="J20" i="21"/>
  <c r="J22" i="21"/>
  <c r="Q40" i="2"/>
  <c r="Q36" i="2"/>
  <c r="O38" i="2"/>
  <c r="Q30" i="2"/>
  <c r="Q32" i="2"/>
  <c r="Q38" i="2"/>
  <c r="M41" i="2"/>
  <c r="I45" i="2" s="1"/>
  <c r="L45" i="2" s="1"/>
  <c r="Q21" i="2"/>
  <c r="Q23" i="2"/>
  <c r="O33" i="2"/>
  <c r="O35" i="2"/>
  <c r="Q37" i="2"/>
  <c r="Q39" i="2"/>
  <c r="Q26" i="2"/>
  <c r="O30" i="2"/>
  <c r="Q20" i="2"/>
  <c r="Q22" i="2"/>
  <c r="Q28" i="2"/>
  <c r="O32" i="2"/>
  <c r="Q24" i="2"/>
  <c r="O28" i="2"/>
  <c r="Q34" i="2"/>
  <c r="J11" i="21"/>
  <c r="J17" i="21"/>
  <c r="J21" i="21"/>
  <c r="J24" i="21"/>
  <c r="J30" i="21"/>
  <c r="J23" i="21"/>
  <c r="O29" i="2"/>
  <c r="Q19" i="2"/>
  <c r="O23" i="2"/>
  <c r="O40" i="2"/>
  <c r="Q29" i="2"/>
  <c r="O25" i="2"/>
  <c r="Q35" i="2"/>
  <c r="Q25" i="2"/>
  <c r="O31" i="2"/>
  <c r="N41" i="2"/>
  <c r="I46" i="2" s="1"/>
  <c r="L46" i="2" s="1"/>
  <c r="O16" i="2"/>
  <c r="J3" i="21"/>
  <c r="O11" i="2"/>
  <c r="Q16" i="2"/>
  <c r="O17" i="2"/>
  <c r="Q17" i="2"/>
  <c r="O10" i="2"/>
  <c r="J2" i="21"/>
  <c r="Q10" i="2"/>
  <c r="E2" i="22"/>
  <c r="I7" i="22"/>
  <c r="H15" i="2"/>
  <c r="O21" i="2"/>
  <c r="J12" i="21"/>
  <c r="C35" i="4"/>
  <c r="G35" i="4"/>
  <c r="E35" i="4"/>
  <c r="C31" i="4"/>
  <c r="G31" i="4"/>
  <c r="E31" i="4"/>
  <c r="G28" i="4"/>
  <c r="E28" i="4"/>
  <c r="C28" i="4"/>
  <c r="G26" i="4"/>
  <c r="E26" i="4"/>
  <c r="C26" i="4"/>
  <c r="G15" i="4"/>
  <c r="E15" i="4"/>
  <c r="G14" i="4"/>
  <c r="E14" i="4"/>
  <c r="C14" i="4"/>
  <c r="G8" i="4"/>
  <c r="E8" i="4"/>
  <c r="C8" i="4"/>
  <c r="E12" i="4"/>
  <c r="C12" i="4"/>
  <c r="G24" i="4"/>
  <c r="E24" i="4"/>
  <c r="C24" i="4"/>
  <c r="G21" i="4"/>
  <c r="E21" i="4"/>
  <c r="C21" i="4"/>
  <c r="G13" i="4"/>
  <c r="E13" i="4"/>
  <c r="C13" i="4"/>
  <c r="G17" i="4"/>
  <c r="E17" i="4"/>
  <c r="C17" i="4"/>
  <c r="G16" i="4"/>
  <c r="E16" i="4"/>
  <c r="C16" i="4"/>
  <c r="G33" i="4"/>
  <c r="E33" i="4"/>
  <c r="C33" i="4"/>
  <c r="G30" i="4"/>
  <c r="E30" i="4"/>
  <c r="C30" i="4"/>
  <c r="I30" i="4"/>
  <c r="G29" i="4"/>
  <c r="E29" i="4"/>
  <c r="C29" i="4"/>
  <c r="G22" i="4"/>
  <c r="E22" i="4"/>
  <c r="C22" i="4"/>
  <c r="V15" i="2"/>
  <c r="X15" i="2" s="1"/>
  <c r="V13" i="2"/>
  <c r="X13" i="2" s="1"/>
  <c r="V21" i="2"/>
  <c r="X21" i="2" s="1"/>
  <c r="V39" i="2"/>
  <c r="V26" i="2"/>
  <c r="V25" i="2"/>
  <c r="V31" i="2"/>
  <c r="V32" i="2"/>
  <c r="V38" i="2"/>
  <c r="V17" i="2"/>
  <c r="X17" i="2" s="1"/>
  <c r="V18" i="2"/>
  <c r="X18" i="2" s="1"/>
  <c r="V30" i="2"/>
  <c r="V35" i="2"/>
  <c r="V27" i="2"/>
  <c r="V24" i="2"/>
  <c r="V36" i="2"/>
  <c r="V40" i="2"/>
  <c r="V33" i="2"/>
  <c r="V20" i="2"/>
  <c r="X20" i="2" s="1"/>
  <c r="V22" i="2"/>
  <c r="X22" i="2" s="1"/>
  <c r="V34" i="2"/>
  <c r="V37" i="2"/>
  <c r="V16" i="2"/>
  <c r="X16" i="2" s="1"/>
  <c r="V19" i="2"/>
  <c r="X19" i="2" s="1"/>
  <c r="V23" i="2"/>
  <c r="V29" i="2"/>
  <c r="V28" i="2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I4" i="4"/>
  <c r="L4" i="4"/>
  <c r="N4" i="4" s="1"/>
  <c r="N43" i="4" s="1"/>
  <c r="O43" i="4" s="1"/>
  <c r="P43" i="4" s="1"/>
  <c r="G20" i="22" l="1"/>
  <c r="G21" i="22"/>
  <c r="G15" i="22"/>
  <c r="G11" i="22"/>
  <c r="G8" i="22"/>
  <c r="G29" i="22"/>
  <c r="G26" i="22"/>
  <c r="G14" i="22"/>
  <c r="G12" i="22"/>
  <c r="G25" i="22"/>
  <c r="G32" i="22"/>
  <c r="G28" i="22"/>
  <c r="G16" i="22"/>
  <c r="G19" i="22"/>
  <c r="G27" i="22"/>
  <c r="G22" i="22"/>
  <c r="G10" i="22"/>
  <c r="G9" i="22"/>
  <c r="G30" i="22"/>
  <c r="G24" i="22"/>
  <c r="G23" i="22"/>
  <c r="G17" i="22"/>
  <c r="G18" i="22"/>
  <c r="G31" i="22"/>
  <c r="G13" i="22"/>
  <c r="G5" i="22"/>
  <c r="G7" i="22"/>
  <c r="J13" i="21"/>
  <c r="J9" i="21"/>
  <c r="J16" i="21"/>
  <c r="J14" i="21"/>
  <c r="J19" i="21"/>
  <c r="J8" i="21"/>
  <c r="J18" i="21"/>
  <c r="J26" i="21"/>
  <c r="J15" i="21"/>
  <c r="J25" i="21"/>
  <c r="V14" i="2"/>
  <c r="X14" i="2" s="1"/>
  <c r="V12" i="2"/>
  <c r="X12" i="2" s="1"/>
  <c r="V11" i="2"/>
  <c r="M19" i="22"/>
  <c r="M20" i="22"/>
  <c r="M14" i="22"/>
  <c r="M24" i="22"/>
  <c r="M18" i="22"/>
  <c r="M26" i="22"/>
  <c r="M21" i="22"/>
  <c r="M9" i="22"/>
  <c r="M23" i="22"/>
  <c r="M22" i="22"/>
  <c r="M17" i="22"/>
  <c r="M12" i="22"/>
  <c r="O15" i="2"/>
  <c r="Q15" i="2"/>
  <c r="O13" i="2"/>
  <c r="Q13" i="2"/>
  <c r="Q12" i="2"/>
  <c r="O12" i="2"/>
  <c r="I8" i="22"/>
  <c r="M8" i="22" s="1"/>
  <c r="H16" i="2"/>
  <c r="H14" i="2"/>
  <c r="I6" i="22"/>
  <c r="I5" i="22"/>
  <c r="H13" i="2"/>
  <c r="I4" i="22"/>
  <c r="H12" i="2"/>
  <c r="I3" i="22"/>
  <c r="H11" i="2"/>
  <c r="O4" i="4"/>
  <c r="G3" i="22" l="1"/>
  <c r="G4" i="22"/>
  <c r="G6" i="22"/>
  <c r="M25" i="22"/>
  <c r="M16" i="22"/>
  <c r="M15" i="22"/>
  <c r="M13" i="22"/>
  <c r="Q41" i="2"/>
  <c r="O41" i="2"/>
  <c r="M3" i="22"/>
  <c r="V10" i="2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K47" i="4"/>
  <c r="X41" i="2"/>
  <c r="G2" i="22" l="1"/>
  <c r="M2" i="22" s="1"/>
  <c r="V41" i="2"/>
  <c r="L47" i="4"/>
  <c r="M47" i="4"/>
  <c r="M30" i="22" l="1"/>
  <c r="I49" i="2"/>
  <c r="L49" i="2" s="1"/>
  <c r="N49" i="2" s="1"/>
  <c r="F18" i="2"/>
  <c r="I10" i="22"/>
  <c r="M10" i="22" s="1"/>
  <c r="F19" i="2"/>
  <c r="I11" i="22" s="1"/>
  <c r="M11" i="22" s="1"/>
  <c r="H19" i="2"/>
  <c r="H18" i="2" l="1"/>
  <c r="H41" i="2" s="1"/>
  <c r="F41" i="2"/>
  <c r="I48" i="2" s="1"/>
  <c r="L48" i="2" s="1"/>
  <c r="N48" i="2" s="1"/>
</calcChain>
</file>

<file path=xl/sharedStrings.xml><?xml version="1.0" encoding="utf-8"?>
<sst xmlns="http://schemas.openxmlformats.org/spreadsheetml/2006/main" count="510" uniqueCount="205">
  <si>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</si>
  <si>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</si>
  <si>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</si>
  <si>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</si>
  <si>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</si>
  <si>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</si>
  <si>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</si>
  <si>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</si>
  <si>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</si>
  <si>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</si>
  <si>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</si>
  <si>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</si>
  <si>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</si>
  <si>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</si>
  <si>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</si>
  <si>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</si>
  <si>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</si>
  <si>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</si>
  <si>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</si>
  <si>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</si>
  <si>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</si>
  <si>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</si>
  <si>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</si>
  <si>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</si>
  <si>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</si>
  <si>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</si>
  <si>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</si>
  <si>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</si>
  <si>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</si>
  <si>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</si>
  <si>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</si>
  <si>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</si>
  <si>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</si>
  <si>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</si>
  <si>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</si>
  <si>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</si>
  <si>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</si>
  <si>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</si>
  <si>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</si>
  <si>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</si>
  <si>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</si>
  <si>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Jan 2022</t>
  </si>
  <si>
    <t>Département Engineering 2023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</si>
  <si>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</si>
  <si>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</si>
  <si>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</si>
  <si>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</si>
  <si>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</si>
  <si>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</si>
  <si>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</si>
  <si>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</si>
  <si>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</si>
  <si>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</si>
  <si>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</si>
  <si>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</si>
  <si>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</si>
  <si>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</si>
  <si>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Jan 2023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</si>
  <si>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</si>
  <si>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</si>
  <si>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</si>
  <si>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</si>
  <si>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</si>
  <si>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</si>
  <si>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</si>
  <si>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</si>
  <si>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</si>
  <si>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</si>
  <si>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</si>
  <si>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</si>
  <si>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</si>
  <si>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</si>
  <si>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</si>
  <si>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</si>
  <si>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</si>
  <si>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</si>
  <si>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</si>
  <si>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</si>
  <si>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</si>
  <si>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</si>
  <si>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</si>
  <si>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</si>
  <si>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</si>
  <si>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</si>
  <si>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</si>
  <si>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</si>
  <si>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</si>
  <si>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2023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</si>
  <si>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</si>
  <si>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</si>
  <si>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</si>
  <si>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</si>
  <si>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</si>
  <si>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</si>
  <si>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</si>
  <si>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</si>
  <si>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</si>
  <si>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</si>
  <si>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</si>
  <si>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</si>
  <si>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</si>
  <si>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</si>
  <si>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</si>
  <si>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</si>
  <si>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</si>
  <si>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</si>
  <si>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</si>
  <si>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</si>
  <si>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</si>
  <si>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</si>
  <si>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</si>
  <si>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</si>
  <si>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</si>
  <si>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</si>
  <si>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</si>
  <si>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</si>
  <si>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</si>
  <si>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</si>
  <si>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</si>
  <si>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</si>
  <si>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</si>
  <si>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</si>
  <si>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</si>
  <si>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</si>
  <si>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</si>
  <si>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</si>
  <si>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</si>
  <si>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</si>
  <si>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</si>
  <si>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</si>
  <si>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</si>
  <si>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</si>
  <si>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Janvier 2023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</si>
  <si>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</si>
  <si>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</si>
  <si>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</si>
  <si>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</si>
  <si>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</si>
  <si>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</si>
  <si>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</si>
  <si>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</si>
  <si>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</si>
  <si>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</si>
  <si>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</si>
  <si>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</si>
  <si>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</si>
  <si>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</si>
  <si>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</si>
  <si>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</si>
  <si>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</si>
  <si>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</si>
  <si>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</si>
  <si>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</si>
  <si>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</si>
  <si>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Janvier 2023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</si>
  <si>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</si>
  <si>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</si>
  <si>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</si>
  <si>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</si>
  <si>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</si>
  <si>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</si>
  <si>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</si>
  <si>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</si>
  <si>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</si>
  <si>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</si>
  <si>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</si>
  <si>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</si>
  <si>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</si>
  <si>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</si>
  <si>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</si>
  <si>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</si>
  <si>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</si>
  <si>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</si>
  <si>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</si>
  <si>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</si>
  <si>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</si>
  <si>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</si>
  <si>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</si>
  <si>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</si>
  <si>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</si>
  <si>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</si>
  <si>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Année 2023</t>
  </si>
  <si>
    <t>électricité en DH HT</t>
  </si>
  <si>
    <t>L'eau en M3</t>
  </si>
  <si>
    <t>1595,1</t>
  </si>
  <si>
    <t>2215,9</t>
  </si>
  <si>
    <t>4551,1</t>
  </si>
  <si>
    <t>4938,9</t>
  </si>
  <si>
    <t>5198,4</t>
  </si>
  <si>
    <t>4320,6</t>
  </si>
  <si>
    <t>3767,6</t>
  </si>
  <si>
    <t>L'eau en DH HT</t>
  </si>
  <si>
    <t>18207,14</t>
  </si>
  <si>
    <t>25284,26</t>
  </si>
  <si>
    <t>43821,8</t>
  </si>
  <si>
    <t>38703,2</t>
  </si>
  <si>
    <t>51905,54</t>
  </si>
  <si>
    <t>56326,46</t>
  </si>
  <si>
    <t>61115,6</t>
  </si>
  <si>
    <t>59284,76</t>
  </si>
  <si>
    <t>49277,84</t>
  </si>
  <si>
    <t>42973,64</t>
  </si>
  <si>
    <t>Gaz en KG</t>
  </si>
  <si>
    <t>13780,45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</si>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</sst>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D966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7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18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0" fillId="0" borderId="19" xfId="0" applyBorder="1"/>
    <xf numFmtId="0" fontId="0" fillId="0" borderId="10" xfId="0" applyBorder="1"/>
    <xf numFmtId="0" fontId="0" fillId="0" borderId="20" xfId="0" applyBorder="1"/>
    <xf numFmtId="0" fontId="30" fillId="17" borderId="21" xfId="0" applyFont="1" applyFill="1" applyBorder="1"/>
    <xf numFmtId="0" fontId="30" fillId="17" borderId="22" xfId="0" applyFont="1" applyFill="1" applyBorder="1"/>
    <xf numFmtId="0" fontId="0" fillId="0" borderId="23" xfId="0" applyBorder="1"/>
    <xf numFmtId="0" fontId="29" fillId="0" borderId="19" xfId="0" applyFont="1" applyBorder="1" applyAlignment="1">
      <alignment horizontal="center"/>
    </xf>
    <xf numFmtId="0" fontId="0" fillId="0" borderId="24" xfId="0" applyBorder="1" applyAlignment="1">
      <alignment horizontal="right" vertical="center"/>
    </xf>
    <xf numFmtId="0" fontId="27" fillId="18" borderId="20" xfId="0" applyFont="1" applyFill="1" applyBorder="1" applyAlignment="1">
      <alignment horizontal="right"/>
    </xf>
    <xf numFmtId="0" fontId="0" fillId="0" borderId="25" xfId="0" applyBorder="1" applyAlignment="1">
      <alignment horizontal="right" vertical="center"/>
    </xf>
    <xf numFmtId="0" fontId="31" fillId="0" borderId="20" xfId="0" applyFont="1" applyBorder="1"/>
    <xf numFmtId="0" fontId="31" fillId="0" borderId="25" xfId="0" applyFont="1" applyBorder="1" applyAlignment="1">
      <alignment horizontal="right" vertical="center"/>
    </xf>
    <xf numFmtId="0" fontId="32" fillId="18" borderId="20" xfId="0" applyFont="1" applyFill="1" applyBorder="1" applyAlignment="1">
      <alignment horizontal="right"/>
    </xf>
    <xf numFmtId="0" fontId="31" fillId="0" borderId="0" xfId="0" applyFont="1"/>
    <xf numFmtId="0" fontId="0" fillId="0" borderId="25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1" xfId="0" applyBorder="1"/>
    <xf numFmtId="0" fontId="0" fillId="0" borderId="26" xfId="0" applyBorder="1" applyAlignment="1">
      <alignment horizontal="right"/>
    </xf>
    <xf numFmtId="0" fontId="0" fillId="0" borderId="21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7" xfId="0" applyFont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3" xfId="0" applyFont="1" applyBorder="1" applyAlignment="1">
      <alignment vertical="center"/>
    </xf>
    <xf numFmtId="0" fontId="34" fillId="0" borderId="22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2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19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7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1" xfId="0" applyFont="1" applyFill="1" applyBorder="1" applyAlignment="1">
      <alignment horizontal="center" vertical="center" wrapText="1"/>
    </xf>
    <xf numFmtId="0" fontId="18" fillId="10" borderId="21" xfId="0" applyFont="1" applyFill="1" applyBorder="1" applyAlignment="1">
      <alignment horizontal="center" vertical="center" wrapText="1"/>
    </xf>
    <xf numFmtId="0" fontId="18" fillId="10" borderId="32" xfId="0" applyFont="1" applyFill="1" applyBorder="1" applyAlignment="1">
      <alignment horizontal="center" vertical="center" wrapText="1"/>
    </xf>
    <xf numFmtId="0" fontId="22" fillId="10" borderId="32" xfId="0" applyFont="1" applyFill="1" applyBorder="1" applyAlignment="1">
      <alignment horizontal="center" vertical="center" wrapText="1"/>
    </xf>
    <xf numFmtId="0" fontId="18" fillId="10" borderId="33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0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0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0" xfId="0" applyFont="1" applyBorder="1" applyAlignment="1">
      <alignment horizontal="center"/>
    </xf>
    <xf numFmtId="1" fontId="36" fillId="0" borderId="30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0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0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7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28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14" fillId="14" borderId="55" xfId="0" applyFont="1" applyFill="1" applyBorder="1" applyAlignment="1">
      <alignment horizontal="center" vertical="center" wrapText="1"/>
    </xf>
    <xf numFmtId="0" fontId="14" fillId="25" borderId="55" xfId="0" applyFont="1" applyFill="1" applyBorder="1" applyAlignment="1">
      <alignment horizontal="center" vertical="center" wrapText="1"/>
    </xf>
    <xf numFmtId="0" fontId="14" fillId="13" borderId="55" xfId="0" applyFont="1" applyFill="1" applyBorder="1" applyAlignment="1">
      <alignment horizontal="center" vertical="center" wrapText="1"/>
    </xf>
    <xf numFmtId="14" fontId="21" fillId="14" borderId="55" xfId="0" applyNumberFormat="1" applyFont="1" applyFill="1" applyBorder="1" applyAlignment="1">
      <alignment horizontal="center"/>
    </xf>
    <xf numFmtId="0" fontId="21" fillId="25" borderId="55" xfId="0" applyFont="1" applyFill="1" applyBorder="1" applyAlignment="1">
      <alignment horizontal="center" vertical="center" wrapText="1"/>
    </xf>
    <xf numFmtId="1" fontId="21" fillId="0" borderId="55" xfId="0" applyNumberFormat="1" applyFont="1" applyBorder="1" applyAlignment="1">
      <alignment horizontal="center"/>
    </xf>
    <xf numFmtId="0" fontId="21" fillId="13" borderId="55" xfId="0" applyFont="1" applyFill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1" fillId="7" borderId="5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4" fillId="0" borderId="5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23" fillId="27" borderId="55" xfId="0" applyFont="1" applyFill="1" applyBorder="1" applyAlignment="1">
      <alignment horizontal="center" vertical="center"/>
    </xf>
    <xf numFmtId="0" fontId="23" fillId="27" borderId="19" xfId="0" applyFont="1" applyFill="1" applyBorder="1" applyAlignment="1">
      <alignment horizontal="center" vertical="center"/>
    </xf>
    <xf numFmtId="0" fontId="23" fillId="30" borderId="55" xfId="0" applyFont="1" applyFill="1" applyBorder="1" applyAlignment="1">
      <alignment horizontal="center" vertical="center"/>
    </xf>
    <xf numFmtId="0" fontId="23" fillId="26" borderId="19" xfId="0" applyFont="1" applyFill="1" applyBorder="1" applyAlignment="1">
      <alignment horizontal="center" vertical="center"/>
    </xf>
    <xf numFmtId="14" fontId="21" fillId="14" borderId="56" xfId="0" applyNumberFormat="1" applyFont="1" applyFill="1" applyBorder="1" applyAlignment="1">
      <alignment horizontal="center"/>
    </xf>
    <xf numFmtId="0" fontId="21" fillId="25" borderId="56" xfId="0" applyFont="1" applyFill="1" applyBorder="1" applyAlignment="1">
      <alignment horizontal="center" vertical="center" wrapText="1"/>
    </xf>
    <xf numFmtId="0" fontId="21" fillId="13" borderId="56" xfId="0" applyFont="1" applyFill="1" applyBorder="1" applyAlignment="1">
      <alignment horizontal="center" vertical="center" wrapText="1"/>
    </xf>
    <xf numFmtId="0" fontId="21" fillId="7" borderId="56" xfId="0" applyFont="1" applyFill="1" applyBorder="1" applyAlignment="1">
      <alignment horizontal="center" vertical="center" wrapText="1"/>
    </xf>
    <xf numFmtId="0" fontId="19" fillId="31" borderId="10" xfId="0" applyFont="1" applyFill="1" applyBorder="1" applyAlignment="1">
      <alignment horizontal="center" vertical="center"/>
    </xf>
    <xf numFmtId="0" fontId="23" fillId="32" borderId="57" xfId="0" applyFont="1" applyFill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23" fillId="33" borderId="55" xfId="0" applyFont="1" applyFill="1" applyBorder="1" applyAlignment="1">
      <alignment horizontal="center" vertical="center"/>
    </xf>
    <xf numFmtId="0" fontId="23" fillId="30" borderId="24" xfId="0" applyFont="1" applyFill="1" applyBorder="1" applyAlignment="1">
      <alignment horizontal="center" vertical="center"/>
    </xf>
    <xf numFmtId="0" fontId="23" fillId="33" borderId="57" xfId="0" applyFont="1" applyFill="1" applyBorder="1" applyAlignment="1">
      <alignment horizontal="center" vertical="center"/>
    </xf>
    <xf numFmtId="0" fontId="23" fillId="34" borderId="55" xfId="0" applyFont="1" applyFill="1" applyBorder="1" applyAlignment="1">
      <alignment horizontal="center" vertical="center"/>
    </xf>
    <xf numFmtId="0" fontId="23" fillId="35" borderId="55" xfId="0" applyFont="1" applyFill="1" applyBorder="1" applyAlignment="1">
      <alignment horizontal="center" vertical="center"/>
    </xf>
    <xf numFmtId="0" fontId="23" fillId="34" borderId="57" xfId="0" applyFont="1" applyFill="1" applyBorder="1" applyAlignment="1">
      <alignment horizontal="center" vertical="center"/>
    </xf>
    <xf numFmtId="0" fontId="23" fillId="35" borderId="57" xfId="0" applyFont="1" applyFill="1" applyBorder="1" applyAlignment="1">
      <alignment horizontal="center" vertical="center"/>
    </xf>
    <xf numFmtId="3" fontId="14" fillId="0" borderId="56" xfId="0" applyNumberFormat="1" applyFont="1" applyBorder="1" applyAlignment="1">
      <alignment horizontal="center" vertical="center"/>
    </xf>
    <xf numFmtId="3" fontId="14" fillId="0" borderId="55" xfId="0" applyNumberFormat="1" applyFont="1" applyBorder="1" applyAlignment="1">
      <alignment horizontal="center" vertical="center"/>
    </xf>
    <xf numFmtId="0" fontId="7" fillId="5" borderId="58" xfId="0" applyFont="1" applyFill="1" applyBorder="1" applyAlignment="1">
      <alignment horizontal="center" vertical="center"/>
    </xf>
    <xf numFmtId="0" fontId="38" fillId="15" borderId="59" xfId="0" applyFont="1" applyFill="1" applyBorder="1" applyAlignment="1">
      <alignment horizontal="center" vertical="center"/>
    </xf>
    <xf numFmtId="0" fontId="27" fillId="0" borderId="39" xfId="0" applyFont="1" applyBorder="1" applyAlignment="1">
      <alignment horizontal="center"/>
    </xf>
    <xf numFmtId="0" fontId="0" fillId="0" borderId="55" xfId="0" applyBorder="1"/>
    <xf numFmtId="0" fontId="27" fillId="0" borderId="41" xfId="0" applyFont="1" applyBorder="1"/>
    <xf numFmtId="0" fontId="28" fillId="0" borderId="19" xfId="0" applyFont="1" applyBorder="1" applyAlignment="1">
      <alignment horizontal="center" vertical="center" wrapText="1"/>
    </xf>
    <xf numFmtId="0" fontId="28" fillId="0" borderId="55" xfId="0" applyFont="1" applyBorder="1" applyAlignment="1">
      <alignment vertical="center"/>
    </xf>
    <xf numFmtId="0" fontId="28" fillId="0" borderId="55" xfId="0" applyFont="1" applyBorder="1" applyAlignment="1">
      <alignment horizontal="center" vertical="center" wrapText="1"/>
    </xf>
    <xf numFmtId="0" fontId="28" fillId="0" borderId="24" xfId="0" applyFont="1" applyBorder="1" applyAlignment="1">
      <alignment vertical="center"/>
    </xf>
    <xf numFmtId="0" fontId="27" fillId="0" borderId="57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 wrapText="1"/>
    </xf>
    <xf numFmtId="2" fontId="7" fillId="8" borderId="35" xfId="0" applyNumberFormat="1" applyFont="1" applyFill="1" applyBorder="1" applyAlignment="1">
      <alignment horizontal="center" vertical="center"/>
    </xf>
    <xf numFmtId="2" fontId="7" fillId="8" borderId="36" xfId="0" applyNumberFormat="1" applyFont="1" applyFill="1" applyBorder="1" applyAlignment="1">
      <alignment horizontal="center" vertical="center"/>
    </xf>
    <xf numFmtId="2" fontId="1" fillId="6" borderId="28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1" xfId="0" applyFont="1" applyFill="1" applyBorder="1" applyAlignment="1">
      <alignment horizontal="center" vertical="center" wrapText="1"/>
    </xf>
    <xf numFmtId="0" fontId="9" fillId="8" borderId="37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29" xfId="0" applyFont="1" applyFill="1" applyBorder="1" applyAlignment="1">
      <alignment horizontal="center" vertical="center" wrapText="1"/>
    </xf>
    <xf numFmtId="0" fontId="9" fillId="8" borderId="30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28" xfId="0" applyFont="1" applyFill="1" applyBorder="1" applyAlignment="1">
      <alignment horizontal="center" vertical="center"/>
    </xf>
    <xf numFmtId="0" fontId="10" fillId="28" borderId="34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28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28" xfId="0" applyFont="1" applyFill="1" applyBorder="1" applyAlignment="1">
      <alignment horizontal="center" vertical="center" wrapText="1"/>
    </xf>
    <xf numFmtId="0" fontId="1" fillId="5" borderId="3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28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28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28" xfId="0" applyNumberFormat="1" applyFont="1" applyFill="1" applyBorder="1" applyAlignment="1">
      <alignment horizontal="center" vertical="center" wrapText="1"/>
    </xf>
    <xf numFmtId="2" fontId="11" fillId="7" borderId="34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28" xfId="0" applyNumberFormat="1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7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38" xfId="0" applyNumberFormat="1" applyFont="1" applyFill="1" applyBorder="1" applyAlignment="1">
      <alignment horizontal="center" vertical="center" wrapText="1"/>
    </xf>
    <xf numFmtId="2" fontId="25" fillId="6" borderId="29" xfId="0" applyNumberFormat="1" applyFont="1" applyFill="1" applyBorder="1" applyAlignment="1">
      <alignment horizontal="center" vertical="center" wrapText="1"/>
    </xf>
    <xf numFmtId="2" fontId="25" fillId="6" borderId="30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28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4" xfId="0" applyNumberFormat="1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28" xfId="0" applyNumberFormat="1" applyFont="1" applyFill="1" applyBorder="1" applyAlignment="1">
      <alignment horizontal="center" vertical="center" wrapText="1"/>
    </xf>
    <xf numFmtId="2" fontId="12" fillId="6" borderId="34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28" xfId="0" applyNumberFormat="1" applyFont="1" applyFill="1" applyBorder="1" applyAlignment="1">
      <alignment horizontal="center" vertical="center"/>
    </xf>
    <xf numFmtId="2" fontId="2" fillId="4" borderId="34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55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38" xfId="0" applyFont="1" applyBorder="1" applyAlignment="1">
      <alignment horizontal="center" vertical="center" wrapText="1" readingOrder="1"/>
    </xf>
    <xf numFmtId="0" fontId="1" fillId="0" borderId="30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55" xfId="0" applyFont="1" applyFill="1" applyBorder="1" applyAlignment="1">
      <alignment horizontal="center"/>
    </xf>
    <xf numFmtId="0" fontId="14" fillId="14" borderId="55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55" xfId="0" applyFont="1" applyFill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2" xfId="0" applyFont="1" applyFill="1" applyBorder="1" applyAlignment="1">
      <alignment horizontal="center" vertical="center"/>
    </xf>
    <xf numFmtId="0" fontId="18" fillId="12" borderId="43" xfId="0" applyFont="1" applyFill="1" applyBorder="1" applyAlignment="1">
      <alignment horizontal="center" vertical="center"/>
    </xf>
    <xf numFmtId="0" fontId="18" fillId="12" borderId="44" xfId="0" applyFont="1" applyFill="1" applyBorder="1" applyAlignment="1">
      <alignment horizontal="center" vertical="center"/>
    </xf>
    <xf numFmtId="0" fontId="18" fillId="12" borderId="45" xfId="0" applyFont="1" applyFill="1" applyBorder="1" applyAlignment="1">
      <alignment horizontal="center" vertical="center"/>
    </xf>
    <xf numFmtId="0" fontId="18" fillId="0" borderId="28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18" fillId="0" borderId="46" xfId="0" applyFont="1" applyBorder="1" applyAlignment="1">
      <alignment horizontal="center"/>
    </xf>
    <xf numFmtId="0" fontId="18" fillId="0" borderId="47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39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1" xfId="0" applyFont="1" applyBorder="1" applyAlignment="1">
      <alignment horizontal="center" vertical="center" wrapText="1"/>
    </xf>
    <xf numFmtId="0" fontId="41" fillId="0" borderId="37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29" xfId="0" applyFont="1" applyBorder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0" fontId="42" fillId="0" borderId="31" xfId="0" applyFont="1" applyBorder="1" applyAlignment="1">
      <alignment horizontal="center" vertical="center"/>
    </xf>
    <xf numFmtId="0" fontId="42" fillId="0" borderId="37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29" xfId="0" applyFont="1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38" xfId="0" applyFont="1" applyBorder="1" applyAlignment="1">
      <alignment horizontal="center" vertical="center"/>
    </xf>
    <xf numFmtId="0" fontId="43" fillId="0" borderId="29" xfId="0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39" xfId="0" applyNumberFormat="1" applyFont="1" applyBorder="1" applyAlignment="1">
      <alignment horizontal="center" vertical="center" readingOrder="2"/>
    </xf>
    <xf numFmtId="14" fontId="0" fillId="0" borderId="41" xfId="0" applyNumberFormat="1" applyBorder="1" applyAlignment="1">
      <alignment horizontal="center" vertical="center" readingOrder="2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48" xfId="0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wrapText="1"/>
    </xf>
    <xf numFmtId="0" fontId="29" fillId="0" borderId="39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5" xfId="0" applyBorder="1" applyAlignment="1">
      <alignment horizontal="center"/>
    </xf>
    <xf numFmtId="0" fontId="0" fillId="0" borderId="50" xfId="0" applyBorder="1" applyAlignment="1">
      <alignment horizontal="center"/>
    </xf>
    <xf numFmtId="0" fontId="44" fillId="17" borderId="26" xfId="0" applyFont="1" applyFill="1" applyBorder="1" applyAlignment="1">
      <alignment horizontal="left"/>
    </xf>
    <xf numFmtId="0" fontId="44" fillId="17" borderId="23" xfId="0" applyFont="1" applyFill="1" applyBorder="1" applyAlignment="1">
      <alignment horizontal="left"/>
    </xf>
    <xf numFmtId="0" fontId="0" fillId="0" borderId="2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1" xfId="0" applyBorder="1" applyAlignment="1">
      <alignment horizontal="center"/>
    </xf>
    <xf numFmtId="0" fontId="29" fillId="0" borderId="52" xfId="0" applyFont="1" applyBorder="1" applyAlignment="1">
      <alignment horizontal="left" vertical="center"/>
    </xf>
    <xf numFmtId="0" fontId="29" fillId="0" borderId="53" xfId="0" applyFont="1" applyBorder="1" applyAlignment="1">
      <alignment horizontal="left" vertical="center"/>
    </xf>
    <xf numFmtId="0" fontId="29" fillId="0" borderId="54" xfId="0" applyFont="1" applyBorder="1" applyAlignment="1">
      <alignment horizontal="left" vertical="center"/>
    </xf>
    <xf numFmtId="0" fontId="29" fillId="0" borderId="26" xfId="0" applyFont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29" fillId="0" borderId="22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6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4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39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34" fillId="0" borderId="24" xfId="0" applyFont="1" applyBorder="1" applyAlignment="1">
      <alignment horizontal="left" vertical="center"/>
    </xf>
    <xf numFmtId="0" fontId="34" fillId="0" borderId="17" xfId="0" applyFont="1" applyBorder="1" applyAlignment="1">
      <alignment horizontal="left" vertical="center"/>
    </xf>
    <xf numFmtId="0" fontId="34" fillId="0" borderId="26" xfId="0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5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0" xfId="0" applyFont="1" applyBorder="1" applyAlignment="1">
      <alignment horizontal="left" vertical="top"/>
    </xf>
    <xf numFmtId="0" fontId="31" fillId="0" borderId="39" xfId="0" applyFont="1" applyBorder="1" applyAlignment="1">
      <alignment horizontal="center"/>
    </xf>
    <xf numFmtId="0" fontId="31" fillId="0" borderId="41" xfId="0" applyFont="1" applyBorder="1" applyAlignment="1">
      <alignment horizontal="center"/>
    </xf>
    <xf numFmtId="0" fontId="0" fillId="0" borderId="55" xfId="0" applyBorder="1" applyAlignment="1">
      <alignment horizontal="left"/>
    </xf>
    <xf numFmtId="0" fontId="29" fillId="0" borderId="18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1" xfId="0" applyFont="1" applyBorder="1" applyAlignment="1">
      <alignment horizontal="center" vertical="center"/>
    </xf>
    <xf numFmtId="0" fontId="27" fillId="0" borderId="37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39" xfId="0" applyFont="1" applyBorder="1" applyAlignment="1">
      <alignment horizontal="right" vertical="center"/>
    </xf>
    <xf numFmtId="0" fontId="27" fillId="0" borderId="41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0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0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7" xfId="0" applyFont="1" applyBorder="1" applyAlignment="1">
      <alignment horizontal="left"/>
    </xf>
    <xf numFmtId="0" fontId="41" fillId="0" borderId="23" xfId="0" applyFont="1" applyBorder="1" applyAlignment="1">
      <alignment horizontal="left"/>
    </xf>
    <xf numFmtId="0" fontId="29" fillId="0" borderId="39" xfId="0" applyFont="1" applyBorder="1" applyAlignment="1">
      <alignment horizontal="left"/>
    </xf>
    <xf numFmtId="0" fontId="29" fillId="0" borderId="40" xfId="0" applyFont="1" applyBorder="1" applyAlignment="1">
      <alignment horizontal="left"/>
    </xf>
    <xf numFmtId="0" fontId="29" fillId="0" borderId="41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4" xfId="0" applyFont="1" applyFill="1" applyBorder="1" applyAlignment="1">
      <alignment horizontal="left"/>
    </xf>
    <xf numFmtId="0" fontId="27" fillId="29" borderId="17" xfId="0" applyFont="1" applyFill="1" applyBorder="1" applyAlignment="1">
      <alignment horizontal="left"/>
    </xf>
    <xf numFmtId="0" fontId="27" fillId="29" borderId="27" xfId="0" applyFont="1" applyFill="1" applyBorder="1" applyAlignment="1">
      <alignment horizontal="left"/>
    </xf>
    <xf numFmtId="0" fontId="27" fillId="29" borderId="26" xfId="0" applyFont="1" applyFill="1" applyBorder="1" applyAlignment="1">
      <alignment horizontal="left"/>
    </xf>
    <xf numFmtId="0" fontId="27" fillId="29" borderId="23" xfId="0" applyFont="1" applyFill="1" applyBorder="1" applyAlignment="1">
      <alignment horizontal="left"/>
    </xf>
    <xf numFmtId="0" fontId="27" fillId="29" borderId="22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39" xfId="0" applyFont="1" applyFill="1" applyBorder="1" applyAlignment="1">
      <alignment horizontal="left"/>
    </xf>
    <xf numFmtId="0" fontId="47" fillId="18" borderId="40" xfId="0" applyFont="1" applyFill="1" applyBorder="1" applyAlignment="1">
      <alignment horizontal="left"/>
    </xf>
    <xf numFmtId="0" fontId="47" fillId="18" borderId="41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39" xfId="0" applyFont="1" applyBorder="1" applyAlignment="1">
      <alignment horizontal="center"/>
    </xf>
    <xf numFmtId="0" fontId="27" fillId="0" borderId="41" xfId="0" applyFont="1" applyBorder="1" applyAlignment="1">
      <alignment horizontal="center"/>
    </xf>
    <xf numFmtId="0" fontId="27" fillId="0" borderId="55" xfId="0" applyFont="1" applyBorder="1" applyAlignment="1">
      <alignment horizontal="center" vertic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28" xfId="0" applyFont="1" applyFill="1" applyBorder="1" applyAlignment="1">
      <alignment horizontal="center"/>
    </xf>
    <xf numFmtId="0" fontId="0" fillId="19" borderId="34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29" xfId="0" applyFont="1" applyFill="1" applyBorder="1" applyAlignment="1">
      <alignment horizontal="center"/>
    </xf>
    <xf numFmtId="0" fontId="0" fillId="19" borderId="30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39" xfId="0" applyFill="1" applyBorder="1" applyAlignment="1">
      <alignment horizontal="center"/>
    </xf>
    <xf numFmtId="0" fontId="0" fillId="18" borderId="40" xfId="0" applyFill="1" applyBorder="1" applyAlignment="1">
      <alignment horizontal="center"/>
    </xf>
    <xf numFmtId="0" fontId="0" fillId="18" borderId="41" xfId="0" applyFill="1" applyBorder="1" applyAlignment="1">
      <alignment horizontal="center"/>
    </xf>
    <xf numFmtId="0" fontId="24" fillId="19" borderId="34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55" xfId="0" applyBorder="1" applyAlignment="1">
      <alignment horizontal="center" vertical="center"/>
    </xf>
    <xf numFmtId="165" fontId="27" fillId="17" borderId="55" xfId="0" applyNumberFormat="1" applyFont="1" applyFill="1" applyBorder="1" applyAlignment="1">
      <alignment horizontal="center" vertical="center"/>
    </xf>
    <xf numFmtId="165" fontId="27" fillId="17" borderId="60" xfId="0" applyNumberFormat="1" applyFont="1" applyFill="1" applyBorder="1" applyAlignment="1">
      <alignment horizontal="center" vertical="center"/>
    </xf>
    <xf numFmtId="0" fontId="27" fillId="20" borderId="55" xfId="0" applyFont="1" applyFill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17" xfId="0" applyBorder="1" applyAlignment="1"/>
    <xf numFmtId="0" fontId="29" fillId="0" borderId="39" xfId="0" applyFont="1" applyBorder="1" applyAlignment="1"/>
    <xf numFmtId="0" fontId="29" fillId="0" borderId="40" xfId="0" applyFont="1" applyBorder="1" applyAlignment="1"/>
    <xf numFmtId="0" fontId="29" fillId="0" borderId="41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167</c:v>
                </c:pt>
                <c:pt idx="1">
                  <c:v>159</c:v>
                </c:pt>
                <c:pt idx="2">
                  <c:v>157</c:v>
                </c:pt>
                <c:pt idx="3">
                  <c:v>141</c:v>
                </c:pt>
                <c:pt idx="4">
                  <c:v>151</c:v>
                </c:pt>
                <c:pt idx="5">
                  <c:v>156</c:v>
                </c:pt>
                <c:pt idx="6">
                  <c:v>162</c:v>
                </c:pt>
                <c:pt idx="7">
                  <c:v>130</c:v>
                </c:pt>
                <c:pt idx="8">
                  <c:v>100</c:v>
                </c:pt>
                <c:pt idx="9">
                  <c:v>121</c:v>
                </c:pt>
                <c:pt idx="10">
                  <c:v>106</c:v>
                </c:pt>
                <c:pt idx="11">
                  <c:v>104</c:v>
                </c:pt>
                <c:pt idx="12">
                  <c:v>110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4739</c:v>
                </c:pt>
                <c:pt idx="1">
                  <c:v>4247</c:v>
                </c:pt>
                <c:pt idx="2">
                  <c:v>4630</c:v>
                </c:pt>
                <c:pt idx="3">
                  <c:v>3876</c:v>
                </c:pt>
                <c:pt idx="4">
                  <c:v>4399</c:v>
                </c:pt>
                <c:pt idx="5">
                  <c:v>4942</c:v>
                </c:pt>
                <c:pt idx="6">
                  <c:v>4033</c:v>
                </c:pt>
                <c:pt idx="7">
                  <c:v>3937</c:v>
                </c:pt>
                <c:pt idx="8">
                  <c:v>4846</c:v>
                </c:pt>
                <c:pt idx="9">
                  <c:v>4039</c:v>
                </c:pt>
                <c:pt idx="10">
                  <c:v>3978</c:v>
                </c:pt>
                <c:pt idx="11">
                  <c:v>4249</c:v>
                </c:pt>
                <c:pt idx="12">
                  <c:v>4294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8544</c:v>
                </c:pt>
                <c:pt idx="1">
                  <c:v>6243</c:v>
                </c:pt>
                <c:pt idx="2">
                  <c:v>6449</c:v>
                </c:pt>
                <c:pt idx="3">
                  <c:v>6438</c:v>
                </c:pt>
                <c:pt idx="4">
                  <c:v>6321</c:v>
                </c:pt>
                <c:pt idx="5">
                  <c:v>6153</c:v>
                </c:pt>
                <c:pt idx="6">
                  <c:v>6163</c:v>
                </c:pt>
                <c:pt idx="7">
                  <c:v>5971</c:v>
                </c:pt>
                <c:pt idx="8">
                  <c:v>6010</c:v>
                </c:pt>
                <c:pt idx="9">
                  <c:v>6059</c:v>
                </c:pt>
                <c:pt idx="10">
                  <c:v>5843</c:v>
                </c:pt>
                <c:pt idx="11">
                  <c:v>6040</c:v>
                </c:pt>
                <c:pt idx="12">
                  <c:v>6314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3818</c:v>
                </c:pt>
                <c:pt idx="1">
                  <c:v>2852</c:v>
                </c:pt>
                <c:pt idx="2">
                  <c:v>3269</c:v>
                </c:pt>
                <c:pt idx="3">
                  <c:v>2987</c:v>
                </c:pt>
                <c:pt idx="4">
                  <c:v>2925</c:v>
                </c:pt>
                <c:pt idx="5">
                  <c:v>2919</c:v>
                </c:pt>
                <c:pt idx="6">
                  <c:v>2760</c:v>
                </c:pt>
                <c:pt idx="7">
                  <c:v>2943</c:v>
                </c:pt>
                <c:pt idx="8">
                  <c:v>2836</c:v>
                </c:pt>
                <c:pt idx="9">
                  <c:v>2923</c:v>
                </c:pt>
                <c:pt idx="10">
                  <c:v>2756</c:v>
                </c:pt>
                <c:pt idx="11">
                  <c:v>3060</c:v>
                </c:pt>
                <c:pt idx="12">
                  <c:v>2846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415.98973000000001</c:v>
                </c:pt>
                <c:pt idx="1">
                  <c:v>639.98419999999999</c:v>
                </c:pt>
                <c:pt idx="2">
                  <c:v>639.98419999999999</c:v>
                </c:pt>
                <c:pt idx="3">
                  <c:v>577.07460000000003</c:v>
                </c:pt>
                <c:pt idx="4">
                  <c:v>671.98341000000005</c:v>
                </c:pt>
                <c:pt idx="5">
                  <c:v>607.98499000000004</c:v>
                </c:pt>
                <c:pt idx="6">
                  <c:v>383.99052</c:v>
                </c:pt>
                <c:pt idx="7">
                  <c:v>863.97867000000008</c:v>
                </c:pt>
                <c:pt idx="8">
                  <c:v>479.98815000000002</c:v>
                </c:pt>
                <c:pt idx="9">
                  <c:v>543.98657000000003</c:v>
                </c:pt>
                <c:pt idx="10">
                  <c:v>639.98419999999999</c:v>
                </c:pt>
                <c:pt idx="11">
                  <c:v>319.99209999999999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590667</c:v>
                </c:pt>
                <c:pt idx="9">
                  <c:v>522652</c:v>
                </c:pt>
                <c:pt idx="10">
                  <c:v>477601</c:v>
                </c:pt>
                <c:pt idx="11">
                  <c:v>407006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  <c:pt idx="11">
                  <c:v>2091.1000000000058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  <c:pt idx="11">
                  <c:v>23861.540000000066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  <c:pt idx="11">
                  <c:v>12106.165000000001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GAZ'!$C$24:$N$24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2</xdr:row>
      <xdr:rowOff>438150</xdr:rowOff>
    </xdr:from>
    <xdr:to>
      <xdr:col>22</xdr:col>
      <xdr:colOff>704850</xdr:colOff>
      <xdr:row>21</xdr:row>
      <xdr:rowOff>66675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22</xdr:row>
      <xdr:rowOff>0</xdr:rowOff>
    </xdr:from>
    <xdr:to>
      <xdr:col>22</xdr:col>
      <xdr:colOff>666750</xdr:colOff>
      <xdr:row>37</xdr:row>
      <xdr:rowOff>190500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142875</xdr:colOff>
      <xdr:row>38</xdr:row>
      <xdr:rowOff>57150</xdr:rowOff>
    </xdr:from>
    <xdr:to>
      <xdr:col>22</xdr:col>
      <xdr:colOff>723900</xdr:colOff>
      <xdr:row>47</xdr:row>
      <xdr:rowOff>219075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114300</xdr:rowOff>
    </xdr:from>
    <xdr:to>
      <xdr:col>1</xdr:col>
      <xdr:colOff>180975</xdr:colOff>
      <xdr:row>3</xdr:row>
      <xdr:rowOff>38100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14300"/>
          <a:ext cx="8286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171450</xdr:rowOff>
    </xdr:from>
    <xdr:to>
      <xdr:col>0</xdr:col>
      <xdr:colOff>904875</xdr:colOff>
      <xdr:row>2</xdr:row>
      <xdr:rowOff>133350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  <a:ext uri="{147F2762-F138-4A5C-976F-8EAC2B608ADB}">
              <a16:predDERef xmlns:a16="http://schemas.microsoft.com/office/drawing/2014/main" pre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71450"/>
          <a:ext cx="8096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29</xdr:row>
      <xdr:rowOff>28575</xdr:rowOff>
    </xdr:from>
    <xdr:to>
      <xdr:col>13</xdr:col>
      <xdr:colOff>447675</xdr:colOff>
      <xdr:row>50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29</xdr:row>
      <xdr:rowOff>47625</xdr:rowOff>
    </xdr:from>
    <xdr:to>
      <xdr:col>6</xdr:col>
      <xdr:colOff>638175</xdr:colOff>
      <xdr:row>50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30</xdr:row>
      <xdr:rowOff>28575</xdr:rowOff>
    </xdr:from>
    <xdr:to>
      <xdr:col>13</xdr:col>
      <xdr:colOff>981075</xdr:colOff>
      <xdr:row>53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30</xdr:row>
      <xdr:rowOff>9525</xdr:rowOff>
    </xdr:from>
    <xdr:to>
      <xdr:col>6</xdr:col>
      <xdr:colOff>238125</xdr:colOff>
      <xdr:row>53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30</xdr:row>
      <xdr:rowOff>28575</xdr:rowOff>
    </xdr:from>
    <xdr:to>
      <xdr:col>13</xdr:col>
      <xdr:colOff>1114425</xdr:colOff>
      <xdr:row>54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30</xdr:row>
      <xdr:rowOff>9525</xdr:rowOff>
    </xdr:from>
    <xdr:to>
      <xdr:col>7</xdr:col>
      <xdr:colOff>66675</xdr:colOff>
      <xdr:row>54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AJ41"/>
  <sheetViews>
    <sheetView workbookViewId="0">
      <selection activeCell="G13" sqref="G13"/>
    </sheetView>
  </sheetViews>
  <sheetFormatPr defaultColWidth="8.85546875" defaultRowHeight="12.75"/>
  <cols>
    <col min="1" max="1" width="12.42578125" style="47" customWidth="1"/>
    <col min="2" max="3" width="8.85546875" style="131" customWidth="1"/>
    <col min="4" max="4" width="13.42578125" style="132" customWidth="1"/>
    <col min="5" max="5" width="12.5703125" style="128" customWidth="1"/>
    <col min="6" max="6" width="12.5703125" style="47" customWidth="1"/>
    <col min="7" max="10" width="8.85546875" style="47" customWidth="1"/>
    <col min="11" max="12" width="8.85546875" style="128" customWidth="1"/>
    <col min="13" max="13" width="0" hidden="1" customWidth="1"/>
    <col min="19" max="19" width="6.7109375" customWidth="1"/>
  </cols>
  <sheetData>
    <row r="1" spans="1:36" s="94" customFormat="1" ht="75.75" thickBot="1">
      <c r="A1" s="126" t="s">
        <v>0</v>
      </c>
      <c r="B1" s="129" t="s">
        <v>1</v>
      </c>
      <c r="C1" s="129" t="s">
        <v>2</v>
      </c>
      <c r="D1" s="130" t="s">
        <v>3</v>
      </c>
      <c r="E1" s="136" t="s">
        <v>4</v>
      </c>
      <c r="F1" s="133" t="s">
        <v>5</v>
      </c>
      <c r="G1" s="133" t="s">
        <v>6</v>
      </c>
      <c r="H1" s="133" t="s">
        <v>7</v>
      </c>
      <c r="I1" s="133" t="s">
        <v>8</v>
      </c>
      <c r="J1" s="133" t="s">
        <v>9</v>
      </c>
      <c r="K1" s="136" t="s">
        <v>10</v>
      </c>
      <c r="L1" s="136" t="s">
        <v>11</v>
      </c>
      <c r="M1" s="123" t="s">
        <v>12</v>
      </c>
    </row>
    <row r="2" spans="1:36">
      <c r="A2" s="127" t="s">
        <v>13</v>
      </c>
      <c r="B2" s="131">
        <v>1</v>
      </c>
      <c r="C2" s="131">
        <v>1</v>
      </c>
      <c r="D2" s="132">
        <v>2023</v>
      </c>
      <c r="E2" s="128">
        <f>submetering!E2+submetering!F2+submetering!G2</f>
        <v>17101</v>
      </c>
      <c r="F2" s="125">
        <v>1.05</v>
      </c>
      <c r="G2" s="125">
        <f>'Consommation mensuel énergie'!V10</f>
        <v>415.98973000000001</v>
      </c>
      <c r="H2" s="125">
        <v>12.53</v>
      </c>
      <c r="I2" s="125">
        <f>'Consommation mensuel énergie'!F10</f>
        <v>167</v>
      </c>
      <c r="J2" s="125">
        <v>11.4</v>
      </c>
      <c r="K2" s="128">
        <f>'Consommation mensuel énergie'!D10</f>
        <v>137</v>
      </c>
      <c r="L2" s="128">
        <f>'Consommation mensuel énergie'!E10</f>
        <v>257</v>
      </c>
      <c r="M2" s="124" t="e">
        <f>E2*F2+G2*H2+#REF!*#REF!+I2*J2</f>
        <v>#REF!</v>
      </c>
    </row>
    <row r="3" spans="1:36">
      <c r="A3" s="127" t="s">
        <v>13</v>
      </c>
      <c r="B3" s="131">
        <f>B2+1</f>
        <v>2</v>
      </c>
      <c r="C3" s="131">
        <v>1</v>
      </c>
      <c r="D3" s="132">
        <v>2023</v>
      </c>
      <c r="E3" s="128">
        <f>submetering!E3+submetering!F3+submetering!G3</f>
        <v>13342</v>
      </c>
      <c r="F3" s="125">
        <v>1.05</v>
      </c>
      <c r="G3" s="125">
        <f>'Consommation mensuel énergie'!V11</f>
        <v>639.98419999999999</v>
      </c>
      <c r="H3" s="125">
        <v>12.53</v>
      </c>
      <c r="I3" s="125">
        <f>'Consommation mensuel énergie'!F11</f>
        <v>159</v>
      </c>
      <c r="J3" s="125">
        <v>11.4</v>
      </c>
      <c r="K3" s="128">
        <f>'Consommation mensuel énergie'!D11</f>
        <v>121</v>
      </c>
      <c r="L3" s="128">
        <f>'Consommation mensuel énergie'!E11</f>
        <v>223</v>
      </c>
      <c r="M3" s="124" t="e">
        <f>E3*F3+G3*H3+#REF!*#REF!+I3*J3</f>
        <v>#REF!</v>
      </c>
    </row>
    <row r="4" spans="1:36">
      <c r="A4" s="127" t="s">
        <v>13</v>
      </c>
      <c r="B4" s="131">
        <f t="shared" ref="B4:B25" si="0">B3+1</f>
        <v>3</v>
      </c>
      <c r="C4" s="131">
        <v>1</v>
      </c>
      <c r="D4" s="132">
        <v>2023</v>
      </c>
      <c r="E4" s="128">
        <f>submetering!E4+submetering!F4+submetering!G4</f>
        <v>14348</v>
      </c>
      <c r="F4" s="125">
        <v>1.05</v>
      </c>
      <c r="G4" s="125">
        <f>'Consommation mensuel énergie'!V12</f>
        <v>639.98419999999999</v>
      </c>
      <c r="H4" s="125">
        <v>12.53</v>
      </c>
      <c r="I4" s="125">
        <f>'Consommation mensuel énergie'!F12</f>
        <v>157</v>
      </c>
      <c r="J4" s="125">
        <v>11.4</v>
      </c>
      <c r="K4" s="128">
        <f>'Consommation mensuel énergie'!D12</f>
        <v>113</v>
      </c>
      <c r="L4" s="128">
        <f>'Consommation mensuel énergie'!E12</f>
        <v>193</v>
      </c>
      <c r="M4" s="124" t="e">
        <f>E4*F4+G4*H4+#REF!*#REF!+I4*J4</f>
        <v>#REF!</v>
      </c>
    </row>
    <row r="5" spans="1:36">
      <c r="A5" s="127" t="s">
        <v>13</v>
      </c>
      <c r="B5" s="131">
        <f t="shared" si="0"/>
        <v>4</v>
      </c>
      <c r="C5" s="131">
        <v>1</v>
      </c>
      <c r="D5" s="132">
        <v>2023</v>
      </c>
      <c r="E5" s="128">
        <f>submetering!E5+submetering!F5+submetering!G5</f>
        <v>13301</v>
      </c>
      <c r="F5" s="125">
        <v>1.05</v>
      </c>
      <c r="G5" s="125">
        <f>'Consommation mensuel énergie'!V13</f>
        <v>577.07460000000003</v>
      </c>
      <c r="H5" s="125">
        <v>12.53</v>
      </c>
      <c r="I5" s="125">
        <f>'Consommation mensuel énergie'!F13</f>
        <v>141</v>
      </c>
      <c r="J5" s="125">
        <v>11.4</v>
      </c>
      <c r="K5" s="128">
        <f>'Consommation mensuel énergie'!D13</f>
        <v>99</v>
      </c>
      <c r="L5" s="128">
        <f>'Consommation mensuel énergie'!E13</f>
        <v>175</v>
      </c>
      <c r="M5" s="124" t="e">
        <f>E5*F5+G5*H5+#REF!*#REF!+I5*J5</f>
        <v>#REF!</v>
      </c>
    </row>
    <row r="6" spans="1:36">
      <c r="A6" s="127" t="s">
        <v>13</v>
      </c>
      <c r="B6" s="131">
        <f t="shared" si="0"/>
        <v>5</v>
      </c>
      <c r="C6" s="131">
        <v>1</v>
      </c>
      <c r="D6" s="132">
        <v>2023</v>
      </c>
      <c r="E6" s="128">
        <f>submetering!E6+submetering!F6+submetering!G6</f>
        <v>13645</v>
      </c>
      <c r="F6" s="125">
        <v>1.05</v>
      </c>
      <c r="G6" s="125">
        <f>'Consommation mensuel énergie'!V14</f>
        <v>671.98341000000005</v>
      </c>
      <c r="H6" s="125">
        <v>12.53</v>
      </c>
      <c r="I6" s="125">
        <f>'Consommation mensuel énergie'!F14</f>
        <v>151</v>
      </c>
      <c r="J6" s="125">
        <v>11.4</v>
      </c>
      <c r="K6" s="128">
        <f>'Consommation mensuel énergie'!D14</f>
        <v>99</v>
      </c>
      <c r="L6" s="128">
        <f>'Consommation mensuel énergie'!E14</f>
        <v>180</v>
      </c>
      <c r="M6" s="124" t="e">
        <f>E6*F6+G6*H6+#REF!*#REF!+I6*J6</f>
        <v>#REF!</v>
      </c>
    </row>
    <row r="7" spans="1:36">
      <c r="A7" s="127" t="s">
        <v>13</v>
      </c>
      <c r="B7" s="131">
        <f t="shared" si="0"/>
        <v>6</v>
      </c>
      <c r="C7" s="131">
        <v>1</v>
      </c>
      <c r="D7" s="132">
        <v>2023</v>
      </c>
      <c r="E7" s="128">
        <f>submetering!E7+submetering!F7+submetering!G7</f>
        <v>14014</v>
      </c>
      <c r="F7" s="125">
        <v>1.05</v>
      </c>
      <c r="G7" s="125">
        <f>'Consommation mensuel énergie'!V15</f>
        <v>607.98499000000004</v>
      </c>
      <c r="H7" s="125">
        <v>12.53</v>
      </c>
      <c r="I7" s="125">
        <f>'Consommation mensuel énergie'!F15</f>
        <v>156</v>
      </c>
      <c r="J7" s="125">
        <v>11.4</v>
      </c>
      <c r="K7" s="128">
        <f>'Consommation mensuel énergie'!D15</f>
        <v>126</v>
      </c>
      <c r="L7" s="128">
        <f>'Consommation mensuel énergie'!E15</f>
        <v>226</v>
      </c>
      <c r="M7" s="124" t="e">
        <f>E7*F7+G7*H7+#REF!*#REF!+I7*J7</f>
        <v>#REF!</v>
      </c>
    </row>
    <row r="8" spans="1:36">
      <c r="A8" s="127" t="s">
        <v>13</v>
      </c>
      <c r="B8" s="131">
        <f t="shared" si="0"/>
        <v>7</v>
      </c>
      <c r="C8" s="131">
        <v>1</v>
      </c>
      <c r="D8" s="132">
        <v>2023</v>
      </c>
      <c r="E8" s="128">
        <f>submetering!E8+submetering!F8+submetering!G8</f>
        <v>12956</v>
      </c>
      <c r="F8" s="125">
        <v>1.05</v>
      </c>
      <c r="G8" s="125">
        <f>'Consommation mensuel énergie'!V16</f>
        <v>383.99052</v>
      </c>
      <c r="H8" s="125">
        <v>12.53</v>
      </c>
      <c r="I8" s="125">
        <f>'Consommation mensuel énergie'!F16</f>
        <v>162</v>
      </c>
      <c r="J8" s="125">
        <v>11.4</v>
      </c>
      <c r="K8" s="128">
        <f>'Consommation mensuel énergie'!D16</f>
        <v>95</v>
      </c>
      <c r="L8" s="128">
        <f>'Consommation mensuel énergie'!E16</f>
        <v>157</v>
      </c>
      <c r="M8" s="124" t="e">
        <f>E8*F8+G8*H8+#REF!*#REF!+I8*J8</f>
        <v>#REF!</v>
      </c>
      <c r="AH8">
        <v>479.98815000000002</v>
      </c>
      <c r="AJ8">
        <v>6014.2515194999996</v>
      </c>
    </row>
    <row r="9" spans="1:36">
      <c r="A9" s="127" t="s">
        <v>13</v>
      </c>
      <c r="B9" s="131">
        <f t="shared" si="0"/>
        <v>8</v>
      </c>
      <c r="C9" s="131">
        <v>1</v>
      </c>
      <c r="D9" s="132">
        <v>2023</v>
      </c>
      <c r="E9" s="128">
        <f>submetering!E9+submetering!F9+submetering!G9</f>
        <v>12851</v>
      </c>
      <c r="F9" s="125">
        <v>1.05</v>
      </c>
      <c r="G9" s="125">
        <f>'Consommation mensuel énergie'!V17</f>
        <v>863.97867000000008</v>
      </c>
      <c r="H9" s="125">
        <v>12.53</v>
      </c>
      <c r="I9" s="125">
        <f>'Consommation mensuel énergie'!F17</f>
        <v>130</v>
      </c>
      <c r="J9" s="125">
        <v>11.4</v>
      </c>
      <c r="K9" s="128">
        <f>'Consommation mensuel énergie'!D17</f>
        <v>85</v>
      </c>
      <c r="L9" s="128">
        <f>'Consommation mensuel énergie'!E17</f>
        <v>139</v>
      </c>
      <c r="M9" s="124" t="e">
        <f>E9*F9+G9*H9+#REF!*#REF!+I9*J9</f>
        <v>#REF!</v>
      </c>
      <c r="AH9">
        <v>0</v>
      </c>
      <c r="AJ9">
        <v>0</v>
      </c>
    </row>
    <row r="10" spans="1:36">
      <c r="A10" s="127" t="s">
        <v>13</v>
      </c>
      <c r="B10" s="131">
        <f t="shared" si="0"/>
        <v>9</v>
      </c>
      <c r="C10" s="131">
        <v>1</v>
      </c>
      <c r="D10" s="132">
        <v>2023</v>
      </c>
      <c r="E10" s="128">
        <f>submetering!E10+submetering!F10+submetering!G10</f>
        <v>13692</v>
      </c>
      <c r="F10" s="125">
        <v>1.05</v>
      </c>
      <c r="G10" s="125">
        <f>'Consommation mensuel énergie'!V18</f>
        <v>479.98815000000002</v>
      </c>
      <c r="H10" s="125">
        <v>12.53</v>
      </c>
      <c r="I10" s="125">
        <f>'Consommation mensuel énergie'!F18</f>
        <v>100</v>
      </c>
      <c r="J10" s="125">
        <v>11.4</v>
      </c>
      <c r="K10" s="128">
        <f>'Consommation mensuel énergie'!D18</f>
        <v>70</v>
      </c>
      <c r="L10" s="128">
        <f>'Consommation mensuel énergie'!E18</f>
        <v>115</v>
      </c>
      <c r="M10" s="124" t="e">
        <f>E10*F10+G10*H10+#REF!*#REF!+I10*J10</f>
        <v>#REF!</v>
      </c>
    </row>
    <row r="11" spans="1:36">
      <c r="A11" s="127" t="s">
        <v>13</v>
      </c>
      <c r="B11" s="131">
        <f t="shared" si="0"/>
        <v>10</v>
      </c>
      <c r="C11" s="131">
        <v>1</v>
      </c>
      <c r="D11" s="132">
        <v>2023</v>
      </c>
      <c r="E11" s="128">
        <f>submetering!E11+submetering!F11+submetering!G11</f>
        <v>13021</v>
      </c>
      <c r="F11" s="125">
        <v>1.05</v>
      </c>
      <c r="G11" s="125">
        <f>'Consommation mensuel énergie'!V19</f>
        <v>543.98657000000003</v>
      </c>
      <c r="H11" s="125">
        <v>12.53</v>
      </c>
      <c r="I11" s="125">
        <f>'Consommation mensuel énergie'!F19</f>
        <v>121</v>
      </c>
      <c r="J11" s="125">
        <v>11.4</v>
      </c>
      <c r="K11" s="128">
        <f>'Consommation mensuel énergie'!D19</f>
        <v>75</v>
      </c>
      <c r="L11" s="128">
        <f>'Consommation mensuel énergie'!E19</f>
        <v>125</v>
      </c>
      <c r="M11" s="124" t="e">
        <f>E11*F11+G11*H11+#REF!*#REF!+I11*J11</f>
        <v>#REF!</v>
      </c>
    </row>
    <row r="12" spans="1:36">
      <c r="A12" s="127" t="s">
        <v>13</v>
      </c>
      <c r="B12" s="131">
        <f t="shared" si="0"/>
        <v>11</v>
      </c>
      <c r="C12" s="131">
        <v>1</v>
      </c>
      <c r="D12" s="132">
        <v>2023</v>
      </c>
      <c r="E12" s="128">
        <f>submetering!E12+submetering!F12+submetering!G12</f>
        <v>12577</v>
      </c>
      <c r="F12" s="125">
        <v>1.05</v>
      </c>
      <c r="G12" s="125">
        <f>'Consommation mensuel énergie'!V20</f>
        <v>639.98419999999999</v>
      </c>
      <c r="H12" s="125">
        <v>12.53</v>
      </c>
      <c r="I12" s="125">
        <f>'Consommation mensuel énergie'!F20</f>
        <v>106</v>
      </c>
      <c r="J12" s="125">
        <v>11.4</v>
      </c>
      <c r="K12" s="128">
        <f>'Consommation mensuel énergie'!D20</f>
        <v>67</v>
      </c>
      <c r="L12" s="128">
        <f>'Consommation mensuel énergie'!E20</f>
        <v>115</v>
      </c>
      <c r="M12" s="124" t="e">
        <f>E12*F12+G12*H12+#REF!*#REF!+I12*J12</f>
        <v>#REF!</v>
      </c>
    </row>
    <row r="13" spans="1:36">
      <c r="A13" s="127" t="s">
        <v>13</v>
      </c>
      <c r="B13" s="131">
        <f t="shared" si="0"/>
        <v>12</v>
      </c>
      <c r="C13" s="131">
        <v>1</v>
      </c>
      <c r="D13" s="132">
        <v>2023</v>
      </c>
      <c r="E13" s="128">
        <f>submetering!E13+submetering!F13+submetering!G13</f>
        <v>13349</v>
      </c>
      <c r="F13" s="125">
        <v>1.05</v>
      </c>
      <c r="G13" s="125">
        <f>'Consommation mensuel énergie'!V21</f>
        <v>319.99209999999999</v>
      </c>
      <c r="H13" s="125">
        <v>12.53</v>
      </c>
      <c r="I13" s="125">
        <f>'Consommation mensuel énergie'!F21</f>
        <v>104</v>
      </c>
      <c r="J13" s="125">
        <v>11.4</v>
      </c>
      <c r="K13" s="128">
        <f>'Consommation mensuel énergie'!D21</f>
        <v>77</v>
      </c>
      <c r="L13" s="128">
        <f>'Consommation mensuel énergie'!E21</f>
        <v>110</v>
      </c>
      <c r="M13" s="124" t="e">
        <f>E13*F13+G13*H13+#REF!*#REF!+I13*J13</f>
        <v>#REF!</v>
      </c>
    </row>
    <row r="14" spans="1:36">
      <c r="A14" s="127" t="s">
        <v>13</v>
      </c>
      <c r="B14" s="131">
        <f t="shared" si="0"/>
        <v>13</v>
      </c>
      <c r="C14" s="131">
        <v>1</v>
      </c>
      <c r="D14" s="132">
        <v>2023</v>
      </c>
      <c r="E14" s="128">
        <f>submetering!E14+submetering!F14+submetering!G14</f>
        <v>13454</v>
      </c>
      <c r="F14" s="125">
        <v>1.05</v>
      </c>
      <c r="G14" s="125">
        <f>'Consommation mensuel énergie'!V22</f>
        <v>0</v>
      </c>
      <c r="H14" s="125">
        <v>12.53</v>
      </c>
      <c r="I14" s="125">
        <f>'Consommation mensuel énergie'!F22</f>
        <v>110</v>
      </c>
      <c r="J14" s="125">
        <v>11.4</v>
      </c>
      <c r="K14" s="128">
        <f>'Consommation mensuel énergie'!D22</f>
        <v>0</v>
      </c>
      <c r="L14" s="128">
        <f>'Consommation mensuel énergie'!E22</f>
        <v>0</v>
      </c>
      <c r="M14" s="124" t="e">
        <f>E14*F14+G14*H14+#REF!*#REF!+I14*J14</f>
        <v>#REF!</v>
      </c>
    </row>
    <row r="15" spans="1:36">
      <c r="A15" s="127" t="s">
        <v>13</v>
      </c>
      <c r="B15" s="131">
        <f t="shared" si="0"/>
        <v>14</v>
      </c>
      <c r="C15" s="131">
        <v>1</v>
      </c>
      <c r="D15" s="132">
        <v>2023</v>
      </c>
      <c r="E15" s="128">
        <f>submetering!E15+submetering!F15+submetering!G15</f>
        <v>0</v>
      </c>
      <c r="F15" s="125">
        <v>1.05</v>
      </c>
      <c r="G15" s="125">
        <f>'Consommation mensuel énergie'!V23</f>
        <v>0</v>
      </c>
      <c r="H15" s="125">
        <v>12.53</v>
      </c>
      <c r="I15" s="125">
        <f>'Consommation mensuel énergie'!F23</f>
        <v>0</v>
      </c>
      <c r="J15" s="125">
        <v>11.4</v>
      </c>
      <c r="K15" s="128">
        <f>'Consommation mensuel énergie'!D23</f>
        <v>0</v>
      </c>
      <c r="L15" s="128">
        <f>'Consommation mensuel énergie'!E23</f>
        <v>0</v>
      </c>
      <c r="M15" s="124" t="e">
        <f>E15*F15+G15*H15+#REF!*#REF!+I15*J15</f>
        <v>#REF!</v>
      </c>
    </row>
    <row r="16" spans="1:36">
      <c r="A16" s="127" t="s">
        <v>13</v>
      </c>
      <c r="B16" s="131">
        <f t="shared" si="0"/>
        <v>15</v>
      </c>
      <c r="C16" s="131">
        <v>1</v>
      </c>
      <c r="D16" s="132">
        <v>2023</v>
      </c>
      <c r="E16" s="128">
        <f>submetering!E16+submetering!F16+submetering!G16</f>
        <v>0</v>
      </c>
      <c r="F16" s="125">
        <v>1.05</v>
      </c>
      <c r="G16" s="125">
        <f>'Consommation mensuel énergie'!V24</f>
        <v>0</v>
      </c>
      <c r="H16" s="125">
        <v>12.53</v>
      </c>
      <c r="I16" s="125">
        <f>'Consommation mensuel énergie'!F24</f>
        <v>0</v>
      </c>
      <c r="J16" s="125">
        <v>11.4</v>
      </c>
      <c r="K16" s="128">
        <f>'Consommation mensuel énergie'!D24</f>
        <v>0</v>
      </c>
      <c r="L16" s="128">
        <f>'Consommation mensuel énergie'!E24</f>
        <v>0</v>
      </c>
      <c r="M16" s="124" t="e">
        <f>E16*F16+G16*H16+#REF!*#REF!+I16*J16</f>
        <v>#REF!</v>
      </c>
    </row>
    <row r="17" spans="1:13">
      <c r="A17" s="127" t="s">
        <v>13</v>
      </c>
      <c r="B17" s="131">
        <f t="shared" si="0"/>
        <v>16</v>
      </c>
      <c r="C17" s="131">
        <v>1</v>
      </c>
      <c r="D17" s="132">
        <v>2023</v>
      </c>
      <c r="E17" s="128">
        <f>submetering!E17+submetering!F17+submetering!G17</f>
        <v>0</v>
      </c>
      <c r="F17" s="125">
        <v>1.05</v>
      </c>
      <c r="G17" s="125">
        <f>'Consommation mensuel énergie'!V25</f>
        <v>0</v>
      </c>
      <c r="H17" s="125">
        <v>12.53</v>
      </c>
      <c r="I17" s="125">
        <f>'Consommation mensuel énergie'!F25</f>
        <v>0</v>
      </c>
      <c r="J17" s="125">
        <v>11.4</v>
      </c>
      <c r="K17" s="128">
        <f>'Consommation mensuel énergie'!D25</f>
        <v>0</v>
      </c>
      <c r="L17" s="128">
        <f>'Consommation mensuel énergie'!E25</f>
        <v>0</v>
      </c>
      <c r="M17" s="124" t="e">
        <f>E17*F17+G17*H17+#REF!*#REF!+I17*J17</f>
        <v>#REF!</v>
      </c>
    </row>
    <row r="18" spans="1:13">
      <c r="A18" s="127" t="s">
        <v>13</v>
      </c>
      <c r="B18" s="131">
        <f t="shared" si="0"/>
        <v>17</v>
      </c>
      <c r="C18" s="131">
        <v>1</v>
      </c>
      <c r="D18" s="132">
        <v>2023</v>
      </c>
      <c r="E18" s="128">
        <f>submetering!E18+submetering!F18+submetering!G18</f>
        <v>0</v>
      </c>
      <c r="F18" s="125">
        <v>1.05</v>
      </c>
      <c r="G18" s="125">
        <f>'Consommation mensuel énergie'!V26</f>
        <v>0</v>
      </c>
      <c r="H18" s="125">
        <v>12.53</v>
      </c>
      <c r="I18" s="125">
        <f>'Consommation mensuel énergie'!F26</f>
        <v>0</v>
      </c>
      <c r="J18" s="125">
        <v>11.4</v>
      </c>
      <c r="K18" s="128">
        <f>'Consommation mensuel énergie'!D26</f>
        <v>0</v>
      </c>
      <c r="L18" s="128">
        <f>'Consommation mensuel énergie'!E26</f>
        <v>0</v>
      </c>
      <c r="M18" s="124" t="e">
        <f>E18*F18+G18*H18+#REF!*#REF!+I18*J18</f>
        <v>#REF!</v>
      </c>
    </row>
    <row r="19" spans="1:13">
      <c r="A19" s="127" t="s">
        <v>13</v>
      </c>
      <c r="B19" s="131">
        <f t="shared" si="0"/>
        <v>18</v>
      </c>
      <c r="C19" s="131">
        <v>1</v>
      </c>
      <c r="D19" s="132">
        <v>2023</v>
      </c>
      <c r="E19" s="128">
        <f>submetering!E19+submetering!F19+submetering!G19</f>
        <v>0</v>
      </c>
      <c r="F19" s="125">
        <v>1.05</v>
      </c>
      <c r="G19" s="125">
        <f>'Consommation mensuel énergie'!V27</f>
        <v>0</v>
      </c>
      <c r="H19" s="125">
        <v>12.53</v>
      </c>
      <c r="I19" s="125">
        <f>'Consommation mensuel énergie'!F27</f>
        <v>0</v>
      </c>
      <c r="J19" s="125">
        <v>11.4</v>
      </c>
      <c r="K19" s="128">
        <f>'Consommation mensuel énergie'!D27</f>
        <v>0</v>
      </c>
      <c r="L19" s="128">
        <f>'Consommation mensuel énergie'!E27</f>
        <v>0</v>
      </c>
      <c r="M19" s="124" t="e">
        <f>E19*F19+G19*H19+#REF!*#REF!+I19*J19</f>
        <v>#REF!</v>
      </c>
    </row>
    <row r="20" spans="1:13">
      <c r="A20" s="127" t="s">
        <v>13</v>
      </c>
      <c r="B20" s="131">
        <f t="shared" si="0"/>
        <v>19</v>
      </c>
      <c r="C20" s="131">
        <v>1</v>
      </c>
      <c r="D20" s="132">
        <v>2023</v>
      </c>
      <c r="E20" s="128">
        <f>submetering!E20+submetering!F20+submetering!G20</f>
        <v>0</v>
      </c>
      <c r="F20" s="125">
        <v>1.05</v>
      </c>
      <c r="G20" s="125">
        <f>'Consommation mensuel énergie'!V28</f>
        <v>0</v>
      </c>
      <c r="H20" s="125">
        <v>12.53</v>
      </c>
      <c r="I20" s="125">
        <f>'Consommation mensuel énergie'!F28</f>
        <v>0</v>
      </c>
      <c r="J20" s="125">
        <v>11.4</v>
      </c>
      <c r="K20" s="128">
        <f>'Consommation mensuel énergie'!D28</f>
        <v>0</v>
      </c>
      <c r="L20" s="128">
        <f>'Consommation mensuel énergie'!E28</f>
        <v>0</v>
      </c>
      <c r="M20" s="124" t="e">
        <f>E20*F20+G20*H20+#REF!*#REF!+I20*J20</f>
        <v>#REF!</v>
      </c>
    </row>
    <row r="21" spans="1:13">
      <c r="A21" s="127" t="s">
        <v>13</v>
      </c>
      <c r="B21" s="131">
        <f t="shared" si="0"/>
        <v>20</v>
      </c>
      <c r="C21" s="131">
        <v>1</v>
      </c>
      <c r="D21" s="132">
        <v>2023</v>
      </c>
      <c r="E21" s="128">
        <f>submetering!E21+submetering!F21+submetering!G21</f>
        <v>0</v>
      </c>
      <c r="F21" s="125">
        <v>1.05</v>
      </c>
      <c r="G21" s="125">
        <f>'Consommation mensuel énergie'!V29</f>
        <v>0</v>
      </c>
      <c r="H21" s="125">
        <v>12.53</v>
      </c>
      <c r="I21" s="125">
        <f>'Consommation mensuel énergie'!F29</f>
        <v>0</v>
      </c>
      <c r="J21" s="125">
        <v>11.4</v>
      </c>
      <c r="K21" s="128">
        <f>'Consommation mensuel énergie'!D29</f>
        <v>0</v>
      </c>
      <c r="L21" s="128">
        <f>'Consommation mensuel énergie'!E29</f>
        <v>0</v>
      </c>
      <c r="M21" s="124" t="e">
        <f>E21*F21+G21*H21+#REF!*#REF!+I21*J21</f>
        <v>#REF!</v>
      </c>
    </row>
    <row r="22" spans="1:13">
      <c r="A22" s="127" t="s">
        <v>13</v>
      </c>
      <c r="B22" s="131">
        <f t="shared" si="0"/>
        <v>21</v>
      </c>
      <c r="C22" s="131">
        <v>1</v>
      </c>
      <c r="D22" s="132">
        <v>2023</v>
      </c>
      <c r="E22" s="128">
        <f>submetering!E22+submetering!F22+submetering!G22</f>
        <v>0</v>
      </c>
      <c r="F22" s="125">
        <v>1.05</v>
      </c>
      <c r="G22" s="125">
        <f>'Consommation mensuel énergie'!V30</f>
        <v>0</v>
      </c>
      <c r="H22" s="125">
        <v>12.53</v>
      </c>
      <c r="I22" s="125">
        <f>'Consommation mensuel énergie'!F30</f>
        <v>0</v>
      </c>
      <c r="J22" s="125">
        <v>11.4</v>
      </c>
      <c r="K22" s="128">
        <f>'Consommation mensuel énergie'!D30</f>
        <v>0</v>
      </c>
      <c r="L22" s="128">
        <f>'Consommation mensuel énergie'!E30</f>
        <v>0</v>
      </c>
      <c r="M22" s="124" t="e">
        <f>E22*F22+G22*H22+#REF!*#REF!+I22*J22</f>
        <v>#REF!</v>
      </c>
    </row>
    <row r="23" spans="1:13">
      <c r="A23" s="127" t="s">
        <v>13</v>
      </c>
      <c r="B23" s="131">
        <f t="shared" si="0"/>
        <v>22</v>
      </c>
      <c r="C23" s="131">
        <v>1</v>
      </c>
      <c r="D23" s="132">
        <v>2023</v>
      </c>
      <c r="E23" s="128">
        <f>submetering!E23+submetering!F23+submetering!G23</f>
        <v>0</v>
      </c>
      <c r="F23" s="125">
        <v>1.05</v>
      </c>
      <c r="G23" s="125">
        <f>'Consommation mensuel énergie'!V31</f>
        <v>0</v>
      </c>
      <c r="H23" s="125">
        <v>12.53</v>
      </c>
      <c r="I23" s="125">
        <f>'Consommation mensuel énergie'!F31</f>
        <v>0</v>
      </c>
      <c r="J23" s="125">
        <v>11.4</v>
      </c>
      <c r="K23" s="128">
        <f>'Consommation mensuel énergie'!D31</f>
        <v>0</v>
      </c>
      <c r="L23" s="128">
        <f>'Consommation mensuel énergie'!E31</f>
        <v>0</v>
      </c>
      <c r="M23" s="124" t="e">
        <f>E23*F23+G23*H23+#REF!*#REF!+I23*J23</f>
        <v>#REF!</v>
      </c>
    </row>
    <row r="24" spans="1:13">
      <c r="A24" s="127" t="s">
        <v>13</v>
      </c>
      <c r="B24" s="131">
        <f t="shared" si="0"/>
        <v>23</v>
      </c>
      <c r="C24" s="131">
        <v>1</v>
      </c>
      <c r="D24" s="132">
        <v>2023</v>
      </c>
      <c r="E24" s="128">
        <f>submetering!E24+submetering!F24+submetering!G24</f>
        <v>0</v>
      </c>
      <c r="F24" s="125">
        <v>1.05</v>
      </c>
      <c r="G24" s="125">
        <f>'Consommation mensuel énergie'!V32</f>
        <v>0</v>
      </c>
      <c r="H24" s="125">
        <v>12.53</v>
      </c>
      <c r="I24" s="125">
        <f>'Consommation mensuel énergie'!F32</f>
        <v>0</v>
      </c>
      <c r="J24" s="125">
        <v>11.4</v>
      </c>
      <c r="K24" s="128">
        <f>'Consommation mensuel énergie'!D32</f>
        <v>0</v>
      </c>
      <c r="L24" s="128">
        <f>'Consommation mensuel énergie'!E32</f>
        <v>0</v>
      </c>
      <c r="M24" s="124" t="e">
        <f>E24*F24+G24*H24+#REF!*#REF!+I24*J24</f>
        <v>#REF!</v>
      </c>
    </row>
    <row r="25" spans="1:13">
      <c r="A25" s="127" t="s">
        <v>13</v>
      </c>
      <c r="B25" s="131">
        <f t="shared" si="0"/>
        <v>24</v>
      </c>
      <c r="C25" s="131">
        <v>1</v>
      </c>
      <c r="D25" s="132">
        <v>2023</v>
      </c>
      <c r="E25" s="128">
        <f>submetering!E25+submetering!F25+submetering!G25</f>
        <v>0</v>
      </c>
      <c r="F25" s="125">
        <v>1.05</v>
      </c>
      <c r="G25" s="125">
        <f>'Consommation mensuel énergie'!V33</f>
        <v>0</v>
      </c>
      <c r="H25" s="125">
        <v>12.53</v>
      </c>
      <c r="I25" s="125">
        <f>'Consommation mensuel énergie'!F33</f>
        <v>0</v>
      </c>
      <c r="J25" s="125">
        <v>11.4</v>
      </c>
      <c r="K25" s="128">
        <f>'Consommation mensuel énergie'!D33</f>
        <v>0</v>
      </c>
      <c r="L25" s="128">
        <f>'Consommation mensuel énergie'!E33</f>
        <v>0</v>
      </c>
      <c r="M25" s="124" t="e">
        <f>E25*F25+G25*H25+#REF!*#REF!+I25*J25</f>
        <v>#REF!</v>
      </c>
    </row>
    <row r="26" spans="1:13">
      <c r="A26" s="127" t="s">
        <v>13</v>
      </c>
      <c r="B26" s="131">
        <f>B25+1</f>
        <v>25</v>
      </c>
      <c r="C26" s="131">
        <v>1</v>
      </c>
      <c r="D26" s="132">
        <v>2023</v>
      </c>
      <c r="E26" s="128">
        <f>submetering!E26+submetering!F26+submetering!G26</f>
        <v>0</v>
      </c>
      <c r="F26" s="125">
        <v>1.05</v>
      </c>
      <c r="G26" s="125">
        <f>'Consommation mensuel énergie'!V34</f>
        <v>0</v>
      </c>
      <c r="H26" s="125">
        <v>12.53</v>
      </c>
      <c r="I26" s="125">
        <f>'Consommation mensuel énergie'!F34</f>
        <v>0</v>
      </c>
      <c r="J26" s="125">
        <v>11.4</v>
      </c>
      <c r="K26" s="128">
        <f>'Consommation mensuel énergie'!D34</f>
        <v>0</v>
      </c>
      <c r="L26" s="128">
        <f>'Consommation mensuel énergie'!E34</f>
        <v>0</v>
      </c>
      <c r="M26" s="124" t="e">
        <f>E26*F26+G26*H26+#REF!*#REF!+I26*J26</f>
        <v>#REF!</v>
      </c>
    </row>
    <row r="27" spans="1:13">
      <c r="A27" s="127" t="s">
        <v>13</v>
      </c>
      <c r="B27" s="131">
        <f t="shared" ref="B27:B32" si="1">B26+1</f>
        <v>26</v>
      </c>
      <c r="C27" s="131">
        <v>1</v>
      </c>
      <c r="D27" s="132">
        <v>2023</v>
      </c>
      <c r="E27" s="128">
        <f>submetering!E27+submetering!F27+submetering!G27</f>
        <v>0</v>
      </c>
      <c r="F27" s="125">
        <v>1.05</v>
      </c>
      <c r="G27" s="125">
        <f>'Consommation mensuel énergie'!V35</f>
        <v>0</v>
      </c>
      <c r="H27" s="125">
        <v>12.53</v>
      </c>
      <c r="I27" s="125">
        <f>'Consommation mensuel énergie'!F35</f>
        <v>0</v>
      </c>
      <c r="J27" s="125">
        <v>11.4</v>
      </c>
      <c r="K27" s="128">
        <f>'Consommation mensuel énergie'!D35</f>
        <v>0</v>
      </c>
      <c r="L27" s="128">
        <f>'Consommation mensuel énergie'!E35</f>
        <v>0</v>
      </c>
      <c r="M27" s="124"/>
    </row>
    <row r="28" spans="1:13">
      <c r="A28" s="127" t="s">
        <v>13</v>
      </c>
      <c r="B28" s="131">
        <f t="shared" si="1"/>
        <v>27</v>
      </c>
      <c r="C28" s="131">
        <v>1</v>
      </c>
      <c r="D28" s="132">
        <v>2023</v>
      </c>
      <c r="E28" s="128">
        <f>submetering!E28+submetering!F28+submetering!G28</f>
        <v>0</v>
      </c>
      <c r="F28" s="125">
        <v>1.05</v>
      </c>
      <c r="G28" s="125">
        <f>'Consommation mensuel énergie'!V36</f>
        <v>0</v>
      </c>
      <c r="H28" s="125">
        <v>12.53</v>
      </c>
      <c r="I28" s="125">
        <f>'Consommation mensuel énergie'!F36</f>
        <v>0</v>
      </c>
      <c r="J28" s="125">
        <v>11.4</v>
      </c>
      <c r="K28" s="128">
        <f>'Consommation mensuel énergie'!D36</f>
        <v>0</v>
      </c>
      <c r="L28" s="128">
        <f>'Consommation mensuel énergie'!E36</f>
        <v>0</v>
      </c>
      <c r="M28" s="124"/>
    </row>
    <row r="29" spans="1:13">
      <c r="A29" s="127" t="s">
        <v>13</v>
      </c>
      <c r="B29" s="131">
        <f t="shared" si="1"/>
        <v>28</v>
      </c>
      <c r="C29" s="131">
        <v>1</v>
      </c>
      <c r="D29" s="132">
        <v>2023</v>
      </c>
      <c r="E29" s="128">
        <f>submetering!E29+submetering!F29+submetering!G29</f>
        <v>0</v>
      </c>
      <c r="F29" s="125">
        <v>1.05</v>
      </c>
      <c r="G29" s="125">
        <f>'Consommation mensuel énergie'!V37</f>
        <v>0</v>
      </c>
      <c r="H29" s="125">
        <v>12.53</v>
      </c>
      <c r="I29" s="125">
        <f>'Consommation mensuel énergie'!F37</f>
        <v>0</v>
      </c>
      <c r="J29" s="125">
        <v>11.4</v>
      </c>
      <c r="K29" s="128">
        <f>'Consommation mensuel énergie'!D37</f>
        <v>0</v>
      </c>
      <c r="L29" s="128">
        <f>'Consommation mensuel énergie'!E37</f>
        <v>0</v>
      </c>
      <c r="M29" s="124"/>
    </row>
    <row r="30" spans="1:13">
      <c r="A30" s="127" t="s">
        <v>13</v>
      </c>
      <c r="B30" s="131">
        <f t="shared" si="1"/>
        <v>29</v>
      </c>
      <c r="C30" s="131">
        <v>1</v>
      </c>
      <c r="D30" s="132">
        <v>2023</v>
      </c>
      <c r="E30" s="128">
        <f>submetering!E30+submetering!F30+submetering!G30</f>
        <v>0</v>
      </c>
      <c r="F30" s="125">
        <v>1.05</v>
      </c>
      <c r="G30" s="125">
        <f>'Consommation mensuel énergie'!V38</f>
        <v>0</v>
      </c>
      <c r="H30" s="125">
        <v>12.53</v>
      </c>
      <c r="I30" s="125">
        <f>'Consommation mensuel énergie'!F38</f>
        <v>0</v>
      </c>
      <c r="J30" s="125">
        <v>11.4</v>
      </c>
      <c r="K30" s="128">
        <f>'Consommation mensuel énergie'!D38</f>
        <v>0</v>
      </c>
      <c r="L30" s="128">
        <f>'Consommation mensuel énergie'!E38</f>
        <v>0</v>
      </c>
      <c r="M30" s="124" t="e">
        <f>E30*F30+G30*H30+#REF!*#REF!+I30*J30</f>
        <v>#REF!</v>
      </c>
    </row>
    <row r="31" spans="1:13">
      <c r="A31" s="127" t="s">
        <v>13</v>
      </c>
      <c r="B31" s="131">
        <f t="shared" si="1"/>
        <v>30</v>
      </c>
      <c r="C31" s="131">
        <v>1</v>
      </c>
      <c r="D31" s="132">
        <v>2023</v>
      </c>
      <c r="E31" s="128">
        <f>submetering!E31+submetering!F31+submetering!G31</f>
        <v>0</v>
      </c>
      <c r="F31" s="125">
        <v>1.05</v>
      </c>
      <c r="G31" s="125">
        <f>'Consommation mensuel énergie'!V39</f>
        <v>0</v>
      </c>
      <c r="H31" s="125">
        <v>12.53</v>
      </c>
      <c r="I31" s="125">
        <f>'Consommation mensuel énergie'!F39</f>
        <v>0</v>
      </c>
      <c r="J31" s="125">
        <v>11.4</v>
      </c>
      <c r="K31" s="128">
        <f>'Consommation mensuel énergie'!D39</f>
        <v>0</v>
      </c>
      <c r="L31" s="128">
        <f>'Consommation mensuel énergie'!E39</f>
        <v>0</v>
      </c>
      <c r="M31" s="124"/>
    </row>
    <row r="32" spans="1:13">
      <c r="A32" s="127" t="s">
        <v>13</v>
      </c>
      <c r="B32" s="131">
        <f t="shared" si="1"/>
        <v>31</v>
      </c>
      <c r="C32" s="131">
        <v>1</v>
      </c>
      <c r="D32" s="132">
        <v>2023</v>
      </c>
      <c r="E32" s="128">
        <f>submetering!E32+submetering!F32+submetering!G32</f>
        <v>0</v>
      </c>
      <c r="F32" s="125">
        <v>1.05</v>
      </c>
      <c r="G32" s="125">
        <f>'Consommation mensuel énergie'!V40</f>
        <v>0</v>
      </c>
      <c r="H32" s="125">
        <v>12.53</v>
      </c>
      <c r="I32" s="125">
        <f>'Consommation mensuel énergie'!F40</f>
        <v>0</v>
      </c>
      <c r="J32" s="125">
        <v>11.4</v>
      </c>
      <c r="K32" s="128">
        <f>'Consommation mensuel énergie'!D40</f>
        <v>0</v>
      </c>
      <c r="L32" s="128">
        <f>'Consommation mensuel énergie'!E40</f>
        <v>0</v>
      </c>
      <c r="M32" s="124"/>
    </row>
    <row r="33" spans="1:13">
      <c r="A33" s="127"/>
      <c r="F33" s="125"/>
      <c r="G33" s="125"/>
      <c r="H33" s="125"/>
      <c r="I33" s="125"/>
      <c r="J33" s="125"/>
      <c r="M33" s="124"/>
    </row>
    <row r="34" spans="1:13">
      <c r="A34" s="127"/>
      <c r="F34" s="125"/>
      <c r="G34" s="125"/>
      <c r="H34" s="125"/>
      <c r="I34" s="125"/>
      <c r="J34" s="125"/>
      <c r="M34" s="124"/>
    </row>
    <row r="35" spans="1:13">
      <c r="F35" s="125"/>
      <c r="G35" s="125"/>
      <c r="H35" s="125"/>
      <c r="I35" s="125"/>
      <c r="J35" s="125"/>
    </row>
    <row r="36" spans="1:13">
      <c r="F36" s="125"/>
      <c r="G36" s="125"/>
      <c r="H36" s="125"/>
      <c r="I36" s="125"/>
      <c r="J36" s="125"/>
    </row>
    <row r="37" spans="1:13">
      <c r="F37" s="125"/>
      <c r="G37" s="125"/>
      <c r="H37" s="125"/>
      <c r="I37" s="125"/>
      <c r="J37" s="125"/>
    </row>
    <row r="38" spans="1:13">
      <c r="F38" s="125"/>
      <c r="G38" s="125"/>
      <c r="H38" s="125"/>
      <c r="I38" s="125"/>
      <c r="J38" s="125"/>
    </row>
    <row r="39" spans="1:13">
      <c r="F39" s="125"/>
      <c r="G39" s="125"/>
      <c r="H39" s="125"/>
      <c r="I39" s="125"/>
      <c r="J39" s="125"/>
    </row>
    <row r="40" spans="1:13">
      <c r="F40" s="125"/>
      <c r="G40" s="125"/>
      <c r="H40" s="125"/>
      <c r="I40" s="125"/>
      <c r="J40" s="125"/>
    </row>
    <row r="41" spans="1:13">
      <c r="F41" s="125"/>
      <c r="G41" s="125"/>
      <c r="H41" s="125"/>
      <c r="I41" s="125"/>
      <c r="J41" s="1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9"/>
  <sheetViews>
    <sheetView workbookViewId="0">
      <selection activeCell="M8" sqref="M8:U16"/>
    </sheetView>
  </sheetViews>
  <sheetFormatPr defaultColWidth="8.85546875" defaultRowHeight="12.75"/>
  <cols>
    <col min="1" max="1" width="12.42578125" style="47" customWidth="1"/>
    <col min="2" max="3" width="8.85546875" style="131" customWidth="1"/>
    <col min="4" max="4" width="13.42578125" style="132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  <col min="16" max="16" width="12.7109375" customWidth="1"/>
    <col min="18" max="18" width="11.42578125" customWidth="1"/>
  </cols>
  <sheetData>
    <row r="1" spans="1:10" s="94" customFormat="1" ht="45.75" thickBot="1">
      <c r="A1" s="126" t="s">
        <v>0</v>
      </c>
      <c r="B1" s="129" t="s">
        <v>1</v>
      </c>
      <c r="C1" s="129" t="s">
        <v>2</v>
      </c>
      <c r="D1" s="130" t="s">
        <v>3</v>
      </c>
      <c r="E1" s="133" t="s">
        <v>14</v>
      </c>
      <c r="F1" s="133" t="s">
        <v>15</v>
      </c>
      <c r="G1" s="133" t="s">
        <v>16</v>
      </c>
      <c r="H1" s="122" t="s">
        <v>10</v>
      </c>
      <c r="I1" s="122" t="s">
        <v>11</v>
      </c>
      <c r="J1" s="123" t="s">
        <v>12</v>
      </c>
    </row>
    <row r="2" spans="1:10">
      <c r="A2" s="127" t="s">
        <v>13</v>
      </c>
      <c r="B2" s="131">
        <v>1</v>
      </c>
      <c r="C2" s="131">
        <v>1</v>
      </c>
      <c r="D2" s="132">
        <v>2023</v>
      </c>
      <c r="E2" s="128">
        <f>'Consommation mensuel énergie'!L10</f>
        <v>4739</v>
      </c>
      <c r="F2" s="128">
        <f>'Consommation mensuel énergie'!M10</f>
        <v>8544</v>
      </c>
      <c r="G2" s="128">
        <f>'Consommation mensuel énergie'!N10</f>
        <v>3818</v>
      </c>
      <c r="H2" s="128">
        <f>'Consommation mensuel énergie'!D10</f>
        <v>137</v>
      </c>
      <c r="I2" s="128">
        <f>'Consommation mensuel énergie'!E10</f>
        <v>257</v>
      </c>
      <c r="J2" s="124" t="e">
        <f>E2*F2+G2*#REF!+#REF!*#REF!+#REF!*#REF!</f>
        <v>#REF!</v>
      </c>
    </row>
    <row r="3" spans="1:10">
      <c r="A3" s="127" t="s">
        <v>13</v>
      </c>
      <c r="B3" s="131">
        <f>B2+1</f>
        <v>2</v>
      </c>
      <c r="C3" s="131">
        <v>1</v>
      </c>
      <c r="D3" s="132">
        <v>2023</v>
      </c>
      <c r="E3" s="128">
        <f>'Consommation mensuel énergie'!L11</f>
        <v>4247</v>
      </c>
      <c r="F3" s="128">
        <f>'Consommation mensuel énergie'!M11</f>
        <v>6243</v>
      </c>
      <c r="G3" s="128">
        <f>'Consommation mensuel énergie'!N11</f>
        <v>2852</v>
      </c>
      <c r="H3" s="128">
        <f>'Consommation mensuel énergie'!D11</f>
        <v>121</v>
      </c>
      <c r="I3" s="128">
        <f>'Consommation mensuel énergie'!E11</f>
        <v>223</v>
      </c>
      <c r="J3" s="124" t="e">
        <f>E3*F3+G3*#REF!+#REF!*#REF!+#REF!*#REF!</f>
        <v>#REF!</v>
      </c>
    </row>
    <row r="4" spans="1:10">
      <c r="A4" s="127" t="s">
        <v>13</v>
      </c>
      <c r="B4" s="131">
        <f t="shared" ref="B4:B25" si="0">B3+1</f>
        <v>3</v>
      </c>
      <c r="C4" s="131">
        <v>1</v>
      </c>
      <c r="D4" s="132">
        <v>2023</v>
      </c>
      <c r="E4" s="128">
        <f>'Consommation mensuel énergie'!L12</f>
        <v>4630</v>
      </c>
      <c r="F4" s="128">
        <f>'Consommation mensuel énergie'!M12</f>
        <v>6449</v>
      </c>
      <c r="G4" s="128">
        <f>'Consommation mensuel énergie'!N12</f>
        <v>3269</v>
      </c>
      <c r="H4" s="128">
        <f>'Consommation mensuel énergie'!D12</f>
        <v>113</v>
      </c>
      <c r="I4" s="128">
        <f>'Consommation mensuel énergie'!E12</f>
        <v>193</v>
      </c>
      <c r="J4" s="124" t="e">
        <f>E4*F4+G4*#REF!+#REF!*#REF!+#REF!*#REF!</f>
        <v>#REF!</v>
      </c>
    </row>
    <row r="5" spans="1:10">
      <c r="A5" s="127" t="s">
        <v>13</v>
      </c>
      <c r="B5" s="131">
        <f t="shared" si="0"/>
        <v>4</v>
      </c>
      <c r="C5" s="131">
        <v>1</v>
      </c>
      <c r="D5" s="132">
        <v>2023</v>
      </c>
      <c r="E5" s="128">
        <f>'Consommation mensuel énergie'!L13</f>
        <v>3876</v>
      </c>
      <c r="F5" s="128">
        <f>'Consommation mensuel énergie'!M13</f>
        <v>6438</v>
      </c>
      <c r="G5" s="128">
        <f>'Consommation mensuel énergie'!N13</f>
        <v>2987</v>
      </c>
      <c r="H5" s="128">
        <f>'Consommation mensuel énergie'!D13</f>
        <v>99</v>
      </c>
      <c r="I5" s="128">
        <f>'Consommation mensuel énergie'!E13</f>
        <v>175</v>
      </c>
      <c r="J5" s="124" t="e">
        <f>E5*F5+G5*#REF!+#REF!*#REF!+#REF!*#REF!</f>
        <v>#REF!</v>
      </c>
    </row>
    <row r="6" spans="1:10">
      <c r="A6" s="127" t="s">
        <v>13</v>
      </c>
      <c r="B6" s="131">
        <f t="shared" si="0"/>
        <v>5</v>
      </c>
      <c r="C6" s="131">
        <v>1</v>
      </c>
      <c r="D6" s="132">
        <v>2023</v>
      </c>
      <c r="E6" s="128">
        <f>'Consommation mensuel énergie'!L14</f>
        <v>4399</v>
      </c>
      <c r="F6" s="128">
        <f>'Consommation mensuel énergie'!M14</f>
        <v>6321</v>
      </c>
      <c r="G6" s="128">
        <f>'Consommation mensuel énergie'!N14</f>
        <v>2925</v>
      </c>
      <c r="H6" s="128">
        <f>'Consommation mensuel énergie'!D14</f>
        <v>99</v>
      </c>
      <c r="I6" s="128">
        <f>'Consommation mensuel énergie'!E14</f>
        <v>180</v>
      </c>
      <c r="J6" s="124" t="e">
        <f>E6*F6+G6*#REF!+#REF!*#REF!+#REF!*#REF!</f>
        <v>#REF!</v>
      </c>
    </row>
    <row r="7" spans="1:10">
      <c r="A7" s="127" t="s">
        <v>13</v>
      </c>
      <c r="B7" s="131">
        <f t="shared" si="0"/>
        <v>6</v>
      </c>
      <c r="C7" s="131">
        <v>1</v>
      </c>
      <c r="D7" s="132">
        <v>2023</v>
      </c>
      <c r="E7" s="128">
        <f>'Consommation mensuel énergie'!L15</f>
        <v>4942</v>
      </c>
      <c r="F7" s="128">
        <f>'Consommation mensuel énergie'!M15</f>
        <v>6153</v>
      </c>
      <c r="G7" s="128">
        <f>'Consommation mensuel énergie'!N15</f>
        <v>2919</v>
      </c>
      <c r="H7" s="128">
        <f>'Consommation mensuel énergie'!D15</f>
        <v>126</v>
      </c>
      <c r="I7" s="128">
        <f>'Consommation mensuel énergie'!E15</f>
        <v>226</v>
      </c>
      <c r="J7" s="124" t="e">
        <f>E7*F7+G7*#REF!+#REF!*#REF!+#REF!*#REF!</f>
        <v>#REF!</v>
      </c>
    </row>
    <row r="8" spans="1:10">
      <c r="A8" s="127" t="s">
        <v>13</v>
      </c>
      <c r="B8" s="131">
        <f t="shared" si="0"/>
        <v>7</v>
      </c>
      <c r="C8" s="131">
        <v>1</v>
      </c>
      <c r="D8" s="132">
        <v>2023</v>
      </c>
      <c r="E8" s="128">
        <f>'Consommation mensuel énergie'!L16</f>
        <v>4033</v>
      </c>
      <c r="F8" s="128">
        <f>'Consommation mensuel énergie'!M16</f>
        <v>6163</v>
      </c>
      <c r="G8" s="128">
        <f>'Consommation mensuel énergie'!N16</f>
        <v>2760</v>
      </c>
      <c r="H8" s="128">
        <f>'Consommation mensuel énergie'!D16</f>
        <v>95</v>
      </c>
      <c r="I8" s="128">
        <f>'Consommation mensuel énergie'!E16</f>
        <v>157</v>
      </c>
      <c r="J8" s="124" t="e">
        <f>E8*F8+G8*#REF!+#REF!*#REF!+#REF!*#REF!</f>
        <v>#REF!</v>
      </c>
    </row>
    <row r="9" spans="1:10">
      <c r="A9" s="127" t="s">
        <v>13</v>
      </c>
      <c r="B9" s="131">
        <f t="shared" si="0"/>
        <v>8</v>
      </c>
      <c r="C9" s="131">
        <v>1</v>
      </c>
      <c r="D9" s="132">
        <v>2023</v>
      </c>
      <c r="E9" s="128">
        <f>'Consommation mensuel énergie'!L17</f>
        <v>3937</v>
      </c>
      <c r="F9" s="128">
        <f>'Consommation mensuel énergie'!M17</f>
        <v>5971</v>
      </c>
      <c r="G9" s="128">
        <f>'Consommation mensuel énergie'!N17</f>
        <v>2943</v>
      </c>
      <c r="H9" s="128">
        <f>'Consommation mensuel énergie'!D17</f>
        <v>85</v>
      </c>
      <c r="I9" s="128">
        <f>'Consommation mensuel énergie'!E17</f>
        <v>139</v>
      </c>
      <c r="J9" s="124" t="e">
        <f>E9*F9+G9*#REF!+#REF!*#REF!+#REF!*#REF!</f>
        <v>#REF!</v>
      </c>
    </row>
    <row r="10" spans="1:10">
      <c r="A10" s="127" t="s">
        <v>13</v>
      </c>
      <c r="B10" s="131">
        <f t="shared" si="0"/>
        <v>9</v>
      </c>
      <c r="C10" s="131">
        <v>1</v>
      </c>
      <c r="D10" s="132">
        <v>2023</v>
      </c>
      <c r="E10" s="128">
        <f>'Consommation mensuel énergie'!L18</f>
        <v>4846</v>
      </c>
      <c r="F10" s="128">
        <f>'Consommation mensuel énergie'!M18</f>
        <v>6010</v>
      </c>
      <c r="G10" s="128">
        <f>'Consommation mensuel énergie'!N18</f>
        <v>2836</v>
      </c>
      <c r="H10" s="128">
        <f>'Consommation mensuel énergie'!D18</f>
        <v>70</v>
      </c>
      <c r="I10" s="128">
        <f>'Consommation mensuel énergie'!E18</f>
        <v>115</v>
      </c>
      <c r="J10" s="124" t="e">
        <f>E10*F10+G10*#REF!+#REF!*#REF!+#REF!*#REF!</f>
        <v>#REF!</v>
      </c>
    </row>
    <row r="11" spans="1:10">
      <c r="A11" s="127" t="s">
        <v>13</v>
      </c>
      <c r="B11" s="131">
        <f t="shared" si="0"/>
        <v>10</v>
      </c>
      <c r="C11" s="131">
        <v>1</v>
      </c>
      <c r="D11" s="132">
        <v>2023</v>
      </c>
      <c r="E11" s="128">
        <f>'Consommation mensuel énergie'!L19</f>
        <v>4039</v>
      </c>
      <c r="F11" s="128">
        <f>'Consommation mensuel énergie'!M19</f>
        <v>6059</v>
      </c>
      <c r="G11" s="128">
        <f>'Consommation mensuel énergie'!N19</f>
        <v>2923</v>
      </c>
      <c r="H11" s="128">
        <f>'Consommation mensuel énergie'!D19</f>
        <v>75</v>
      </c>
      <c r="I11" s="128">
        <f>'Consommation mensuel énergie'!E19</f>
        <v>125</v>
      </c>
      <c r="J11" s="124" t="e">
        <f>E11*F11+G11*#REF!+#REF!*#REF!+#REF!*#REF!</f>
        <v>#REF!</v>
      </c>
    </row>
    <row r="12" spans="1:10">
      <c r="A12" s="127" t="s">
        <v>13</v>
      </c>
      <c r="B12" s="131">
        <f t="shared" si="0"/>
        <v>11</v>
      </c>
      <c r="C12" s="131">
        <v>1</v>
      </c>
      <c r="D12" s="132">
        <v>2023</v>
      </c>
      <c r="E12" s="128">
        <f>'Consommation mensuel énergie'!L20</f>
        <v>3978</v>
      </c>
      <c r="F12" s="128">
        <f>'Consommation mensuel énergie'!M20</f>
        <v>5843</v>
      </c>
      <c r="G12" s="128">
        <f>'Consommation mensuel énergie'!N20</f>
        <v>2756</v>
      </c>
      <c r="H12" s="128">
        <f>'Consommation mensuel énergie'!D20</f>
        <v>67</v>
      </c>
      <c r="I12" s="128">
        <f>'Consommation mensuel énergie'!E20</f>
        <v>115</v>
      </c>
      <c r="J12" s="124" t="e">
        <f>E12*F12+G12*#REF!+#REF!*#REF!+#REF!*#REF!</f>
        <v>#REF!</v>
      </c>
    </row>
    <row r="13" spans="1:10">
      <c r="A13" s="127" t="s">
        <v>13</v>
      </c>
      <c r="B13" s="131">
        <f t="shared" si="0"/>
        <v>12</v>
      </c>
      <c r="C13" s="131">
        <v>1</v>
      </c>
      <c r="D13" s="132">
        <v>2023</v>
      </c>
      <c r="E13" s="128">
        <f>'Consommation mensuel énergie'!L21</f>
        <v>4249</v>
      </c>
      <c r="F13" s="128">
        <f>'Consommation mensuel énergie'!M21</f>
        <v>6040</v>
      </c>
      <c r="G13" s="128">
        <f>'Consommation mensuel énergie'!N21</f>
        <v>3060</v>
      </c>
      <c r="H13" s="128">
        <f>'Consommation mensuel énergie'!D21</f>
        <v>77</v>
      </c>
      <c r="I13" s="128">
        <f>'Consommation mensuel énergie'!E21</f>
        <v>110</v>
      </c>
      <c r="J13" s="124" t="e">
        <f>E13*F13+G13*#REF!+#REF!*#REF!+#REF!*#REF!</f>
        <v>#REF!</v>
      </c>
    </row>
    <row r="14" spans="1:10">
      <c r="A14" s="127" t="s">
        <v>13</v>
      </c>
      <c r="B14" s="131">
        <f t="shared" si="0"/>
        <v>13</v>
      </c>
      <c r="C14" s="131">
        <v>1</v>
      </c>
      <c r="D14" s="132">
        <v>2023</v>
      </c>
      <c r="E14" s="128">
        <f>'Consommation mensuel énergie'!L22</f>
        <v>4294</v>
      </c>
      <c r="F14" s="128">
        <f>'Consommation mensuel énergie'!M22</f>
        <v>6314</v>
      </c>
      <c r="G14" s="128">
        <f>'Consommation mensuel énergie'!N22</f>
        <v>2846</v>
      </c>
      <c r="H14" s="128">
        <f>'Consommation mensuel énergie'!D22</f>
        <v>0</v>
      </c>
      <c r="I14" s="128">
        <f>'Consommation mensuel énergie'!E22</f>
        <v>0</v>
      </c>
      <c r="J14" s="124" t="e">
        <f>E14*F14+G14*#REF!+#REF!*#REF!+#REF!*#REF!</f>
        <v>#REF!</v>
      </c>
    </row>
    <row r="15" spans="1:10">
      <c r="A15" s="127" t="s">
        <v>13</v>
      </c>
      <c r="B15" s="131">
        <f t="shared" si="0"/>
        <v>14</v>
      </c>
      <c r="C15" s="131">
        <v>1</v>
      </c>
      <c r="D15" s="132">
        <v>2023</v>
      </c>
      <c r="E15" s="128">
        <f>'Consommation mensuel énergie'!L23</f>
        <v>0</v>
      </c>
      <c r="F15" s="128">
        <f>'Consommation mensuel énergie'!M23</f>
        <v>0</v>
      </c>
      <c r="G15" s="128">
        <f>'Consommation mensuel énergie'!N23</f>
        <v>0</v>
      </c>
      <c r="H15" s="128">
        <f>'Consommation mensuel énergie'!D23</f>
        <v>0</v>
      </c>
      <c r="I15" s="128">
        <f>'Consommation mensuel énergie'!E23</f>
        <v>0</v>
      </c>
      <c r="J15" s="124" t="e">
        <f>E15*F15+G15*#REF!+#REF!*#REF!+#REF!*#REF!</f>
        <v>#REF!</v>
      </c>
    </row>
    <row r="16" spans="1:10">
      <c r="A16" s="127" t="s">
        <v>13</v>
      </c>
      <c r="B16" s="131">
        <f t="shared" si="0"/>
        <v>15</v>
      </c>
      <c r="C16" s="131">
        <v>1</v>
      </c>
      <c r="D16" s="132">
        <v>2023</v>
      </c>
      <c r="E16" s="128">
        <f>'Consommation mensuel énergie'!L24</f>
        <v>0</v>
      </c>
      <c r="F16" s="128">
        <f>'Consommation mensuel énergie'!M24</f>
        <v>0</v>
      </c>
      <c r="G16" s="128">
        <f>'Consommation mensuel énergie'!N24</f>
        <v>0</v>
      </c>
      <c r="H16" s="128">
        <f>'Consommation mensuel énergie'!D24</f>
        <v>0</v>
      </c>
      <c r="I16" s="128">
        <f>'Consommation mensuel énergie'!E24</f>
        <v>0</v>
      </c>
      <c r="J16" s="124" t="e">
        <f>E16*F16+G16*#REF!+#REF!*#REF!+#REF!*#REF!</f>
        <v>#REF!</v>
      </c>
    </row>
    <row r="17" spans="1:10">
      <c r="A17" s="127" t="s">
        <v>13</v>
      </c>
      <c r="B17" s="131">
        <f t="shared" si="0"/>
        <v>16</v>
      </c>
      <c r="C17" s="131">
        <v>1</v>
      </c>
      <c r="D17" s="132">
        <v>2023</v>
      </c>
      <c r="E17" s="128">
        <f>'Consommation mensuel énergie'!L25</f>
        <v>0</v>
      </c>
      <c r="F17" s="128">
        <f>'Consommation mensuel énergie'!M25</f>
        <v>0</v>
      </c>
      <c r="G17" s="128">
        <f>'Consommation mensuel énergie'!N25</f>
        <v>0</v>
      </c>
      <c r="H17" s="128">
        <f>'Consommation mensuel énergie'!D25</f>
        <v>0</v>
      </c>
      <c r="I17" s="128">
        <f>'Consommation mensuel énergie'!E25</f>
        <v>0</v>
      </c>
      <c r="J17" s="124" t="e">
        <f>E17*F17+G17*#REF!+#REF!*#REF!+#REF!*#REF!</f>
        <v>#REF!</v>
      </c>
    </row>
    <row r="18" spans="1:10">
      <c r="A18" s="127" t="s">
        <v>13</v>
      </c>
      <c r="B18" s="131">
        <f t="shared" si="0"/>
        <v>17</v>
      </c>
      <c r="C18" s="131">
        <v>1</v>
      </c>
      <c r="D18" s="132">
        <v>2023</v>
      </c>
      <c r="E18" s="128">
        <f>'Consommation mensuel énergie'!L26</f>
        <v>0</v>
      </c>
      <c r="F18" s="128">
        <f>'Consommation mensuel énergie'!M26</f>
        <v>0</v>
      </c>
      <c r="G18" s="128">
        <f>'Consommation mensuel énergie'!N26</f>
        <v>0</v>
      </c>
      <c r="H18" s="128">
        <f>'Consommation mensuel énergie'!D26</f>
        <v>0</v>
      </c>
      <c r="I18" s="128">
        <f>'Consommation mensuel énergie'!E26</f>
        <v>0</v>
      </c>
      <c r="J18" s="124" t="e">
        <f>E18*F18+G18*#REF!+#REF!*#REF!+#REF!*#REF!</f>
        <v>#REF!</v>
      </c>
    </row>
    <row r="19" spans="1:10">
      <c r="A19" s="127" t="s">
        <v>13</v>
      </c>
      <c r="B19" s="131">
        <f t="shared" si="0"/>
        <v>18</v>
      </c>
      <c r="C19" s="131">
        <v>1</v>
      </c>
      <c r="D19" s="132">
        <v>2023</v>
      </c>
      <c r="E19" s="128">
        <f>'Consommation mensuel énergie'!L27</f>
        <v>0</v>
      </c>
      <c r="F19" s="128">
        <f>'Consommation mensuel énergie'!M27</f>
        <v>0</v>
      </c>
      <c r="G19" s="128">
        <f>'Consommation mensuel énergie'!N27</f>
        <v>0</v>
      </c>
      <c r="H19" s="128">
        <f>'Consommation mensuel énergie'!D27</f>
        <v>0</v>
      </c>
      <c r="I19" s="128">
        <f>'Consommation mensuel énergie'!E27</f>
        <v>0</v>
      </c>
      <c r="J19" s="124" t="e">
        <f>E19*F19+G19*#REF!+#REF!*#REF!+#REF!*#REF!</f>
        <v>#REF!</v>
      </c>
    </row>
    <row r="20" spans="1:10">
      <c r="A20" s="127" t="s">
        <v>13</v>
      </c>
      <c r="B20" s="131">
        <f t="shared" si="0"/>
        <v>19</v>
      </c>
      <c r="C20" s="131">
        <v>1</v>
      </c>
      <c r="D20" s="132">
        <v>2023</v>
      </c>
      <c r="E20" s="128">
        <f>'Consommation mensuel énergie'!L28</f>
        <v>0</v>
      </c>
      <c r="F20" s="128">
        <f>'Consommation mensuel énergie'!M28</f>
        <v>0</v>
      </c>
      <c r="G20" s="128">
        <f>'Consommation mensuel énergie'!N28</f>
        <v>0</v>
      </c>
      <c r="H20" s="128">
        <f>'Consommation mensuel énergie'!D28</f>
        <v>0</v>
      </c>
      <c r="I20" s="128">
        <f>'Consommation mensuel énergie'!E28</f>
        <v>0</v>
      </c>
      <c r="J20" s="124" t="e">
        <f>E20*F20+G20*#REF!+#REF!*#REF!+#REF!*#REF!</f>
        <v>#REF!</v>
      </c>
    </row>
    <row r="21" spans="1:10">
      <c r="A21" s="127" t="s">
        <v>13</v>
      </c>
      <c r="B21" s="131">
        <f t="shared" si="0"/>
        <v>20</v>
      </c>
      <c r="C21" s="131">
        <v>1</v>
      </c>
      <c r="D21" s="132">
        <v>2023</v>
      </c>
      <c r="E21" s="128">
        <f>'Consommation mensuel énergie'!L29</f>
        <v>0</v>
      </c>
      <c r="F21" s="128">
        <f>'Consommation mensuel énergie'!M29</f>
        <v>0</v>
      </c>
      <c r="G21" s="128">
        <f>'Consommation mensuel énergie'!N29</f>
        <v>0</v>
      </c>
      <c r="H21" s="128">
        <f>'Consommation mensuel énergie'!D29</f>
        <v>0</v>
      </c>
      <c r="I21" s="128">
        <f>'Consommation mensuel énergie'!E29</f>
        <v>0</v>
      </c>
      <c r="J21" s="124" t="e">
        <f>E21*F21+G21*#REF!+#REF!*#REF!+#REF!*#REF!</f>
        <v>#REF!</v>
      </c>
    </row>
    <row r="22" spans="1:10">
      <c r="A22" s="127" t="s">
        <v>13</v>
      </c>
      <c r="B22" s="131">
        <f t="shared" si="0"/>
        <v>21</v>
      </c>
      <c r="C22" s="131">
        <v>1</v>
      </c>
      <c r="D22" s="132">
        <v>2023</v>
      </c>
      <c r="E22" s="128">
        <f>'Consommation mensuel énergie'!L30</f>
        <v>0</v>
      </c>
      <c r="F22" s="128">
        <f>'Consommation mensuel énergie'!M30</f>
        <v>0</v>
      </c>
      <c r="G22" s="128">
        <f>'Consommation mensuel énergie'!N30</f>
        <v>0</v>
      </c>
      <c r="H22" s="128">
        <f>'Consommation mensuel énergie'!D30</f>
        <v>0</v>
      </c>
      <c r="I22" s="128">
        <f>'Consommation mensuel énergie'!E30</f>
        <v>0</v>
      </c>
      <c r="J22" s="124" t="e">
        <f>E22*F22+G22*#REF!+#REF!*#REF!+#REF!*#REF!</f>
        <v>#REF!</v>
      </c>
    </row>
    <row r="23" spans="1:10">
      <c r="A23" s="127" t="s">
        <v>13</v>
      </c>
      <c r="B23" s="131">
        <f t="shared" si="0"/>
        <v>22</v>
      </c>
      <c r="C23" s="131">
        <v>1</v>
      </c>
      <c r="D23" s="132">
        <v>2023</v>
      </c>
      <c r="E23" s="128">
        <f>'Consommation mensuel énergie'!L31</f>
        <v>0</v>
      </c>
      <c r="F23" s="128">
        <f>'Consommation mensuel énergie'!M31</f>
        <v>0</v>
      </c>
      <c r="G23" s="128">
        <f>'Consommation mensuel énergie'!N31</f>
        <v>0</v>
      </c>
      <c r="H23" s="128">
        <f>'Consommation mensuel énergie'!D31</f>
        <v>0</v>
      </c>
      <c r="I23" s="128">
        <f>'Consommation mensuel énergie'!E31</f>
        <v>0</v>
      </c>
      <c r="J23" s="124" t="e">
        <f>E23*F23+G23*#REF!+#REF!*#REF!+#REF!*#REF!</f>
        <v>#REF!</v>
      </c>
    </row>
    <row r="24" spans="1:10">
      <c r="A24" s="127" t="s">
        <v>13</v>
      </c>
      <c r="B24" s="131">
        <f t="shared" si="0"/>
        <v>23</v>
      </c>
      <c r="C24" s="131">
        <v>1</v>
      </c>
      <c r="D24" s="132">
        <v>2023</v>
      </c>
      <c r="E24" s="128">
        <f>'Consommation mensuel énergie'!L32</f>
        <v>0</v>
      </c>
      <c r="F24" s="128">
        <f>'Consommation mensuel énergie'!M32</f>
        <v>0</v>
      </c>
      <c r="G24" s="128">
        <f>'Consommation mensuel énergie'!N32</f>
        <v>0</v>
      </c>
      <c r="H24" s="128">
        <f>'Consommation mensuel énergie'!D32</f>
        <v>0</v>
      </c>
      <c r="I24" s="128">
        <f>'Consommation mensuel énergie'!E32</f>
        <v>0</v>
      </c>
      <c r="J24" s="124" t="e">
        <f>E24*F24+G24*#REF!+#REF!*#REF!+#REF!*#REF!</f>
        <v>#REF!</v>
      </c>
    </row>
    <row r="25" spans="1:10">
      <c r="A25" s="127" t="s">
        <v>13</v>
      </c>
      <c r="B25" s="131">
        <f t="shared" si="0"/>
        <v>24</v>
      </c>
      <c r="C25" s="131">
        <v>1</v>
      </c>
      <c r="D25" s="132">
        <v>2023</v>
      </c>
      <c r="E25" s="128">
        <f>'Consommation mensuel énergie'!L33</f>
        <v>0</v>
      </c>
      <c r="F25" s="128">
        <f>'Consommation mensuel énergie'!M33</f>
        <v>0</v>
      </c>
      <c r="G25" s="128">
        <f>'Consommation mensuel énergie'!N33</f>
        <v>0</v>
      </c>
      <c r="H25" s="128">
        <f>'Consommation mensuel énergie'!D33</f>
        <v>0</v>
      </c>
      <c r="I25" s="128">
        <f>'Consommation mensuel énergie'!E33</f>
        <v>0</v>
      </c>
      <c r="J25" s="124" t="e">
        <f>E25*F25+G25*#REF!+#REF!*#REF!+#REF!*#REF!</f>
        <v>#REF!</v>
      </c>
    </row>
    <row r="26" spans="1:10">
      <c r="A26" s="127" t="s">
        <v>13</v>
      </c>
      <c r="B26" s="131">
        <f>B25+1</f>
        <v>25</v>
      </c>
      <c r="C26" s="131">
        <v>1</v>
      </c>
      <c r="D26" s="132">
        <v>2023</v>
      </c>
      <c r="E26" s="128">
        <f>'Consommation mensuel énergie'!L34</f>
        <v>0</v>
      </c>
      <c r="F26" s="128">
        <f>'Consommation mensuel énergie'!M34</f>
        <v>0</v>
      </c>
      <c r="G26" s="128">
        <f>'Consommation mensuel énergie'!N34</f>
        <v>0</v>
      </c>
      <c r="H26" s="128">
        <f>'Consommation mensuel énergie'!D34</f>
        <v>0</v>
      </c>
      <c r="I26" s="128">
        <f>'Consommation mensuel énergie'!E34</f>
        <v>0</v>
      </c>
      <c r="J26" s="124" t="e">
        <f>E26*F26+G26*#REF!+#REF!*#REF!+#REF!*#REF!</f>
        <v>#REF!</v>
      </c>
    </row>
    <row r="27" spans="1:10">
      <c r="A27" s="127" t="s">
        <v>13</v>
      </c>
      <c r="B27" s="131">
        <f t="shared" ref="B27:B32" si="1">B26+1</f>
        <v>26</v>
      </c>
      <c r="C27" s="131">
        <v>1</v>
      </c>
      <c r="D27" s="132">
        <v>2023</v>
      </c>
      <c r="E27" s="128">
        <f>'Consommation mensuel énergie'!L35</f>
        <v>0</v>
      </c>
      <c r="F27" s="128">
        <f>'Consommation mensuel énergie'!M35</f>
        <v>0</v>
      </c>
      <c r="G27" s="128">
        <f>'Consommation mensuel énergie'!N35</f>
        <v>0</v>
      </c>
      <c r="H27" s="128">
        <f>'Consommation mensuel énergie'!D35</f>
        <v>0</v>
      </c>
      <c r="I27" s="128">
        <f>'Consommation mensuel énergie'!E35</f>
        <v>0</v>
      </c>
      <c r="J27" s="124"/>
    </row>
    <row r="28" spans="1:10">
      <c r="A28" s="127" t="s">
        <v>13</v>
      </c>
      <c r="B28" s="131">
        <f t="shared" si="1"/>
        <v>27</v>
      </c>
      <c r="C28" s="131">
        <v>1</v>
      </c>
      <c r="D28" s="132">
        <v>2023</v>
      </c>
      <c r="E28" s="128">
        <f>'Consommation mensuel énergie'!L36</f>
        <v>0</v>
      </c>
      <c r="F28" s="128">
        <f>'Consommation mensuel énergie'!M36</f>
        <v>0</v>
      </c>
      <c r="G28" s="128">
        <f>'Consommation mensuel énergie'!N36</f>
        <v>0</v>
      </c>
      <c r="H28" s="128">
        <f>'Consommation mensuel énergie'!D36</f>
        <v>0</v>
      </c>
      <c r="I28" s="128">
        <f>'Consommation mensuel énergie'!E36</f>
        <v>0</v>
      </c>
      <c r="J28" s="124"/>
    </row>
    <row r="29" spans="1:10">
      <c r="A29" s="127" t="s">
        <v>13</v>
      </c>
      <c r="B29" s="131">
        <f t="shared" si="1"/>
        <v>28</v>
      </c>
      <c r="C29" s="131">
        <v>1</v>
      </c>
      <c r="D29" s="132">
        <v>2023</v>
      </c>
      <c r="E29" s="128">
        <f>'Consommation mensuel énergie'!L37</f>
        <v>0</v>
      </c>
      <c r="F29" s="128">
        <f>'Consommation mensuel énergie'!M37</f>
        <v>0</v>
      </c>
      <c r="G29" s="128">
        <f>'Consommation mensuel énergie'!N37</f>
        <v>0</v>
      </c>
      <c r="H29" s="128">
        <f>'Consommation mensuel énergie'!D37</f>
        <v>0</v>
      </c>
      <c r="I29" s="128">
        <f>'Consommation mensuel énergie'!E37</f>
        <v>0</v>
      </c>
      <c r="J29" s="124"/>
    </row>
    <row r="30" spans="1:10">
      <c r="A30" s="127" t="s">
        <v>13</v>
      </c>
      <c r="B30" s="131">
        <f t="shared" si="1"/>
        <v>29</v>
      </c>
      <c r="C30" s="131">
        <v>1</v>
      </c>
      <c r="D30" s="132">
        <v>2023</v>
      </c>
      <c r="E30" s="128">
        <f>'Consommation mensuel énergie'!L38</f>
        <v>0</v>
      </c>
      <c r="F30" s="128">
        <f>'Consommation mensuel énergie'!M38</f>
        <v>0</v>
      </c>
      <c r="G30" s="128">
        <f>'Consommation mensuel énergie'!N38</f>
        <v>0</v>
      </c>
      <c r="H30" s="128">
        <f>'Consommation mensuel énergie'!D38</f>
        <v>0</v>
      </c>
      <c r="I30" s="128">
        <f>'Consommation mensuel énergie'!E38</f>
        <v>0</v>
      </c>
      <c r="J30" s="124" t="e">
        <f>E30*F30+G30*#REF!+#REF!*#REF!+#REF!*#REF!</f>
        <v>#REF!</v>
      </c>
    </row>
    <row r="31" spans="1:10">
      <c r="A31" s="127" t="s">
        <v>13</v>
      </c>
      <c r="B31" s="131">
        <f t="shared" si="1"/>
        <v>30</v>
      </c>
      <c r="C31" s="131">
        <v>1</v>
      </c>
      <c r="D31" s="132">
        <v>2023</v>
      </c>
      <c r="E31" s="128">
        <f>'Consommation mensuel énergie'!L39</f>
        <v>0</v>
      </c>
      <c r="F31" s="128">
        <f>'Consommation mensuel énergie'!M39</f>
        <v>0</v>
      </c>
      <c r="G31" s="128">
        <f>'Consommation mensuel énergie'!N39</f>
        <v>0</v>
      </c>
      <c r="H31" s="128">
        <f>'Consommation mensuel énergie'!D39</f>
        <v>0</v>
      </c>
      <c r="I31" s="128">
        <f>'Consommation mensuel énergie'!E39</f>
        <v>0</v>
      </c>
      <c r="J31" s="124"/>
    </row>
    <row r="32" spans="1:10">
      <c r="A32" s="127" t="s">
        <v>13</v>
      </c>
      <c r="B32" s="131">
        <f t="shared" si="1"/>
        <v>31</v>
      </c>
      <c r="C32" s="131">
        <v>1</v>
      </c>
      <c r="D32" s="132">
        <v>2023</v>
      </c>
      <c r="E32" s="128">
        <f>'Consommation mensuel énergie'!L40</f>
        <v>0</v>
      </c>
      <c r="F32" s="128">
        <f>'Consommation mensuel énergie'!M40</f>
        <v>0</v>
      </c>
      <c r="G32" s="128">
        <f>'Consommation mensuel énergie'!N40</f>
        <v>0</v>
      </c>
      <c r="H32" s="128">
        <f>'Consommation mensuel énergie'!D40</f>
        <v>0</v>
      </c>
      <c r="I32" s="128">
        <f>'Consommation mensuel énergie'!E40</f>
        <v>0</v>
      </c>
      <c r="J32" s="124"/>
    </row>
    <row r="33" spans="5:9">
      <c r="E33" s="125"/>
      <c r="F33" s="125"/>
      <c r="G33" s="125"/>
      <c r="H33" s="124"/>
      <c r="I33" s="124"/>
    </row>
    <row r="34" spans="5:9">
      <c r="E34" s="125"/>
      <c r="F34" s="125"/>
      <c r="G34" s="125"/>
      <c r="H34" s="124"/>
      <c r="I34" s="124"/>
    </row>
    <row r="35" spans="5:9">
      <c r="E35" s="125"/>
      <c r="F35" s="125"/>
      <c r="G35" s="125"/>
      <c r="H35" s="124"/>
      <c r="I35" s="124"/>
    </row>
    <row r="36" spans="5:9">
      <c r="E36" s="125"/>
      <c r="F36" s="125"/>
      <c r="G36" s="125"/>
      <c r="H36" s="124"/>
      <c r="I36" s="124"/>
    </row>
    <row r="37" spans="5:9">
      <c r="E37" s="125"/>
      <c r="F37" s="125"/>
      <c r="G37" s="125"/>
      <c r="H37" s="124"/>
      <c r="I37" s="124"/>
    </row>
    <row r="38" spans="5:9">
      <c r="E38" s="125"/>
      <c r="F38" s="125"/>
      <c r="G38" s="125"/>
      <c r="H38" s="124"/>
      <c r="I38" s="124"/>
    </row>
    <row r="39" spans="5:9">
      <c r="E39" s="125"/>
      <c r="F39" s="125"/>
      <c r="G39" s="125"/>
      <c r="H39" s="124"/>
      <c r="I39" s="12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10" activePane="bottomRight" state="frozen"/>
      <selection pane="bottomRight" activeCell="O22" sqref="O22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11"/>
      <c r="B2" s="212"/>
      <c r="C2" s="212"/>
      <c r="D2" s="212"/>
      <c r="E2" s="212"/>
      <c r="F2" s="212"/>
      <c r="G2" s="212"/>
      <c r="H2" s="213"/>
      <c r="I2" s="222" t="s">
        <v>17</v>
      </c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</row>
    <row r="3" spans="1:24" ht="15" hidden="1" customHeight="1" thickBot="1"/>
    <row r="4" spans="1:24" ht="39" hidden="1" customHeight="1" thickBot="1">
      <c r="A4" s="214"/>
      <c r="B4" s="214"/>
      <c r="C4" s="214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14"/>
      <c r="B5" s="214"/>
      <c r="C5" s="214"/>
      <c r="D5" s="5"/>
      <c r="E5" s="5"/>
      <c r="F5" s="5"/>
      <c r="G5" s="5"/>
      <c r="H5" s="5"/>
      <c r="I5" s="5"/>
      <c r="J5" s="5"/>
      <c r="K5" s="5"/>
      <c r="L5" s="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</row>
    <row r="6" spans="1:24" s="5" customFormat="1" ht="44.25" hidden="1" customHeight="1" thickBot="1">
      <c r="A6" s="3"/>
      <c r="B6" s="3"/>
      <c r="C6" s="3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5"/>
    </row>
    <row r="7" spans="1:24" s="5" customFormat="1" ht="18.75" hidden="1" customHeight="1" thickBot="1">
      <c r="F7" s="215"/>
      <c r="G7" s="215"/>
      <c r="H7" s="215"/>
      <c r="I7" s="215"/>
      <c r="J7" s="215"/>
      <c r="K7" s="215"/>
      <c r="L7" s="215"/>
      <c r="M7" s="215"/>
      <c r="N7" s="224"/>
      <c r="O7" s="224"/>
      <c r="P7" s="215"/>
      <c r="Q7" s="215"/>
      <c r="R7" s="215"/>
      <c r="S7" s="215"/>
      <c r="T7" s="215"/>
      <c r="U7" s="215"/>
      <c r="V7" s="215"/>
      <c r="W7" s="215"/>
      <c r="X7" s="215"/>
    </row>
    <row r="8" spans="1:24" ht="18.75" customHeight="1" thickBot="1">
      <c r="A8" s="215"/>
      <c r="B8" s="226" t="s">
        <v>19</v>
      </c>
      <c r="C8" s="4"/>
      <c r="D8" s="227" t="s">
        <v>20</v>
      </c>
      <c r="E8" s="227" t="s">
        <v>21</v>
      </c>
      <c r="F8" s="209" t="s">
        <v>22</v>
      </c>
      <c r="G8" s="2"/>
      <c r="H8" s="216" t="s">
        <v>23</v>
      </c>
      <c r="I8" s="217"/>
      <c r="J8" s="218"/>
      <c r="K8" s="204" t="s">
        <v>24</v>
      </c>
      <c r="L8" s="208" t="s">
        <v>25</v>
      </c>
      <c r="M8" s="208"/>
      <c r="N8" s="208"/>
      <c r="O8" s="208" t="s">
        <v>26</v>
      </c>
      <c r="P8" s="2"/>
      <c r="Q8" s="206" t="s">
        <v>23</v>
      </c>
      <c r="R8" s="2"/>
      <c r="S8" s="206" t="s">
        <v>27</v>
      </c>
      <c r="T8" s="2"/>
      <c r="U8" s="206" t="s">
        <v>28</v>
      </c>
      <c r="V8" s="229" t="s">
        <v>29</v>
      </c>
      <c r="W8" s="2"/>
      <c r="X8" s="206" t="s">
        <v>23</v>
      </c>
    </row>
    <row r="9" spans="1:24" ht="59.25" customHeight="1" thickBot="1">
      <c r="A9" s="215"/>
      <c r="B9" s="226"/>
      <c r="C9" s="4"/>
      <c r="D9" s="228"/>
      <c r="E9" s="228"/>
      <c r="F9" s="210"/>
      <c r="G9" s="2"/>
      <c r="H9" s="219"/>
      <c r="I9" s="220"/>
      <c r="J9" s="221"/>
      <c r="K9" s="205"/>
      <c r="L9" s="146" t="s">
        <v>30</v>
      </c>
      <c r="M9" s="146" t="s">
        <v>31</v>
      </c>
      <c r="N9" s="146" t="s">
        <v>32</v>
      </c>
      <c r="O9" s="225"/>
      <c r="P9" s="2"/>
      <c r="Q9" s="207"/>
      <c r="R9" s="2"/>
      <c r="S9" s="207"/>
      <c r="T9" s="2"/>
      <c r="U9" s="207"/>
      <c r="V9" s="230"/>
      <c r="W9" s="2"/>
      <c r="X9" s="207"/>
    </row>
    <row r="10" spans="1:24" ht="32.25" customHeight="1">
      <c r="A10" s="2"/>
      <c r="B10" s="6">
        <v>44927</v>
      </c>
      <c r="C10" s="7"/>
      <c r="D10" s="134">
        <v>137</v>
      </c>
      <c r="E10" s="190">
        <v>257</v>
      </c>
      <c r="F10" s="13">
        <f>'Suivi EAU-ELEC'!E9</f>
        <v>167</v>
      </c>
      <c r="G10" s="11"/>
      <c r="H10" s="200">
        <f>F10*8.79</f>
        <v>1467.9299999999998</v>
      </c>
      <c r="I10" s="201"/>
      <c r="J10" s="201"/>
      <c r="K10" s="54">
        <v>42278</v>
      </c>
      <c r="L10" s="84">
        <f>'Suivi EAU-ELEC'!G9</f>
        <v>4739</v>
      </c>
      <c r="M10" s="85">
        <f>'Suivi EAU-ELEC'!I9</f>
        <v>8544</v>
      </c>
      <c r="N10" s="85">
        <f>'Suivi EAU-ELEC'!K9</f>
        <v>3818</v>
      </c>
      <c r="O10" s="85">
        <f>L10+M10+N10</f>
        <v>17101</v>
      </c>
      <c r="P10" s="11"/>
      <c r="Q10" s="34">
        <f>L10*0.6985+M10*0.9514+N10*1.3304</f>
        <v>16518.420299999998</v>
      </c>
      <c r="R10" s="11"/>
      <c r="S10" s="28"/>
      <c r="T10" s="11"/>
      <c r="U10" s="28"/>
      <c r="V10" s="137">
        <f>'Suvi Gaz'!O4</f>
        <v>415.98973000000001</v>
      </c>
      <c r="W10" s="11"/>
      <c r="X10" s="34">
        <f>V10*12.53</f>
        <v>5212.3513168999998</v>
      </c>
    </row>
    <row r="11" spans="1:24" ht="32.25" customHeight="1">
      <c r="A11" s="2"/>
      <c r="B11" s="6">
        <v>44928</v>
      </c>
      <c r="C11" s="7"/>
      <c r="D11" s="134">
        <v>121</v>
      </c>
      <c r="E11" s="134">
        <v>223</v>
      </c>
      <c r="F11" s="189">
        <f>'Suivi EAU-ELEC'!E10</f>
        <v>159</v>
      </c>
      <c r="G11" s="11"/>
      <c r="H11" s="200">
        <f t="shared" ref="H11:H21" si="0">F11*8.79</f>
        <v>1397.61</v>
      </c>
      <c r="I11" s="201"/>
      <c r="J11" s="201"/>
      <c r="K11" s="54">
        <v>42279</v>
      </c>
      <c r="L11" s="84">
        <f>'Suivi EAU-ELEC'!G10</f>
        <v>4247</v>
      </c>
      <c r="M11" s="85">
        <f>'Suivi EAU-ELEC'!I10</f>
        <v>6243</v>
      </c>
      <c r="N11" s="85">
        <f>'Suivi EAU-ELEC'!K10</f>
        <v>2852</v>
      </c>
      <c r="O11" s="85">
        <f>L11+M11+N11</f>
        <v>13342</v>
      </c>
      <c r="P11" s="11"/>
      <c r="Q11" s="34">
        <f>L11*0.6985+M11*0.9514+N14*1.3304</f>
        <v>12797.539700000001</v>
      </c>
      <c r="R11" s="11"/>
      <c r="S11" s="28"/>
      <c r="T11" s="11"/>
      <c r="U11" s="28"/>
      <c r="V11" s="137">
        <f>'Suvi Gaz'!O5</f>
        <v>639.98419999999999</v>
      </c>
      <c r="W11" s="11"/>
      <c r="X11" s="34">
        <f t="shared" ref="X11:X40" si="1">V11*12.53</f>
        <v>8019.0020259999992</v>
      </c>
    </row>
    <row r="12" spans="1:24" ht="32.25" customHeight="1">
      <c r="A12" s="2"/>
      <c r="B12" s="6">
        <v>44929</v>
      </c>
      <c r="C12" s="7"/>
      <c r="D12" s="134">
        <v>113</v>
      </c>
      <c r="E12" s="134">
        <v>193</v>
      </c>
      <c r="F12" s="13">
        <f>'Suivi EAU-ELEC'!E11</f>
        <v>157</v>
      </c>
      <c r="G12" s="11"/>
      <c r="H12" s="200">
        <f t="shared" si="0"/>
        <v>1380.03</v>
      </c>
      <c r="I12" s="201"/>
      <c r="J12" s="201"/>
      <c r="K12" s="54">
        <v>42280</v>
      </c>
      <c r="L12" s="84">
        <f>'Suivi EAU-ELEC'!G11</f>
        <v>4630</v>
      </c>
      <c r="M12" s="85">
        <f>'Suivi EAU-ELEC'!I11</f>
        <v>6449</v>
      </c>
      <c r="N12" s="85">
        <f>'Suivi EAU-ELEC'!K11</f>
        <v>3269</v>
      </c>
      <c r="O12" s="85">
        <f>L12+M12+N12</f>
        <v>14348</v>
      </c>
      <c r="P12" s="11"/>
      <c r="Q12" s="34">
        <f>L12*0.6985+M12*0.9514+N12*1.3304</f>
        <v>13718.7112</v>
      </c>
      <c r="R12" s="11"/>
      <c r="S12" s="28"/>
      <c r="T12" s="11"/>
      <c r="U12" s="28"/>
      <c r="V12" s="137">
        <f>'Suvi Gaz'!O6</f>
        <v>639.98419999999999</v>
      </c>
      <c r="W12" s="11"/>
      <c r="X12" s="34">
        <f t="shared" si="1"/>
        <v>8019.0020259999992</v>
      </c>
    </row>
    <row r="13" spans="1:24" ht="32.25" customHeight="1">
      <c r="A13" s="2"/>
      <c r="B13" s="6">
        <v>44930</v>
      </c>
      <c r="C13" s="7"/>
      <c r="D13" s="134">
        <v>99</v>
      </c>
      <c r="E13" s="134">
        <v>175</v>
      </c>
      <c r="F13" s="13">
        <f>'Suivi EAU-ELEC'!E12</f>
        <v>141</v>
      </c>
      <c r="G13" s="11"/>
      <c r="H13" s="200">
        <f t="shared" si="0"/>
        <v>1239.3899999999999</v>
      </c>
      <c r="I13" s="201"/>
      <c r="J13" s="201"/>
      <c r="K13" s="54">
        <v>42281</v>
      </c>
      <c r="L13" s="84">
        <f>'Suivi EAU-ELEC'!G12</f>
        <v>3876</v>
      </c>
      <c r="M13" s="85">
        <f>'Suivi EAU-ELEC'!I12</f>
        <v>6438</v>
      </c>
      <c r="N13" s="85">
        <f>'Suivi EAU-ELEC'!K12</f>
        <v>2987</v>
      </c>
      <c r="O13" s="85">
        <f t="shared" ref="O13:O40" si="2">L13+M13+N13</f>
        <v>13301</v>
      </c>
      <c r="P13" s="11"/>
      <c r="Q13" s="34">
        <f t="shared" ref="Q13:Q40" si="3">L13*0.6985+M13*0.9514+N13*1.3304</f>
        <v>12806.404</v>
      </c>
      <c r="R13" s="11"/>
      <c r="S13" s="28"/>
      <c r="T13" s="11"/>
      <c r="U13" s="28"/>
      <c r="V13" s="137">
        <f>'Suvi Gaz'!O7</f>
        <v>577.07460000000003</v>
      </c>
      <c r="W13" s="11"/>
      <c r="X13" s="34">
        <f t="shared" si="1"/>
        <v>7230.7447380000003</v>
      </c>
    </row>
    <row r="14" spans="1:24" ht="32.25" customHeight="1">
      <c r="A14" s="2"/>
      <c r="B14" s="6">
        <v>44931</v>
      </c>
      <c r="C14" s="7"/>
      <c r="D14" s="134">
        <v>99</v>
      </c>
      <c r="E14" s="134">
        <v>180</v>
      </c>
      <c r="F14" s="13">
        <f>'Suivi EAU-ELEC'!E13</f>
        <v>151</v>
      </c>
      <c r="G14" s="12"/>
      <c r="H14" s="200">
        <f t="shared" si="0"/>
        <v>1327.29</v>
      </c>
      <c r="I14" s="201"/>
      <c r="J14" s="201"/>
      <c r="K14" s="54">
        <v>42282</v>
      </c>
      <c r="L14" s="84">
        <f>'Suivi EAU-ELEC'!G13</f>
        <v>4399</v>
      </c>
      <c r="M14" s="85">
        <f>'Suivi EAU-ELEC'!I13</f>
        <v>6321</v>
      </c>
      <c r="N14" s="85">
        <f>'Suivi EAU-ELEC'!K13</f>
        <v>2925</v>
      </c>
      <c r="O14" s="85">
        <f t="shared" si="2"/>
        <v>13645</v>
      </c>
      <c r="P14" s="12"/>
      <c r="Q14" s="34">
        <f t="shared" si="3"/>
        <v>12977.920899999999</v>
      </c>
      <c r="R14" s="12"/>
      <c r="S14" s="28"/>
      <c r="T14" s="12"/>
      <c r="U14" s="28"/>
      <c r="V14" s="137">
        <f>'Suvi Gaz'!O8</f>
        <v>671.98341000000005</v>
      </c>
      <c r="W14" s="11"/>
      <c r="X14" s="34">
        <f t="shared" si="1"/>
        <v>8419.9521273000009</v>
      </c>
    </row>
    <row r="15" spans="1:24" ht="32.25" customHeight="1">
      <c r="A15" s="5"/>
      <c r="B15" s="6">
        <v>44932</v>
      </c>
      <c r="C15" s="7"/>
      <c r="D15" s="134">
        <v>126</v>
      </c>
      <c r="E15" s="134">
        <v>226</v>
      </c>
      <c r="F15" s="13">
        <f>'Suivi EAU-ELEC'!E14</f>
        <v>156</v>
      </c>
      <c r="G15" s="11"/>
      <c r="H15" s="200">
        <f t="shared" si="0"/>
        <v>1371.2399999999998</v>
      </c>
      <c r="I15" s="201"/>
      <c r="J15" s="201"/>
      <c r="K15" s="54">
        <v>42283</v>
      </c>
      <c r="L15" s="84">
        <f>'Suivi EAU-ELEC'!G14</f>
        <v>4942</v>
      </c>
      <c r="M15" s="85">
        <f>'Suivi EAU-ELEC'!I14</f>
        <v>6153</v>
      </c>
      <c r="N15" s="85">
        <f>'Suivi EAU-ELEC'!K14</f>
        <v>2919</v>
      </c>
      <c r="O15" s="85">
        <f t="shared" si="2"/>
        <v>14014</v>
      </c>
      <c r="P15" s="12"/>
      <c r="Q15" s="34">
        <f>L15*0.6985+M15*0.9514+N15*1.3304</f>
        <v>13189.388800000001</v>
      </c>
      <c r="R15" s="12"/>
      <c r="S15" s="28"/>
      <c r="T15" s="12"/>
      <c r="U15" s="28"/>
      <c r="V15" s="137">
        <f>'Suvi Gaz'!O9</f>
        <v>607.98499000000004</v>
      </c>
      <c r="W15" s="11"/>
      <c r="X15" s="34">
        <f t="shared" si="1"/>
        <v>7618.0519247000002</v>
      </c>
    </row>
    <row r="16" spans="1:24" ht="32.25" customHeight="1">
      <c r="A16" s="5"/>
      <c r="B16" s="6">
        <v>44933</v>
      </c>
      <c r="C16" s="7"/>
      <c r="D16" s="134">
        <v>95</v>
      </c>
      <c r="E16" s="134">
        <v>157</v>
      </c>
      <c r="F16" s="13">
        <f>'Suivi EAU-ELEC'!E15</f>
        <v>162</v>
      </c>
      <c r="G16" s="11"/>
      <c r="H16" s="200">
        <f t="shared" si="0"/>
        <v>1423.9799999999998</v>
      </c>
      <c r="I16" s="201"/>
      <c r="J16" s="201"/>
      <c r="K16" s="54">
        <v>42284</v>
      </c>
      <c r="L16" s="84">
        <f>'Suivi EAU-ELEC'!G15</f>
        <v>4033</v>
      </c>
      <c r="M16" s="85">
        <f>'Suivi EAU-ELEC'!I15</f>
        <v>6163</v>
      </c>
      <c r="N16" s="85">
        <f>'Suivi EAU-ELEC'!K15</f>
        <v>2760</v>
      </c>
      <c r="O16" s="85">
        <f t="shared" si="2"/>
        <v>12956</v>
      </c>
      <c r="P16" s="11"/>
      <c r="Q16" s="34">
        <f t="shared" si="3"/>
        <v>12352.432700000001</v>
      </c>
      <c r="R16" s="11"/>
      <c r="S16" s="28"/>
      <c r="T16" s="11"/>
      <c r="U16" s="28"/>
      <c r="V16" s="137">
        <f>'Suvi Gaz'!O10</f>
        <v>383.99052</v>
      </c>
      <c r="W16" s="11"/>
      <c r="X16" s="34">
        <f t="shared" si="1"/>
        <v>4811.4012155999999</v>
      </c>
    </row>
    <row r="17" spans="1:24" s="5" customFormat="1" ht="32.25" customHeight="1">
      <c r="A17" s="2"/>
      <c r="B17" s="6">
        <v>44934</v>
      </c>
      <c r="C17" s="7"/>
      <c r="D17" s="134">
        <v>85</v>
      </c>
      <c r="E17" s="134">
        <v>139</v>
      </c>
      <c r="F17" s="13">
        <f>'Suivi EAU-ELEC'!E16</f>
        <v>130</v>
      </c>
      <c r="G17" s="11"/>
      <c r="H17" s="200">
        <f t="shared" si="0"/>
        <v>1142.6999999999998</v>
      </c>
      <c r="I17" s="201"/>
      <c r="J17" s="201"/>
      <c r="K17" s="54">
        <v>42285</v>
      </c>
      <c r="L17" s="84">
        <f>'Suivi EAU-ELEC'!G16</f>
        <v>3937</v>
      </c>
      <c r="M17" s="85">
        <f>'Suivi EAU-ELEC'!I16</f>
        <v>5971</v>
      </c>
      <c r="N17" s="85">
        <f>'Suivi EAU-ELEC'!K16</f>
        <v>2943</v>
      </c>
      <c r="O17" s="85">
        <f t="shared" si="2"/>
        <v>12851</v>
      </c>
      <c r="P17" s="12"/>
      <c r="Q17" s="34">
        <f t="shared" si="3"/>
        <v>12346.171100000001</v>
      </c>
      <c r="R17" s="12"/>
      <c r="S17" s="28"/>
      <c r="T17" s="12"/>
      <c r="U17" s="28"/>
      <c r="V17" s="137">
        <f>'Suvi Gaz'!O11</f>
        <v>863.97867000000008</v>
      </c>
      <c r="W17" s="11"/>
      <c r="X17" s="34">
        <f t="shared" si="1"/>
        <v>10825.6527351</v>
      </c>
    </row>
    <row r="18" spans="1:24" ht="32.25" customHeight="1">
      <c r="A18" s="2"/>
      <c r="B18" s="6">
        <v>44935</v>
      </c>
      <c r="C18" s="7"/>
      <c r="D18" s="134">
        <v>70</v>
      </c>
      <c r="E18" s="134">
        <v>115</v>
      </c>
      <c r="F18" s="13">
        <f>'Suivi EAU-ELEC'!E17</f>
        <v>100</v>
      </c>
      <c r="G18" s="11"/>
      <c r="H18" s="200">
        <f t="shared" si="0"/>
        <v>878.99999999999989</v>
      </c>
      <c r="I18" s="201"/>
      <c r="J18" s="201"/>
      <c r="K18" s="54">
        <v>42286</v>
      </c>
      <c r="L18" s="84">
        <f>'Suivi EAU-ELEC'!G17</f>
        <v>4846</v>
      </c>
      <c r="M18" s="85">
        <f>'Suivi EAU-ELEC'!I17</f>
        <v>6010</v>
      </c>
      <c r="N18" s="85">
        <f>'Suivi EAU-ELEC'!K17</f>
        <v>2836</v>
      </c>
      <c r="O18" s="85">
        <f t="shared" si="2"/>
        <v>13692</v>
      </c>
      <c r="P18" s="12"/>
      <c r="Q18" s="34">
        <f t="shared" si="3"/>
        <v>12875.859399999999</v>
      </c>
      <c r="R18" s="12"/>
      <c r="S18" s="28"/>
      <c r="T18" s="12"/>
      <c r="U18" s="28"/>
      <c r="V18" s="137">
        <f>'Suvi Gaz'!O12</f>
        <v>479.98815000000002</v>
      </c>
      <c r="W18" s="11"/>
      <c r="X18" s="34">
        <f t="shared" si="1"/>
        <v>6014.2515194999996</v>
      </c>
    </row>
    <row r="19" spans="1:24" ht="32.25" customHeight="1">
      <c r="A19" s="2"/>
      <c r="B19" s="6">
        <v>44936</v>
      </c>
      <c r="C19" s="7"/>
      <c r="D19" s="134">
        <v>75</v>
      </c>
      <c r="E19" s="134">
        <v>125</v>
      </c>
      <c r="F19" s="13">
        <f>'Suivi EAU-ELEC'!E18</f>
        <v>121</v>
      </c>
      <c r="G19" s="12"/>
      <c r="H19" s="200">
        <f t="shared" si="0"/>
        <v>1063.5899999999999</v>
      </c>
      <c r="I19" s="201"/>
      <c r="J19" s="201"/>
      <c r="K19" s="54">
        <v>42287</v>
      </c>
      <c r="L19" s="84">
        <f>'Suivi EAU-ELEC'!G18</f>
        <v>4039</v>
      </c>
      <c r="M19" s="85">
        <f>'Suivi EAU-ELEC'!I18</f>
        <v>6059</v>
      </c>
      <c r="N19" s="85">
        <f>'Suivi EAU-ELEC'!K18</f>
        <v>2923</v>
      </c>
      <c r="O19" s="85">
        <f t="shared" si="2"/>
        <v>13021</v>
      </c>
      <c r="P19" s="12"/>
      <c r="Q19" s="34">
        <f t="shared" si="3"/>
        <v>12474.533300000001</v>
      </c>
      <c r="R19" s="12"/>
      <c r="S19" s="28"/>
      <c r="T19" s="12"/>
      <c r="U19" s="28"/>
      <c r="V19" s="137">
        <f>'Suvi Gaz'!O13</f>
        <v>543.98657000000003</v>
      </c>
      <c r="W19" s="11"/>
      <c r="X19" s="34">
        <f t="shared" si="1"/>
        <v>6816.1517221000004</v>
      </c>
    </row>
    <row r="20" spans="1:24" ht="32.25" customHeight="1">
      <c r="A20" s="2"/>
      <c r="B20" s="6">
        <v>44937</v>
      </c>
      <c r="C20" s="7"/>
      <c r="D20" s="134">
        <v>67</v>
      </c>
      <c r="E20" s="134">
        <v>115</v>
      </c>
      <c r="F20" s="13">
        <f>'Suivi EAU-ELEC'!E19</f>
        <v>106</v>
      </c>
      <c r="G20" s="12"/>
      <c r="H20" s="200">
        <f t="shared" si="0"/>
        <v>931.7399999999999</v>
      </c>
      <c r="I20" s="201"/>
      <c r="J20" s="201"/>
      <c r="K20" s="54">
        <v>42288</v>
      </c>
      <c r="L20" s="84">
        <f>'Suivi EAU-ELEC'!G19</f>
        <v>3978</v>
      </c>
      <c r="M20" s="85">
        <f>'Suivi EAU-ELEC'!I19</f>
        <v>5843</v>
      </c>
      <c r="N20" s="85">
        <f>'Suivi EAU-ELEC'!K19</f>
        <v>2756</v>
      </c>
      <c r="O20" s="85">
        <f t="shared" si="2"/>
        <v>12577</v>
      </c>
      <c r="P20" s="12"/>
      <c r="Q20" s="34">
        <f t="shared" si="3"/>
        <v>12004.245600000002</v>
      </c>
      <c r="R20" s="12"/>
      <c r="S20" s="28"/>
      <c r="T20" s="12"/>
      <c r="U20" s="28"/>
      <c r="V20" s="137">
        <f>'Suvi Gaz'!O14</f>
        <v>639.98419999999999</v>
      </c>
      <c r="W20" s="11"/>
      <c r="X20" s="34">
        <f t="shared" si="1"/>
        <v>8019.0020259999992</v>
      </c>
    </row>
    <row r="21" spans="1:24" ht="32.25" customHeight="1">
      <c r="A21" s="2"/>
      <c r="B21" s="6">
        <v>44938</v>
      </c>
      <c r="C21" s="7"/>
      <c r="D21" s="134">
        <v>77</v>
      </c>
      <c r="E21" s="134">
        <v>110</v>
      </c>
      <c r="F21" s="13">
        <f>'Suivi EAU-ELEC'!E20</f>
        <v>104</v>
      </c>
      <c r="G21" s="12"/>
      <c r="H21" s="200">
        <f t="shared" si="0"/>
        <v>914.15999999999985</v>
      </c>
      <c r="I21" s="201"/>
      <c r="J21" s="201"/>
      <c r="K21" s="54">
        <v>42289</v>
      </c>
      <c r="L21" s="84">
        <f>'Suivi EAU-ELEC'!G20</f>
        <v>4249</v>
      </c>
      <c r="M21" s="85">
        <f>'Suivi EAU-ELEC'!I20</f>
        <v>6040</v>
      </c>
      <c r="N21" s="85">
        <f>'Suivi EAU-ELEC'!K20</f>
        <v>3060</v>
      </c>
      <c r="O21" s="85">
        <f>L21+M21+N21</f>
        <v>13349</v>
      </c>
      <c r="P21" s="12"/>
      <c r="Q21" s="34">
        <f t="shared" si="3"/>
        <v>12785.406499999999</v>
      </c>
      <c r="R21" s="12"/>
      <c r="S21" s="28"/>
      <c r="T21" s="12"/>
      <c r="U21" s="28"/>
      <c r="V21" s="137">
        <f>'Suvi Gaz'!O15</f>
        <v>319.99209999999999</v>
      </c>
      <c r="W21" s="11"/>
      <c r="X21" s="34">
        <f t="shared" si="1"/>
        <v>4009.5010129999996</v>
      </c>
    </row>
    <row r="22" spans="1:24" ht="32.25" customHeight="1">
      <c r="A22" s="2"/>
      <c r="B22" s="6">
        <v>44939</v>
      </c>
      <c r="C22" s="7"/>
      <c r="D22" s="134"/>
      <c r="E22" s="134"/>
      <c r="F22" s="13">
        <f>'Suivi EAU-ELEC'!E21</f>
        <v>110</v>
      </c>
      <c r="G22" s="12"/>
      <c r="H22" s="200">
        <f t="shared" ref="H22:H35" si="4">F22*8.79</f>
        <v>966.89999999999986</v>
      </c>
      <c r="I22" s="201"/>
      <c r="J22" s="201"/>
      <c r="K22" s="54">
        <v>42290</v>
      </c>
      <c r="L22" s="84">
        <f>'Suivi EAU-ELEC'!G21</f>
        <v>4294</v>
      </c>
      <c r="M22" s="85">
        <f>'Suivi EAU-ELEC'!I21</f>
        <v>6314</v>
      </c>
      <c r="N22" s="85">
        <f>'Suivi EAU-ELEC'!K21</f>
        <v>2846</v>
      </c>
      <c r="O22" s="85">
        <f t="shared" si="2"/>
        <v>13454</v>
      </c>
      <c r="P22" s="12"/>
      <c r="Q22" s="34">
        <f t="shared" si="3"/>
        <v>12792.817000000001</v>
      </c>
      <c r="R22" s="12"/>
      <c r="S22" s="28"/>
      <c r="T22" s="12"/>
      <c r="U22" s="28"/>
      <c r="V22" s="137">
        <f>'Suvi Gaz'!O16</f>
        <v>0</v>
      </c>
      <c r="W22" s="11"/>
      <c r="X22" s="34">
        <f t="shared" si="1"/>
        <v>0</v>
      </c>
    </row>
    <row r="23" spans="1:24" ht="32.25" customHeight="1">
      <c r="A23" s="2"/>
      <c r="B23" s="6">
        <v>44940</v>
      </c>
      <c r="C23" s="7"/>
      <c r="D23" s="134"/>
      <c r="E23" s="134"/>
      <c r="F23" s="13">
        <f>'Suivi EAU-ELEC'!E22</f>
        <v>0</v>
      </c>
      <c r="G23" s="14"/>
      <c r="H23" s="200">
        <f t="shared" si="4"/>
        <v>0</v>
      </c>
      <c r="I23" s="201"/>
      <c r="J23" s="201"/>
      <c r="K23" s="54">
        <v>42291</v>
      </c>
      <c r="L23" s="84">
        <f>'Suivi EAU-ELEC'!G22</f>
        <v>0</v>
      </c>
      <c r="M23" s="85">
        <f>'Suivi EAU-ELEC'!I22</f>
        <v>0</v>
      </c>
      <c r="N23" s="85">
        <f>'Suivi EAU-ELEC'!K22</f>
        <v>0</v>
      </c>
      <c r="O23" s="85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37">
        <f>'Suvi Gaz'!O17</f>
        <v>0</v>
      </c>
      <c r="W23" s="11"/>
      <c r="X23" s="34">
        <f t="shared" si="1"/>
        <v>0</v>
      </c>
    </row>
    <row r="24" spans="1:24" ht="32.25" customHeight="1">
      <c r="A24" s="2"/>
      <c r="B24" s="6">
        <v>44941</v>
      </c>
      <c r="C24" s="7"/>
      <c r="D24" s="134"/>
      <c r="E24" s="134"/>
      <c r="F24" s="13">
        <f>'Suivi EAU-ELEC'!E23</f>
        <v>0</v>
      </c>
      <c r="G24" s="14"/>
      <c r="H24" s="200">
        <f t="shared" si="4"/>
        <v>0</v>
      </c>
      <c r="I24" s="201"/>
      <c r="J24" s="201"/>
      <c r="K24" s="54">
        <v>42292</v>
      </c>
      <c r="L24" s="84">
        <f>'Suivi EAU-ELEC'!G23</f>
        <v>0</v>
      </c>
      <c r="M24" s="85">
        <f>'Suivi EAU-ELEC'!I23</f>
        <v>0</v>
      </c>
      <c r="N24" s="85">
        <f>'Suivi EAU-ELEC'!K23</f>
        <v>0</v>
      </c>
      <c r="O24" s="85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37">
        <f>'Suvi Gaz'!O18</f>
        <v>0</v>
      </c>
      <c r="W24" s="11"/>
      <c r="X24" s="34">
        <f t="shared" si="1"/>
        <v>0</v>
      </c>
    </row>
    <row r="25" spans="1:24" ht="32.25" customHeight="1">
      <c r="A25" s="2"/>
      <c r="B25" s="6">
        <v>44942</v>
      </c>
      <c r="C25" s="7"/>
      <c r="D25" s="134"/>
      <c r="E25" s="134"/>
      <c r="F25" s="13">
        <f>'Suivi EAU-ELEC'!E24</f>
        <v>0</v>
      </c>
      <c r="G25" s="14"/>
      <c r="H25" s="200">
        <f t="shared" si="4"/>
        <v>0</v>
      </c>
      <c r="I25" s="201"/>
      <c r="J25" s="201"/>
      <c r="K25" s="54">
        <v>42293</v>
      </c>
      <c r="L25" s="84">
        <f>'Suivi EAU-ELEC'!G24</f>
        <v>0</v>
      </c>
      <c r="M25" s="85">
        <f>'Suivi EAU-ELEC'!I24</f>
        <v>0</v>
      </c>
      <c r="N25" s="85">
        <f>'Suivi EAU-ELEC'!K24</f>
        <v>0</v>
      </c>
      <c r="O25" s="85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37">
        <f>'Suvi Gaz'!O19</f>
        <v>0</v>
      </c>
      <c r="W25" s="11"/>
      <c r="X25" s="34">
        <f t="shared" si="1"/>
        <v>0</v>
      </c>
    </row>
    <row r="26" spans="1:24" ht="32.25" customHeight="1">
      <c r="A26" s="2"/>
      <c r="B26" s="6">
        <v>44943</v>
      </c>
      <c r="C26" s="7"/>
      <c r="D26" s="134"/>
      <c r="E26" s="134"/>
      <c r="F26" s="13">
        <f>'Suivi EAU-ELEC'!E25</f>
        <v>0</v>
      </c>
      <c r="G26" s="14"/>
      <c r="H26" s="200">
        <f t="shared" si="4"/>
        <v>0</v>
      </c>
      <c r="I26" s="201"/>
      <c r="J26" s="201"/>
      <c r="K26" s="54">
        <v>42294</v>
      </c>
      <c r="L26" s="84">
        <f>'Suivi EAU-ELEC'!G25</f>
        <v>0</v>
      </c>
      <c r="M26" s="85">
        <f>'Suivi EAU-ELEC'!I25</f>
        <v>0</v>
      </c>
      <c r="N26" s="85">
        <f>'Suivi EAU-ELEC'!K25</f>
        <v>0</v>
      </c>
      <c r="O26" s="85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37">
        <f>'Suvi Gaz'!O20</f>
        <v>0</v>
      </c>
      <c r="W26" s="11"/>
      <c r="X26" s="34">
        <f t="shared" si="1"/>
        <v>0</v>
      </c>
    </row>
    <row r="27" spans="1:24" ht="32.25" customHeight="1">
      <c r="A27" s="2"/>
      <c r="B27" s="6">
        <v>44944</v>
      </c>
      <c r="C27" s="7"/>
      <c r="D27" s="134"/>
      <c r="E27" s="134"/>
      <c r="F27" s="13">
        <f>'Suivi EAU-ELEC'!E26</f>
        <v>0</v>
      </c>
      <c r="G27" s="14"/>
      <c r="H27" s="200">
        <f t="shared" si="4"/>
        <v>0</v>
      </c>
      <c r="I27" s="201"/>
      <c r="J27" s="201"/>
      <c r="K27" s="54">
        <v>42295</v>
      </c>
      <c r="L27" s="84">
        <f>'Suivi EAU-ELEC'!G26</f>
        <v>0</v>
      </c>
      <c r="M27" s="85">
        <f>'Suivi EAU-ELEC'!I26</f>
        <v>0</v>
      </c>
      <c r="N27" s="85">
        <f>'Suivi EAU-ELEC'!K26</f>
        <v>0</v>
      </c>
      <c r="O27" s="85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37">
        <f>'Suvi Gaz'!O21</f>
        <v>0</v>
      </c>
      <c r="W27" s="11"/>
      <c r="X27" s="34">
        <f t="shared" si="1"/>
        <v>0</v>
      </c>
    </row>
    <row r="28" spans="1:24" ht="32.25" customHeight="1">
      <c r="A28" s="2"/>
      <c r="B28" s="6">
        <v>44945</v>
      </c>
      <c r="C28" s="7"/>
      <c r="D28" s="134"/>
      <c r="E28" s="134"/>
      <c r="F28" s="13">
        <f>'Suivi EAU-ELEC'!E27</f>
        <v>0</v>
      </c>
      <c r="G28" s="11"/>
      <c r="H28" s="200">
        <f t="shared" si="4"/>
        <v>0</v>
      </c>
      <c r="I28" s="201"/>
      <c r="J28" s="201"/>
      <c r="K28" s="54">
        <v>42296</v>
      </c>
      <c r="L28" s="84">
        <f>'Suivi EAU-ELEC'!G27</f>
        <v>0</v>
      </c>
      <c r="M28" s="85">
        <f>'Suivi EAU-ELEC'!I27</f>
        <v>0</v>
      </c>
      <c r="N28" s="85">
        <f>'Suivi EAU-ELEC'!K27</f>
        <v>0</v>
      </c>
      <c r="O28" s="85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37">
        <f>'Suvi Gaz'!O22</f>
        <v>0</v>
      </c>
      <c r="W28" s="11"/>
      <c r="X28" s="34">
        <f t="shared" si="1"/>
        <v>0</v>
      </c>
    </row>
    <row r="29" spans="1:24" ht="32.25" customHeight="1">
      <c r="A29" s="2"/>
      <c r="B29" s="6">
        <v>44946</v>
      </c>
      <c r="C29" s="7"/>
      <c r="D29" s="134"/>
      <c r="E29" s="134"/>
      <c r="F29" s="13">
        <f>'Suivi EAU-ELEC'!E28</f>
        <v>0</v>
      </c>
      <c r="G29" s="11"/>
      <c r="H29" s="200">
        <f t="shared" si="4"/>
        <v>0</v>
      </c>
      <c r="I29" s="201"/>
      <c r="J29" s="201"/>
      <c r="K29" s="54">
        <v>42297</v>
      </c>
      <c r="L29" s="84">
        <f>'Suivi EAU-ELEC'!G28</f>
        <v>0</v>
      </c>
      <c r="M29" s="85">
        <f>'Suivi EAU-ELEC'!I28</f>
        <v>0</v>
      </c>
      <c r="N29" s="85">
        <f>'Suivi EAU-ELEC'!K28</f>
        <v>0</v>
      </c>
      <c r="O29" s="85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37">
        <f>'Suvi Gaz'!O23</f>
        <v>0</v>
      </c>
      <c r="W29" s="11"/>
      <c r="X29" s="34">
        <f t="shared" si="1"/>
        <v>0</v>
      </c>
    </row>
    <row r="30" spans="1:24" ht="32.25" customHeight="1">
      <c r="A30" s="2"/>
      <c r="B30" s="6">
        <v>44947</v>
      </c>
      <c r="C30" s="7"/>
      <c r="D30" s="134"/>
      <c r="E30" s="134"/>
      <c r="F30" s="13">
        <f>'Suivi EAU-ELEC'!E29</f>
        <v>0</v>
      </c>
      <c r="G30" s="11"/>
      <c r="H30" s="200">
        <f t="shared" si="4"/>
        <v>0</v>
      </c>
      <c r="I30" s="201"/>
      <c r="J30" s="201"/>
      <c r="K30" s="54">
        <v>42298</v>
      </c>
      <c r="L30" s="84">
        <f>'Suivi EAU-ELEC'!G29</f>
        <v>0</v>
      </c>
      <c r="M30" s="85">
        <f>'Suivi EAU-ELEC'!I29</f>
        <v>0</v>
      </c>
      <c r="N30" s="85">
        <f>'Suivi EAU-ELEC'!K29</f>
        <v>0</v>
      </c>
      <c r="O30" s="85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37">
        <f>'Suvi Gaz'!O24</f>
        <v>0</v>
      </c>
      <c r="W30" s="11"/>
      <c r="X30" s="34">
        <f t="shared" si="1"/>
        <v>0</v>
      </c>
    </row>
    <row r="31" spans="1:24" ht="27.75" customHeight="1">
      <c r="A31" s="2"/>
      <c r="B31" s="6">
        <v>44948</v>
      </c>
      <c r="C31" s="7"/>
      <c r="D31" s="134"/>
      <c r="E31" s="134"/>
      <c r="F31" s="13">
        <f>'Suivi EAU-ELEC'!E30</f>
        <v>0</v>
      </c>
      <c r="G31" s="11"/>
      <c r="H31" s="200">
        <f t="shared" si="4"/>
        <v>0</v>
      </c>
      <c r="I31" s="201"/>
      <c r="J31" s="201"/>
      <c r="K31" s="54">
        <v>42299</v>
      </c>
      <c r="L31" s="84">
        <f>'Suivi EAU-ELEC'!G30</f>
        <v>0</v>
      </c>
      <c r="M31" s="85">
        <f>'Suivi EAU-ELEC'!I30</f>
        <v>0</v>
      </c>
      <c r="N31" s="85">
        <f>'Suivi EAU-ELEC'!K30</f>
        <v>0</v>
      </c>
      <c r="O31" s="85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37">
        <f>'Suvi Gaz'!O25</f>
        <v>0</v>
      </c>
      <c r="W31" s="11"/>
      <c r="X31" s="34">
        <f t="shared" si="1"/>
        <v>0</v>
      </c>
    </row>
    <row r="32" spans="1:24" ht="37.5" customHeight="1">
      <c r="A32" s="2"/>
      <c r="B32" s="6">
        <v>44949</v>
      </c>
      <c r="C32" s="7"/>
      <c r="D32" s="134"/>
      <c r="E32" s="134"/>
      <c r="F32" s="13">
        <f>'Suivi EAU-ELEC'!E31</f>
        <v>0</v>
      </c>
      <c r="G32" s="11"/>
      <c r="H32" s="200">
        <f t="shared" si="4"/>
        <v>0</v>
      </c>
      <c r="I32" s="201"/>
      <c r="J32" s="201"/>
      <c r="K32" s="54">
        <v>42300</v>
      </c>
      <c r="L32" s="84">
        <f>'Suivi EAU-ELEC'!G31</f>
        <v>0</v>
      </c>
      <c r="M32" s="85">
        <f>'Suivi EAU-ELEC'!I31</f>
        <v>0</v>
      </c>
      <c r="N32" s="85">
        <f>'Suivi EAU-ELEC'!K31</f>
        <v>0</v>
      </c>
      <c r="O32" s="85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37">
        <f>'Suvi Gaz'!O26</f>
        <v>0</v>
      </c>
      <c r="W32" s="11"/>
      <c r="X32" s="34">
        <f t="shared" si="1"/>
        <v>0</v>
      </c>
    </row>
    <row r="33" spans="1:24" ht="37.5" customHeight="1">
      <c r="A33" s="2"/>
      <c r="B33" s="6">
        <v>44950</v>
      </c>
      <c r="C33" s="7"/>
      <c r="D33" s="134"/>
      <c r="E33" s="134"/>
      <c r="F33" s="13">
        <f>'Suivi EAU-ELEC'!E32</f>
        <v>0</v>
      </c>
      <c r="G33" s="11"/>
      <c r="H33" s="200">
        <f t="shared" si="4"/>
        <v>0</v>
      </c>
      <c r="I33" s="201"/>
      <c r="J33" s="201"/>
      <c r="K33" s="54">
        <v>42301</v>
      </c>
      <c r="L33" s="84">
        <f>'Suivi EAU-ELEC'!G32</f>
        <v>0</v>
      </c>
      <c r="M33" s="85">
        <f>'Suivi EAU-ELEC'!I32</f>
        <v>0</v>
      </c>
      <c r="N33" s="85">
        <f>'Suivi EAU-ELEC'!K32</f>
        <v>0</v>
      </c>
      <c r="O33" s="85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37">
        <f>'Suvi Gaz'!O27</f>
        <v>0</v>
      </c>
      <c r="W33" s="11"/>
      <c r="X33" s="34">
        <f t="shared" si="1"/>
        <v>0</v>
      </c>
    </row>
    <row r="34" spans="1:24" ht="37.5" customHeight="1">
      <c r="A34" s="2"/>
      <c r="B34" s="6">
        <v>44951</v>
      </c>
      <c r="C34" s="7"/>
      <c r="D34" s="134"/>
      <c r="E34" s="134"/>
      <c r="F34" s="13">
        <f>'Suivi EAU-ELEC'!E33</f>
        <v>0</v>
      </c>
      <c r="G34" s="11"/>
      <c r="H34" s="200">
        <f t="shared" si="4"/>
        <v>0</v>
      </c>
      <c r="I34" s="201"/>
      <c r="J34" s="201"/>
      <c r="K34" s="54">
        <v>42302</v>
      </c>
      <c r="L34" s="84">
        <f>'Suivi EAU-ELEC'!G33</f>
        <v>0</v>
      </c>
      <c r="M34" s="85">
        <f>'Suivi EAU-ELEC'!I33</f>
        <v>0</v>
      </c>
      <c r="N34" s="85">
        <f>'Suivi EAU-ELEC'!K33</f>
        <v>0</v>
      </c>
      <c r="O34" s="85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37">
        <f>'Suvi Gaz'!O28</f>
        <v>0</v>
      </c>
      <c r="W34" s="11"/>
      <c r="X34" s="34">
        <f t="shared" si="1"/>
        <v>0</v>
      </c>
    </row>
    <row r="35" spans="1:24" ht="33.75" customHeight="1">
      <c r="A35" s="2"/>
      <c r="B35" s="6">
        <v>44952</v>
      </c>
      <c r="C35" s="7"/>
      <c r="D35" s="134"/>
      <c r="E35" s="134"/>
      <c r="F35" s="13">
        <f>'Suivi EAU-ELEC'!E34</f>
        <v>0</v>
      </c>
      <c r="G35" s="11"/>
      <c r="H35" s="200">
        <f t="shared" si="4"/>
        <v>0</v>
      </c>
      <c r="I35" s="201"/>
      <c r="J35" s="201"/>
      <c r="K35" s="54">
        <v>42303</v>
      </c>
      <c r="L35" s="84">
        <f>'Suivi EAU-ELEC'!G34</f>
        <v>0</v>
      </c>
      <c r="M35" s="85">
        <f>'Suivi EAU-ELEC'!I34</f>
        <v>0</v>
      </c>
      <c r="N35" s="85">
        <f>'Suivi EAU-ELEC'!K34</f>
        <v>0</v>
      </c>
      <c r="O35" s="85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37">
        <f>'Suvi Gaz'!O29</f>
        <v>0</v>
      </c>
      <c r="W35" s="11"/>
      <c r="X35" s="34">
        <f t="shared" si="1"/>
        <v>0</v>
      </c>
    </row>
    <row r="36" spans="1:24" ht="33.75" customHeight="1">
      <c r="A36" s="2"/>
      <c r="B36" s="6">
        <v>44953</v>
      </c>
      <c r="C36" s="7"/>
      <c r="D36" s="134"/>
      <c r="E36" s="134"/>
      <c r="F36" s="13">
        <f>'Suivi EAU-ELEC'!E35</f>
        <v>0</v>
      </c>
      <c r="G36" s="11"/>
      <c r="H36" s="200">
        <f>F36*8.79</f>
        <v>0</v>
      </c>
      <c r="I36" s="201"/>
      <c r="J36" s="201"/>
      <c r="K36" s="54">
        <v>42304</v>
      </c>
      <c r="L36" s="84">
        <f>'Suivi EAU-ELEC'!G35</f>
        <v>0</v>
      </c>
      <c r="M36" s="85">
        <f>'Suivi EAU-ELEC'!I35</f>
        <v>0</v>
      </c>
      <c r="N36" s="85">
        <f>'Suivi EAU-ELEC'!K35</f>
        <v>0</v>
      </c>
      <c r="O36" s="85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37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44954</v>
      </c>
      <c r="C37" s="7"/>
      <c r="D37" s="134"/>
      <c r="E37" s="134"/>
      <c r="F37" s="13">
        <f>'Suivi EAU-ELEC'!E36</f>
        <v>0</v>
      </c>
      <c r="G37" s="11"/>
      <c r="H37" s="200">
        <f t="shared" ref="H37:H38" si="5">F37*8.79</f>
        <v>0</v>
      </c>
      <c r="I37" s="201"/>
      <c r="J37" s="201"/>
      <c r="K37" s="54"/>
      <c r="L37" s="84">
        <f>'Suivi EAU-ELEC'!G36</f>
        <v>0</v>
      </c>
      <c r="M37" s="85">
        <f>'Suivi EAU-ELEC'!I36</f>
        <v>0</v>
      </c>
      <c r="N37" s="85">
        <f>'Suivi EAU-ELEC'!K36</f>
        <v>0</v>
      </c>
      <c r="O37" s="85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37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44955</v>
      </c>
      <c r="C38" s="7"/>
      <c r="D38" s="134"/>
      <c r="E38" s="134"/>
      <c r="F38" s="13">
        <f>'Suivi EAU-ELEC'!E37</f>
        <v>0</v>
      </c>
      <c r="G38" s="11"/>
      <c r="H38" s="200">
        <f t="shared" si="5"/>
        <v>0</v>
      </c>
      <c r="I38" s="201"/>
      <c r="J38" s="201"/>
      <c r="K38" s="54"/>
      <c r="L38" s="84">
        <f>'Suivi EAU-ELEC'!G37</f>
        <v>0</v>
      </c>
      <c r="M38" s="85">
        <f>'Suivi EAU-ELEC'!I37</f>
        <v>0</v>
      </c>
      <c r="N38" s="85">
        <f>'Suivi EAU-ELEC'!K37</f>
        <v>0</v>
      </c>
      <c r="O38" s="85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37">
        <f>'Suvi Gaz'!O32</f>
        <v>0</v>
      </c>
      <c r="W38" s="11"/>
      <c r="X38" s="34">
        <f t="shared" si="1"/>
        <v>0</v>
      </c>
    </row>
    <row r="39" spans="1:24" ht="33.75" customHeight="1">
      <c r="A39" s="2"/>
      <c r="B39" s="6">
        <v>44956</v>
      </c>
      <c r="C39" s="7"/>
      <c r="D39" s="134"/>
      <c r="E39" s="134"/>
      <c r="F39" s="13">
        <f>'Suivi EAU-ELEC'!E38</f>
        <v>0</v>
      </c>
      <c r="G39" s="11"/>
      <c r="H39" s="200">
        <f t="shared" ref="H39" si="6">F39*8.79</f>
        <v>0</v>
      </c>
      <c r="I39" s="201"/>
      <c r="J39" s="201"/>
      <c r="K39" s="54"/>
      <c r="L39" s="84">
        <f>'Suivi EAU-ELEC'!G38</f>
        <v>0</v>
      </c>
      <c r="M39" s="85">
        <f>'Suivi EAU-ELEC'!I38</f>
        <v>0</v>
      </c>
      <c r="N39" s="85">
        <f>'Suivi EAU-ELEC'!K38</f>
        <v>0</v>
      </c>
      <c r="O39" s="85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37">
        <f>'Suvi Gaz'!O33</f>
        <v>0</v>
      </c>
      <c r="W39" s="11"/>
      <c r="X39" s="34">
        <f t="shared" si="1"/>
        <v>0</v>
      </c>
    </row>
    <row r="40" spans="1:24" ht="33.75" customHeight="1">
      <c r="A40" s="2"/>
      <c r="B40" s="6">
        <v>44957</v>
      </c>
      <c r="C40" s="7"/>
      <c r="D40" s="134"/>
      <c r="E40" s="134"/>
      <c r="F40" s="13">
        <f>'Suivi EAU-ELEC'!E39</f>
        <v>0</v>
      </c>
      <c r="G40" s="11"/>
      <c r="H40" s="200">
        <f t="shared" ref="H40" si="7">F40*8.79</f>
        <v>0</v>
      </c>
      <c r="I40" s="201"/>
      <c r="J40" s="201"/>
      <c r="K40" s="54"/>
      <c r="L40" s="84">
        <f>'Suivi EAU-ELEC'!G39</f>
        <v>0</v>
      </c>
      <c r="M40" s="85">
        <f>'Suivi EAU-ELEC'!I39</f>
        <v>0</v>
      </c>
      <c r="N40" s="85">
        <f>'Suivi EAU-ELEC'!K39</f>
        <v>0</v>
      </c>
      <c r="O40" s="85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37">
        <f>'Suvi Gaz'!O34</f>
        <v>0</v>
      </c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1164</v>
      </c>
      <c r="E41" s="8">
        <f>SUM(E10:E40)</f>
        <v>2015</v>
      </c>
      <c r="F41" s="143">
        <f>SUM(F10:F40)</f>
        <v>1764</v>
      </c>
      <c r="G41" s="1"/>
      <c r="H41" s="281">
        <f>SUM(H10:H40)</f>
        <v>15505.559999999998</v>
      </c>
      <c r="I41" s="282"/>
      <c r="J41" s="283"/>
      <c r="K41" s="1"/>
      <c r="L41" s="51">
        <f>SUM(L10:L40)</f>
        <v>56209</v>
      </c>
      <c r="M41" s="51">
        <f>SUM(M10:M40)</f>
        <v>82548</v>
      </c>
      <c r="N41" s="52">
        <f>SUM(N10:N40)</f>
        <v>38894</v>
      </c>
      <c r="O41" s="53">
        <f>SUM(O10:O40)</f>
        <v>177651</v>
      </c>
      <c r="P41" s="31"/>
      <c r="Q41" s="32">
        <f>SUM(Q10:Q40)</f>
        <v>169639.85050000003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6784.9213399999999</v>
      </c>
      <c r="W41" s="31"/>
      <c r="X41" s="32">
        <f>SUM(X10:X40)</f>
        <v>85015.064390200001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36" t="s">
        <v>33</v>
      </c>
      <c r="B43" s="237"/>
      <c r="C43" s="237"/>
      <c r="D43" s="237"/>
      <c r="E43" s="237"/>
      <c r="F43" s="238"/>
      <c r="G43" s="26"/>
      <c r="H43" s="27" t="s">
        <v>34</v>
      </c>
      <c r="I43" s="275" t="s">
        <v>35</v>
      </c>
      <c r="J43" s="276"/>
      <c r="K43" s="277"/>
      <c r="L43" s="250" t="s">
        <v>36</v>
      </c>
      <c r="M43" s="251"/>
      <c r="N43" s="236" t="s">
        <v>37</v>
      </c>
      <c r="O43" s="237"/>
      <c r="P43" s="237"/>
      <c r="Q43" s="237"/>
      <c r="R43" s="237"/>
      <c r="S43" s="237"/>
      <c r="T43" s="237"/>
      <c r="U43" s="237"/>
      <c r="V43" s="237"/>
      <c r="W43" s="237"/>
      <c r="X43" s="238"/>
    </row>
    <row r="44" spans="1:24" s="18" customFormat="1" ht="29.25" customHeight="1" thickBot="1">
      <c r="A44" s="244" t="s">
        <v>38</v>
      </c>
      <c r="B44" s="245"/>
      <c r="C44" s="246"/>
      <c r="D44" s="148" t="s">
        <v>30</v>
      </c>
      <c r="E44" s="148" t="s">
        <v>30</v>
      </c>
      <c r="F44" s="148" t="s">
        <v>30</v>
      </c>
      <c r="G44" s="16"/>
      <c r="H44" s="17">
        <v>0.69850000000000001</v>
      </c>
      <c r="I44" s="241">
        <f>L41</f>
        <v>56209</v>
      </c>
      <c r="J44" s="242"/>
      <c r="K44" s="243"/>
      <c r="L44" s="202">
        <f>I44*H44</f>
        <v>39261.986499999999</v>
      </c>
      <c r="M44" s="203"/>
      <c r="N44" s="259">
        <f>L44+L45+L46</f>
        <v>169542.73129999998</v>
      </c>
      <c r="O44" s="260"/>
      <c r="P44" s="260"/>
      <c r="Q44" s="260"/>
      <c r="R44" s="260"/>
      <c r="S44" s="260"/>
      <c r="T44" s="260"/>
      <c r="U44" s="260"/>
      <c r="V44" s="260"/>
      <c r="W44" s="260"/>
      <c r="X44" s="261"/>
    </row>
    <row r="45" spans="1:24" s="18" customFormat="1" ht="29.25" customHeight="1" thickBot="1">
      <c r="A45" s="247"/>
      <c r="B45" s="248"/>
      <c r="C45" s="249"/>
      <c r="D45" s="147" t="s">
        <v>31</v>
      </c>
      <c r="E45" s="147" t="s">
        <v>31</v>
      </c>
      <c r="F45" s="147" t="s">
        <v>31</v>
      </c>
      <c r="G45" s="16"/>
      <c r="H45" s="19">
        <v>0.95140000000000002</v>
      </c>
      <c r="I45" s="241">
        <f>M41</f>
        <v>82548</v>
      </c>
      <c r="J45" s="242"/>
      <c r="K45" s="243"/>
      <c r="L45" s="202">
        <f>I45*H45</f>
        <v>78536.167199999996</v>
      </c>
      <c r="M45" s="203"/>
      <c r="N45" s="262"/>
      <c r="O45" s="263"/>
      <c r="P45" s="263"/>
      <c r="Q45" s="263"/>
      <c r="R45" s="263"/>
      <c r="S45" s="263"/>
      <c r="T45" s="263"/>
      <c r="U45" s="263"/>
      <c r="V45" s="263"/>
      <c r="W45" s="263"/>
      <c r="X45" s="264"/>
    </row>
    <row r="46" spans="1:24" s="18" customFormat="1" ht="24.75" customHeight="1" thickBot="1">
      <c r="A46" s="247"/>
      <c r="B46" s="248"/>
      <c r="C46" s="249"/>
      <c r="D46" s="153" t="s">
        <v>32</v>
      </c>
      <c r="E46" s="153" t="s">
        <v>32</v>
      </c>
      <c r="F46" s="153" t="s">
        <v>32</v>
      </c>
      <c r="G46" s="20"/>
      <c r="H46" s="20">
        <v>1.3304</v>
      </c>
      <c r="I46" s="272">
        <f>N41</f>
        <v>38894</v>
      </c>
      <c r="J46" s="273"/>
      <c r="K46" s="274"/>
      <c r="L46" s="202">
        <f>I46*H46</f>
        <v>51744.577600000004</v>
      </c>
      <c r="M46" s="203"/>
      <c r="N46" s="265"/>
      <c r="O46" s="266"/>
      <c r="P46" s="266"/>
      <c r="Q46" s="266"/>
      <c r="R46" s="266"/>
      <c r="S46" s="266"/>
      <c r="T46" s="266"/>
      <c r="U46" s="266"/>
      <c r="V46" s="266"/>
      <c r="W46" s="266"/>
      <c r="X46" s="267"/>
    </row>
    <row r="47" spans="1:24" s="18" customFormat="1" ht="43.5" customHeight="1" thickBot="1">
      <c r="A47" s="149"/>
      <c r="B47" s="150"/>
      <c r="C47" s="150"/>
      <c r="D47" s="153"/>
      <c r="E47" s="153"/>
      <c r="F47" s="153"/>
      <c r="G47" s="16"/>
      <c r="H47" s="16"/>
      <c r="I47" s="151"/>
      <c r="J47" s="152"/>
      <c r="K47" s="153"/>
      <c r="L47" s="144"/>
      <c r="M47" s="145"/>
      <c r="N47" s="278">
        <f>N44*1.3</f>
        <v>220405.55068999997</v>
      </c>
      <c r="O47" s="279"/>
      <c r="P47" s="279"/>
      <c r="Q47" s="279"/>
      <c r="R47" s="279"/>
      <c r="S47" s="279"/>
      <c r="T47" s="279"/>
      <c r="U47" s="279"/>
      <c r="V47" s="279"/>
      <c r="W47" s="279"/>
      <c r="X47" s="280"/>
    </row>
    <row r="48" spans="1:24" s="23" customFormat="1" ht="32.25" customHeight="1" thickBot="1">
      <c r="A48" s="233" t="s">
        <v>39</v>
      </c>
      <c r="B48" s="234"/>
      <c r="C48" s="234"/>
      <c r="D48" s="234"/>
      <c r="E48" s="234"/>
      <c r="F48" s="235"/>
      <c r="G48" s="21"/>
      <c r="H48" s="22">
        <v>8.7899999999999991</v>
      </c>
      <c r="I48" s="233">
        <f>F41</f>
        <v>1764</v>
      </c>
      <c r="J48" s="234"/>
      <c r="K48" s="235"/>
      <c r="L48" s="239">
        <f>I48*H48</f>
        <v>15505.559999999998</v>
      </c>
      <c r="M48" s="240"/>
      <c r="N48" s="256">
        <f>L48</f>
        <v>15505.559999999998</v>
      </c>
      <c r="O48" s="257"/>
      <c r="P48" s="257"/>
      <c r="Q48" s="257"/>
      <c r="R48" s="257"/>
      <c r="S48" s="257"/>
      <c r="T48" s="257"/>
      <c r="U48" s="257"/>
      <c r="V48" s="257"/>
      <c r="W48" s="257"/>
      <c r="X48" s="258"/>
    </row>
    <row r="49" spans="1:24" s="23" customFormat="1" ht="36.75" customHeight="1">
      <c r="A49" s="268" t="s">
        <v>40</v>
      </c>
      <c r="B49" s="269"/>
      <c r="C49" s="269"/>
      <c r="D49" s="269"/>
      <c r="E49" s="269"/>
      <c r="F49" s="270"/>
      <c r="G49" s="24"/>
      <c r="H49" s="25">
        <v>12.53</v>
      </c>
      <c r="I49" s="231">
        <f>V41</f>
        <v>6784.9213399999999</v>
      </c>
      <c r="J49" s="271"/>
      <c r="K49" s="232"/>
      <c r="L49" s="231">
        <f>I49*H49</f>
        <v>85015.064390200001</v>
      </c>
      <c r="M49" s="232"/>
      <c r="N49" s="253">
        <f>L49</f>
        <v>85015.064390200001</v>
      </c>
      <c r="O49" s="254"/>
      <c r="P49" s="254"/>
      <c r="Q49" s="254"/>
      <c r="R49" s="254"/>
      <c r="S49" s="254"/>
      <c r="T49" s="254"/>
      <c r="U49" s="254"/>
      <c r="V49" s="254"/>
      <c r="W49" s="254"/>
      <c r="X49" s="255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52"/>
      <c r="C55" s="252"/>
      <c r="D55" s="252"/>
      <c r="E55" s="252"/>
      <c r="F55" s="252"/>
      <c r="G55" s="252"/>
      <c r="H55" s="252"/>
      <c r="I55" s="252"/>
      <c r="J55" s="252"/>
      <c r="K55" s="252"/>
      <c r="L55" s="252"/>
      <c r="M55" s="252"/>
      <c r="N55" s="252"/>
      <c r="O55" s="252"/>
      <c r="P55" s="252"/>
      <c r="Q55" s="252"/>
      <c r="R55" s="252"/>
      <c r="S55" s="252"/>
      <c r="T55" s="252"/>
      <c r="U55" s="252"/>
      <c r="V55" s="252"/>
      <c r="W55" s="252"/>
      <c r="X55" s="252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bottomRight" activeCell="D20" sqref="D20:K21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35" customWidth="1"/>
    <col min="6" max="11" width="16.7109375" customWidth="1"/>
    <col min="12" max="12" width="24.28515625" customWidth="1"/>
  </cols>
  <sheetData>
    <row r="1" spans="1:12" ht="12.75" customHeight="1">
      <c r="A1" s="302"/>
      <c r="B1" s="303"/>
      <c r="C1" s="303"/>
      <c r="D1" s="304"/>
      <c r="E1" s="285" t="s">
        <v>41</v>
      </c>
      <c r="F1" s="286"/>
      <c r="G1" s="286"/>
      <c r="H1" s="286"/>
      <c r="I1" s="287"/>
      <c r="J1" s="294" t="s">
        <v>42</v>
      </c>
      <c r="K1" s="295"/>
      <c r="L1" s="49"/>
    </row>
    <row r="2" spans="1:12" ht="16.5" customHeight="1">
      <c r="A2" s="305"/>
      <c r="B2" s="306"/>
      <c r="C2" s="306"/>
      <c r="D2" s="307"/>
      <c r="E2" s="288"/>
      <c r="F2" s="289"/>
      <c r="G2" s="289"/>
      <c r="H2" s="289"/>
      <c r="I2" s="290"/>
      <c r="J2" s="296"/>
      <c r="K2" s="297"/>
      <c r="L2" s="49"/>
    </row>
    <row r="3" spans="1:12" ht="48" customHeight="1">
      <c r="A3" s="308"/>
      <c r="B3" s="309"/>
      <c r="C3" s="309"/>
      <c r="D3" s="310"/>
      <c r="E3" s="291"/>
      <c r="F3" s="292"/>
      <c r="G3" s="292"/>
      <c r="H3" s="292"/>
      <c r="I3" s="293"/>
      <c r="J3" s="298"/>
      <c r="K3" s="299"/>
      <c r="L3" s="49"/>
    </row>
    <row r="6" spans="1:12" ht="10.5" customHeight="1"/>
    <row r="7" spans="1:12" ht="16.5" customHeight="1">
      <c r="A7" s="284" t="s">
        <v>43</v>
      </c>
      <c r="B7" s="311" t="s">
        <v>44</v>
      </c>
      <c r="C7" s="311"/>
      <c r="D7" s="300" t="s">
        <v>45</v>
      </c>
      <c r="E7" s="300"/>
      <c r="F7" s="301" t="s">
        <v>46</v>
      </c>
      <c r="G7" s="301"/>
      <c r="H7" s="301"/>
      <c r="I7" s="301"/>
      <c r="J7" s="301"/>
      <c r="K7" s="301"/>
    </row>
    <row r="8" spans="1:12" s="29" customFormat="1" ht="28.5" customHeight="1">
      <c r="A8" s="284"/>
      <c r="B8" s="158" t="s">
        <v>47</v>
      </c>
      <c r="C8" s="158" t="s">
        <v>48</v>
      </c>
      <c r="D8" s="159" t="s">
        <v>47</v>
      </c>
      <c r="E8" s="159" t="s">
        <v>49</v>
      </c>
      <c r="F8" s="157" t="s">
        <v>50</v>
      </c>
      <c r="G8" s="157" t="s">
        <v>51</v>
      </c>
      <c r="H8" s="157" t="s">
        <v>52</v>
      </c>
      <c r="I8" s="157" t="s">
        <v>53</v>
      </c>
      <c r="J8" s="157" t="s">
        <v>54</v>
      </c>
      <c r="K8" s="157" t="s">
        <v>55</v>
      </c>
    </row>
    <row r="9" spans="1:12" ht="19.5">
      <c r="A9" s="160">
        <v>44927</v>
      </c>
      <c r="B9" s="161">
        <v>2594</v>
      </c>
      <c r="C9" s="162">
        <v>0</v>
      </c>
      <c r="D9" s="163">
        <v>180444</v>
      </c>
      <c r="E9" s="164">
        <v>167</v>
      </c>
      <c r="F9" s="165">
        <v>12903932</v>
      </c>
      <c r="G9" s="164">
        <v>4739</v>
      </c>
      <c r="H9" s="165">
        <v>22022400</v>
      </c>
      <c r="I9" s="164">
        <v>8544</v>
      </c>
      <c r="J9" s="165">
        <v>9661505</v>
      </c>
      <c r="K9" s="164">
        <v>3818</v>
      </c>
    </row>
    <row r="10" spans="1:12" ht="19.5">
      <c r="A10" s="160">
        <v>44928</v>
      </c>
      <c r="B10" s="161">
        <v>2594</v>
      </c>
      <c r="C10" s="162">
        <v>0</v>
      </c>
      <c r="D10" s="163">
        <v>180603</v>
      </c>
      <c r="E10" s="164">
        <f>D10-D9</f>
        <v>159</v>
      </c>
      <c r="F10" s="165">
        <v>12908179</v>
      </c>
      <c r="G10" s="164">
        <f>F10-F9</f>
        <v>4247</v>
      </c>
      <c r="H10" s="165">
        <v>22028643</v>
      </c>
      <c r="I10" s="164">
        <f>H10-H9</f>
        <v>6243</v>
      </c>
      <c r="J10" s="165">
        <v>9664357</v>
      </c>
      <c r="K10" s="164">
        <f>J10-J9</f>
        <v>2852</v>
      </c>
    </row>
    <row r="11" spans="1:12" ht="19.5">
      <c r="A11" s="160">
        <v>44929</v>
      </c>
      <c r="B11" s="161">
        <v>2594</v>
      </c>
      <c r="C11" s="162">
        <v>0</v>
      </c>
      <c r="D11" s="163">
        <v>180760</v>
      </c>
      <c r="E11" s="164">
        <f>D11-D10</f>
        <v>157</v>
      </c>
      <c r="F11" s="165">
        <v>12912809</v>
      </c>
      <c r="G11" s="164">
        <f>F11-F10</f>
        <v>4630</v>
      </c>
      <c r="H11" s="165">
        <v>22035092</v>
      </c>
      <c r="I11" s="164">
        <f>H11-H10</f>
        <v>6449</v>
      </c>
      <c r="J11" s="165">
        <v>9667626</v>
      </c>
      <c r="K11" s="164">
        <f>J11-J10</f>
        <v>3269</v>
      </c>
    </row>
    <row r="12" spans="1:12" ht="19.5">
      <c r="A12" s="160">
        <v>44930</v>
      </c>
      <c r="B12" s="161">
        <v>2594</v>
      </c>
      <c r="C12" s="162">
        <v>0</v>
      </c>
      <c r="D12" s="163">
        <v>180901</v>
      </c>
      <c r="E12" s="164">
        <f>D12-D11</f>
        <v>141</v>
      </c>
      <c r="F12" s="165">
        <v>12916685</v>
      </c>
      <c r="G12" s="164">
        <f>F12-F11</f>
        <v>3876</v>
      </c>
      <c r="H12" s="165">
        <v>22041530</v>
      </c>
      <c r="I12" s="164">
        <f>H12-H11</f>
        <v>6438</v>
      </c>
      <c r="J12" s="165">
        <v>9670613</v>
      </c>
      <c r="K12" s="164">
        <f>J12-J11</f>
        <v>2987</v>
      </c>
    </row>
    <row r="13" spans="1:12" ht="19.5">
      <c r="A13" s="160">
        <v>44931</v>
      </c>
      <c r="B13" s="161">
        <v>2594</v>
      </c>
      <c r="C13" s="162">
        <v>0</v>
      </c>
      <c r="D13" s="163">
        <v>181052</v>
      </c>
      <c r="E13" s="164">
        <f>D13-D12</f>
        <v>151</v>
      </c>
      <c r="F13" s="165">
        <v>12921084</v>
      </c>
      <c r="G13" s="164">
        <f>F13-F12</f>
        <v>4399</v>
      </c>
      <c r="H13" s="165">
        <v>22047851</v>
      </c>
      <c r="I13" s="164">
        <f>H13-H12</f>
        <v>6321</v>
      </c>
      <c r="J13" s="165">
        <v>9673538</v>
      </c>
      <c r="K13" s="164">
        <f>J13-J12</f>
        <v>2925</v>
      </c>
    </row>
    <row r="14" spans="1:12" ht="19.5">
      <c r="A14" s="160">
        <v>44932</v>
      </c>
      <c r="B14" s="161">
        <v>2594</v>
      </c>
      <c r="C14" s="162">
        <v>0</v>
      </c>
      <c r="D14" s="163">
        <v>181208</v>
      </c>
      <c r="E14" s="164">
        <f>D14-D13</f>
        <v>156</v>
      </c>
      <c r="F14" s="165">
        <v>12926026</v>
      </c>
      <c r="G14" s="164">
        <f>F14-F13</f>
        <v>4942</v>
      </c>
      <c r="H14" s="165">
        <v>22054004</v>
      </c>
      <c r="I14" s="164">
        <f>H14-H13</f>
        <v>6153</v>
      </c>
      <c r="J14" s="165">
        <v>9676457</v>
      </c>
      <c r="K14" s="164">
        <f>J14-J13</f>
        <v>2919</v>
      </c>
    </row>
    <row r="15" spans="1:12" ht="19.5">
      <c r="A15" s="160">
        <v>44933</v>
      </c>
      <c r="B15" s="161">
        <v>2594</v>
      </c>
      <c r="C15" s="162">
        <v>0</v>
      </c>
      <c r="D15" s="163">
        <v>181370</v>
      </c>
      <c r="E15" s="164">
        <f>D15-D14</f>
        <v>162</v>
      </c>
      <c r="F15" s="165">
        <v>12930059</v>
      </c>
      <c r="G15" s="164">
        <f t="shared" ref="G15:G21" si="0">F15-F14</f>
        <v>4033</v>
      </c>
      <c r="H15" s="165">
        <v>22060167</v>
      </c>
      <c r="I15" s="164">
        <f t="shared" ref="I15:I16" si="1">H15-H14</f>
        <v>6163</v>
      </c>
      <c r="J15" s="165">
        <v>9679217</v>
      </c>
      <c r="K15" s="164">
        <f t="shared" ref="K15:K16" si="2">J15-J14</f>
        <v>2760</v>
      </c>
    </row>
    <row r="16" spans="1:12" ht="19.5">
      <c r="A16" s="160">
        <v>44934</v>
      </c>
      <c r="B16" s="161">
        <v>2594</v>
      </c>
      <c r="C16" s="162">
        <v>0</v>
      </c>
      <c r="D16" s="163">
        <v>181500</v>
      </c>
      <c r="E16" s="164">
        <f t="shared" ref="E11:E16" si="3">D16-D15</f>
        <v>130</v>
      </c>
      <c r="F16" s="165">
        <v>12933996</v>
      </c>
      <c r="G16" s="164">
        <f t="shared" si="0"/>
        <v>3937</v>
      </c>
      <c r="H16" s="165">
        <v>22066138</v>
      </c>
      <c r="I16" s="164">
        <f t="shared" si="1"/>
        <v>5971</v>
      </c>
      <c r="J16" s="165">
        <v>9682160</v>
      </c>
      <c r="K16" s="164">
        <f t="shared" si="2"/>
        <v>2943</v>
      </c>
    </row>
    <row r="17" spans="1:29" ht="23.25" customHeight="1">
      <c r="A17" s="160">
        <v>44935</v>
      </c>
      <c r="B17" s="161">
        <v>2594</v>
      </c>
      <c r="C17" s="162">
        <v>0</v>
      </c>
      <c r="D17" s="163">
        <v>181600</v>
      </c>
      <c r="E17" s="164">
        <f t="shared" ref="E17:E40" si="4">D17-D16</f>
        <v>100</v>
      </c>
      <c r="F17" s="165">
        <v>12938842</v>
      </c>
      <c r="G17" s="164">
        <f t="shared" si="0"/>
        <v>4846</v>
      </c>
      <c r="H17" s="165">
        <v>22072148</v>
      </c>
      <c r="I17" s="164">
        <f t="shared" ref="I11:I40" si="5">H17-H16</f>
        <v>6010</v>
      </c>
      <c r="J17" s="165">
        <v>9684996</v>
      </c>
      <c r="K17" s="164">
        <f t="shared" ref="K17:K40" si="6">J17-J16</f>
        <v>2836</v>
      </c>
    </row>
    <row r="18" spans="1:29" ht="23.25" customHeight="1">
      <c r="A18" s="160">
        <v>44936</v>
      </c>
      <c r="B18" s="161">
        <v>2594</v>
      </c>
      <c r="C18" s="162">
        <v>0</v>
      </c>
      <c r="D18" s="163">
        <v>181721</v>
      </c>
      <c r="E18" s="164">
        <f t="shared" si="4"/>
        <v>121</v>
      </c>
      <c r="F18" s="165">
        <v>12942881</v>
      </c>
      <c r="G18" s="164">
        <f t="shared" si="0"/>
        <v>4039</v>
      </c>
      <c r="H18" s="165">
        <v>22078207</v>
      </c>
      <c r="I18" s="164">
        <f t="shared" si="5"/>
        <v>6059</v>
      </c>
      <c r="J18" s="165">
        <v>9687919</v>
      </c>
      <c r="K18" s="164">
        <f>J18-J17</f>
        <v>2923</v>
      </c>
    </row>
    <row r="19" spans="1:29" ht="23.25" customHeight="1">
      <c r="A19" s="160">
        <v>44937</v>
      </c>
      <c r="B19" s="161">
        <v>2594</v>
      </c>
      <c r="C19" s="162">
        <v>0</v>
      </c>
      <c r="D19" s="163">
        <v>181827</v>
      </c>
      <c r="E19" s="164">
        <f>D19-D18</f>
        <v>106</v>
      </c>
      <c r="F19" s="165">
        <v>12946859</v>
      </c>
      <c r="G19" s="164">
        <f t="shared" si="0"/>
        <v>3978</v>
      </c>
      <c r="H19" s="165">
        <v>22084050</v>
      </c>
      <c r="I19" s="164">
        <f t="shared" si="5"/>
        <v>5843</v>
      </c>
      <c r="J19" s="165">
        <v>9690675</v>
      </c>
      <c r="K19" s="164">
        <f>J19-J18</f>
        <v>2756</v>
      </c>
    </row>
    <row r="20" spans="1:29" ht="23.25" customHeight="1">
      <c r="A20" s="160">
        <v>44938</v>
      </c>
      <c r="B20" s="161">
        <v>2594</v>
      </c>
      <c r="C20" s="162">
        <v>0</v>
      </c>
      <c r="D20" s="163">
        <v>181931</v>
      </c>
      <c r="E20" s="164">
        <f>D20-D19</f>
        <v>104</v>
      </c>
      <c r="F20" s="165">
        <v>12951108</v>
      </c>
      <c r="G20" s="164">
        <f t="shared" si="0"/>
        <v>4249</v>
      </c>
      <c r="H20" s="165">
        <v>22090090</v>
      </c>
      <c r="I20" s="164">
        <f t="shared" si="5"/>
        <v>6040</v>
      </c>
      <c r="J20" s="165">
        <v>9693735</v>
      </c>
      <c r="K20" s="164">
        <f>J20-J19</f>
        <v>3060</v>
      </c>
      <c r="L20" s="108" t="s">
        <v>18</v>
      </c>
      <c r="AC20" t="s">
        <v>56</v>
      </c>
    </row>
    <row r="21" spans="1:29" ht="23.25" customHeight="1">
      <c r="A21" s="160">
        <v>44939</v>
      </c>
      <c r="B21" s="161">
        <v>2594</v>
      </c>
      <c r="C21" s="162">
        <v>0</v>
      </c>
      <c r="D21" s="163">
        <v>182041</v>
      </c>
      <c r="E21" s="164">
        <f>D21-D20</f>
        <v>110</v>
      </c>
      <c r="F21" s="165">
        <v>12955402</v>
      </c>
      <c r="G21" s="164">
        <f t="shared" si="0"/>
        <v>4294</v>
      </c>
      <c r="H21" s="165">
        <v>22096404</v>
      </c>
      <c r="I21" s="164">
        <f t="shared" si="5"/>
        <v>6314</v>
      </c>
      <c r="J21" s="165">
        <v>9696581</v>
      </c>
      <c r="K21" s="164">
        <f>J21-J20</f>
        <v>2846</v>
      </c>
    </row>
    <row r="22" spans="1:29" ht="23.25" customHeight="1">
      <c r="A22" s="160">
        <v>44940</v>
      </c>
      <c r="B22" s="161"/>
      <c r="C22" s="162"/>
      <c r="D22" s="163"/>
      <c r="E22" s="164"/>
      <c r="F22" s="165"/>
      <c r="G22" s="164"/>
      <c r="H22" s="165"/>
      <c r="I22" s="164"/>
      <c r="J22" s="165"/>
      <c r="K22" s="164"/>
    </row>
    <row r="23" spans="1:29" ht="23.25" customHeight="1">
      <c r="A23" s="160">
        <v>44941</v>
      </c>
      <c r="B23" s="161"/>
      <c r="C23" s="162">
        <f t="shared" ref="C10:C40" si="7">B23-B22</f>
        <v>0</v>
      </c>
      <c r="D23" s="163"/>
      <c r="E23" s="164">
        <f t="shared" si="4"/>
        <v>0</v>
      </c>
      <c r="F23" s="165"/>
      <c r="G23" s="164">
        <f t="shared" ref="G11:G40" si="8">F23-F22</f>
        <v>0</v>
      </c>
      <c r="H23" s="165"/>
      <c r="I23" s="164">
        <f t="shared" si="5"/>
        <v>0</v>
      </c>
      <c r="J23" s="165"/>
      <c r="K23" s="164">
        <f t="shared" si="6"/>
        <v>0</v>
      </c>
    </row>
    <row r="24" spans="1:29" ht="23.25" customHeight="1">
      <c r="A24" s="160">
        <v>44942</v>
      </c>
      <c r="B24" s="161"/>
      <c r="C24" s="162">
        <f t="shared" si="7"/>
        <v>0</v>
      </c>
      <c r="D24" s="163"/>
      <c r="E24" s="164">
        <f t="shared" si="4"/>
        <v>0</v>
      </c>
      <c r="F24" s="165"/>
      <c r="G24" s="164">
        <f t="shared" si="8"/>
        <v>0</v>
      </c>
      <c r="H24" s="165"/>
      <c r="I24" s="164">
        <f t="shared" si="5"/>
        <v>0</v>
      </c>
      <c r="J24" s="165"/>
      <c r="K24" s="164">
        <f t="shared" si="6"/>
        <v>0</v>
      </c>
    </row>
    <row r="25" spans="1:29" ht="19.5">
      <c r="A25" s="160">
        <v>44943</v>
      </c>
      <c r="B25" s="161"/>
      <c r="C25" s="162">
        <f t="shared" si="7"/>
        <v>0</v>
      </c>
      <c r="D25" s="163"/>
      <c r="E25" s="164">
        <f t="shared" si="4"/>
        <v>0</v>
      </c>
      <c r="F25" s="165"/>
      <c r="G25" s="164">
        <f t="shared" si="8"/>
        <v>0</v>
      </c>
      <c r="H25" s="165"/>
      <c r="I25" s="164">
        <f t="shared" si="5"/>
        <v>0</v>
      </c>
      <c r="J25" s="165"/>
      <c r="K25" s="164">
        <f t="shared" si="6"/>
        <v>0</v>
      </c>
    </row>
    <row r="26" spans="1:29" ht="19.5">
      <c r="A26" s="160">
        <v>44944</v>
      </c>
      <c r="B26" s="161"/>
      <c r="C26" s="162">
        <f t="shared" si="7"/>
        <v>0</v>
      </c>
      <c r="D26" s="163"/>
      <c r="E26" s="164">
        <f t="shared" si="4"/>
        <v>0</v>
      </c>
      <c r="F26" s="165"/>
      <c r="G26" s="164">
        <f t="shared" si="8"/>
        <v>0</v>
      </c>
      <c r="H26" s="165"/>
      <c r="I26" s="164">
        <f t="shared" si="5"/>
        <v>0</v>
      </c>
      <c r="J26" s="165"/>
      <c r="K26" s="164">
        <f t="shared" si="6"/>
        <v>0</v>
      </c>
    </row>
    <row r="27" spans="1:29" ht="19.5">
      <c r="A27" s="160">
        <v>44945</v>
      </c>
      <c r="B27" s="161"/>
      <c r="C27" s="162">
        <f t="shared" si="7"/>
        <v>0</v>
      </c>
      <c r="D27" s="163"/>
      <c r="E27" s="164">
        <f t="shared" si="4"/>
        <v>0</v>
      </c>
      <c r="F27" s="165"/>
      <c r="G27" s="164">
        <f t="shared" si="8"/>
        <v>0</v>
      </c>
      <c r="H27" s="165"/>
      <c r="I27" s="164">
        <f t="shared" si="5"/>
        <v>0</v>
      </c>
      <c r="J27" s="165"/>
      <c r="K27" s="164">
        <f t="shared" si="6"/>
        <v>0</v>
      </c>
    </row>
    <row r="28" spans="1:29" ht="19.5">
      <c r="A28" s="160">
        <v>44946</v>
      </c>
      <c r="B28" s="161"/>
      <c r="C28" s="162">
        <f t="shared" si="7"/>
        <v>0</v>
      </c>
      <c r="D28" s="163"/>
      <c r="E28" s="164">
        <f t="shared" si="4"/>
        <v>0</v>
      </c>
      <c r="F28" s="165"/>
      <c r="G28" s="164">
        <f t="shared" si="8"/>
        <v>0</v>
      </c>
      <c r="H28" s="165"/>
      <c r="I28" s="164">
        <f t="shared" si="5"/>
        <v>0</v>
      </c>
      <c r="J28" s="165"/>
      <c r="K28" s="164">
        <f t="shared" si="6"/>
        <v>0</v>
      </c>
    </row>
    <row r="29" spans="1:29" ht="19.5">
      <c r="A29" s="160">
        <v>44947</v>
      </c>
      <c r="B29" s="161"/>
      <c r="C29" s="162">
        <f t="shared" si="7"/>
        <v>0</v>
      </c>
      <c r="D29" s="163"/>
      <c r="E29" s="164">
        <f t="shared" si="4"/>
        <v>0</v>
      </c>
      <c r="F29" s="165"/>
      <c r="G29" s="164">
        <f t="shared" si="8"/>
        <v>0</v>
      </c>
      <c r="H29" s="165"/>
      <c r="I29" s="164">
        <f t="shared" si="5"/>
        <v>0</v>
      </c>
      <c r="J29" s="165"/>
      <c r="K29" s="164">
        <f t="shared" si="6"/>
        <v>0</v>
      </c>
    </row>
    <row r="30" spans="1:29" ht="19.5">
      <c r="A30" s="160">
        <v>44948</v>
      </c>
      <c r="B30" s="161"/>
      <c r="C30" s="162">
        <f t="shared" si="7"/>
        <v>0</v>
      </c>
      <c r="D30" s="163"/>
      <c r="E30" s="164">
        <f t="shared" si="4"/>
        <v>0</v>
      </c>
      <c r="F30" s="165"/>
      <c r="G30" s="164">
        <f t="shared" si="8"/>
        <v>0</v>
      </c>
      <c r="H30" s="165"/>
      <c r="I30" s="164">
        <f t="shared" si="5"/>
        <v>0</v>
      </c>
      <c r="J30" s="165"/>
      <c r="K30" s="164">
        <f t="shared" si="6"/>
        <v>0</v>
      </c>
    </row>
    <row r="31" spans="1:29" ht="19.5">
      <c r="A31" s="173">
        <v>44949</v>
      </c>
      <c r="B31" s="174"/>
      <c r="C31" s="162">
        <f t="shared" si="7"/>
        <v>0</v>
      </c>
      <c r="D31" s="175"/>
      <c r="E31" s="164">
        <f t="shared" si="4"/>
        <v>0</v>
      </c>
      <c r="F31" s="176"/>
      <c r="G31" s="164">
        <f t="shared" si="8"/>
        <v>0</v>
      </c>
      <c r="H31" s="176"/>
      <c r="I31" s="164">
        <f t="shared" si="5"/>
        <v>0</v>
      </c>
      <c r="J31" s="176"/>
      <c r="K31" s="164">
        <f t="shared" si="6"/>
        <v>0</v>
      </c>
    </row>
    <row r="32" spans="1:29" ht="19.5">
      <c r="A32" s="160">
        <v>44950</v>
      </c>
      <c r="B32" s="161"/>
      <c r="C32" s="162">
        <f t="shared" si="7"/>
        <v>0</v>
      </c>
      <c r="D32" s="163"/>
      <c r="E32" s="164">
        <f t="shared" si="4"/>
        <v>0</v>
      </c>
      <c r="F32" s="165"/>
      <c r="G32" s="164">
        <f t="shared" si="8"/>
        <v>0</v>
      </c>
      <c r="H32" s="165"/>
      <c r="I32" s="164">
        <f t="shared" si="5"/>
        <v>0</v>
      </c>
      <c r="J32" s="165"/>
      <c r="K32" s="164">
        <f t="shared" si="6"/>
        <v>0</v>
      </c>
    </row>
    <row r="33" spans="1:11" ht="19.5">
      <c r="A33" s="160">
        <v>44951</v>
      </c>
      <c r="B33" s="161"/>
      <c r="C33" s="162">
        <f t="shared" si="7"/>
        <v>0</v>
      </c>
      <c r="D33" s="163"/>
      <c r="E33" s="164">
        <f t="shared" si="4"/>
        <v>0</v>
      </c>
      <c r="F33" s="165"/>
      <c r="G33" s="164">
        <f t="shared" si="8"/>
        <v>0</v>
      </c>
      <c r="H33" s="165"/>
      <c r="I33" s="164">
        <f t="shared" si="5"/>
        <v>0</v>
      </c>
      <c r="J33" s="165"/>
      <c r="K33" s="164">
        <f t="shared" si="6"/>
        <v>0</v>
      </c>
    </row>
    <row r="34" spans="1:11" ht="19.5">
      <c r="A34" s="160">
        <v>44952</v>
      </c>
      <c r="B34" s="161"/>
      <c r="C34" s="162">
        <f t="shared" si="7"/>
        <v>0</v>
      </c>
      <c r="D34" s="163"/>
      <c r="E34" s="164">
        <f t="shared" si="4"/>
        <v>0</v>
      </c>
      <c r="F34" s="165"/>
      <c r="G34" s="164">
        <f t="shared" si="8"/>
        <v>0</v>
      </c>
      <c r="H34" s="165"/>
      <c r="I34" s="164">
        <f t="shared" si="5"/>
        <v>0</v>
      </c>
      <c r="J34" s="165"/>
      <c r="K34" s="164">
        <f t="shared" si="6"/>
        <v>0</v>
      </c>
    </row>
    <row r="35" spans="1:11" ht="19.5">
      <c r="A35" s="160">
        <v>44953</v>
      </c>
      <c r="B35" s="161"/>
      <c r="C35" s="162">
        <f t="shared" si="7"/>
        <v>0</v>
      </c>
      <c r="D35" s="163"/>
      <c r="E35" s="164">
        <f t="shared" si="4"/>
        <v>0</v>
      </c>
      <c r="F35" s="165"/>
      <c r="G35" s="164">
        <f t="shared" si="8"/>
        <v>0</v>
      </c>
      <c r="H35" s="165"/>
      <c r="I35" s="164">
        <f t="shared" si="5"/>
        <v>0</v>
      </c>
      <c r="J35" s="165"/>
      <c r="K35" s="164">
        <f t="shared" si="6"/>
        <v>0</v>
      </c>
    </row>
    <row r="36" spans="1:11" ht="19.5">
      <c r="A36" s="160">
        <v>44954</v>
      </c>
      <c r="B36" s="161"/>
      <c r="C36" s="162">
        <f t="shared" si="7"/>
        <v>0</v>
      </c>
      <c r="D36" s="163"/>
      <c r="E36" s="164">
        <f t="shared" si="4"/>
        <v>0</v>
      </c>
      <c r="F36" s="165"/>
      <c r="G36" s="164">
        <f t="shared" si="8"/>
        <v>0</v>
      </c>
      <c r="H36" s="165"/>
      <c r="I36" s="164">
        <f t="shared" si="5"/>
        <v>0</v>
      </c>
      <c r="J36" s="165"/>
      <c r="K36" s="164">
        <f t="shared" si="6"/>
        <v>0</v>
      </c>
    </row>
    <row r="37" spans="1:11" ht="19.5">
      <c r="A37" s="160">
        <v>44955</v>
      </c>
      <c r="B37" s="161"/>
      <c r="C37" s="162">
        <f t="shared" si="7"/>
        <v>0</v>
      </c>
      <c r="D37" s="163"/>
      <c r="E37" s="164">
        <f t="shared" si="4"/>
        <v>0</v>
      </c>
      <c r="F37" s="165"/>
      <c r="G37" s="164">
        <f t="shared" si="8"/>
        <v>0</v>
      </c>
      <c r="H37" s="165"/>
      <c r="I37" s="164">
        <f t="shared" si="5"/>
        <v>0</v>
      </c>
      <c r="J37" s="165"/>
      <c r="K37" s="164">
        <f t="shared" si="6"/>
        <v>0</v>
      </c>
    </row>
    <row r="38" spans="1:11" ht="19.5">
      <c r="A38" s="160">
        <v>44956</v>
      </c>
      <c r="B38" s="161"/>
      <c r="C38" s="162">
        <f t="shared" si="7"/>
        <v>0</v>
      </c>
      <c r="D38" s="163"/>
      <c r="E38" s="164">
        <f t="shared" si="4"/>
        <v>0</v>
      </c>
      <c r="F38" s="165"/>
      <c r="G38" s="164">
        <f t="shared" si="8"/>
        <v>0</v>
      </c>
      <c r="H38" s="165"/>
      <c r="I38" s="164">
        <f t="shared" si="5"/>
        <v>0</v>
      </c>
      <c r="J38" s="165"/>
      <c r="K38" s="164">
        <f t="shared" si="6"/>
        <v>0</v>
      </c>
    </row>
    <row r="39" spans="1:11" ht="19.5">
      <c r="A39" s="160">
        <v>44957</v>
      </c>
      <c r="B39" s="161"/>
      <c r="C39" s="162">
        <f t="shared" si="7"/>
        <v>0</v>
      </c>
      <c r="D39" s="163"/>
      <c r="E39" s="164">
        <f t="shared" si="4"/>
        <v>0</v>
      </c>
      <c r="F39" s="165"/>
      <c r="G39" s="164">
        <f t="shared" si="8"/>
        <v>0</v>
      </c>
      <c r="H39" s="165"/>
      <c r="I39" s="164">
        <f t="shared" si="5"/>
        <v>0</v>
      </c>
      <c r="J39" s="165"/>
      <c r="K39" s="164">
        <f t="shared" si="6"/>
        <v>0</v>
      </c>
    </row>
    <row r="40" spans="1:11" ht="19.5">
      <c r="A40" s="160">
        <v>44958</v>
      </c>
      <c r="B40" s="161"/>
      <c r="C40" s="162">
        <f t="shared" si="7"/>
        <v>0</v>
      </c>
      <c r="D40" s="163"/>
      <c r="E40" s="164">
        <f t="shared" si="4"/>
        <v>0</v>
      </c>
      <c r="F40" s="165"/>
      <c r="G40" s="164">
        <f t="shared" si="8"/>
        <v>0</v>
      </c>
      <c r="H40" s="165"/>
      <c r="I40" s="164">
        <f t="shared" si="5"/>
        <v>0</v>
      </c>
      <c r="J40" s="165"/>
      <c r="K40" s="164">
        <f t="shared" si="6"/>
        <v>0</v>
      </c>
    </row>
    <row r="41" spans="1:11" ht="24" customHeight="1">
      <c r="A41" s="50"/>
      <c r="B41" s="50"/>
      <c r="C41" s="50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59" stopIfTrue="1" operator="lessThanOrEqual">
      <formula>0</formula>
    </cfRule>
  </conditionalFormatting>
  <conditionalFormatting sqref="E17:E40">
    <cfRule type="cellIs" dxfId="3" priority="6" stopIfTrue="1" operator="lessThanOrEqual">
      <formula>0</formula>
    </cfRule>
  </conditionalFormatting>
  <conditionalFormatting sqref="E17:E40">
    <cfRule type="cellIs" dxfId="2" priority="5" stopIfTrue="1" operator="lessThanOrEqual">
      <formula>0</formula>
    </cfRule>
  </conditionalFormatting>
  <conditionalFormatting sqref="E9:E16">
    <cfRule type="cellIs" dxfId="1" priority="4" stopIfTrue="1" operator="lessThanOrEqual">
      <formula>0</formula>
    </cfRule>
  </conditionalFormatting>
  <conditionalFormatting sqref="E9:E16">
    <cfRule type="cellIs" dxfId="0" priority="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4" activePane="bottomRight" state="frozen"/>
      <selection pane="bottomRight" activeCell="N15" sqref="N15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315" t="s">
        <v>57</v>
      </c>
      <c r="G1" s="315"/>
      <c r="H1" s="315"/>
      <c r="I1" s="315"/>
      <c r="J1" s="315"/>
      <c r="K1" s="315"/>
      <c r="L1" s="315"/>
      <c r="M1" s="315"/>
      <c r="N1" s="315"/>
      <c r="O1" s="315"/>
      <c r="P1" s="315"/>
      <c r="Q1" s="315"/>
      <c r="R1" s="315"/>
      <c r="S1" s="315"/>
      <c r="T1" s="315"/>
      <c r="U1" s="315"/>
      <c r="V1" s="315"/>
      <c r="W1" s="315"/>
      <c r="X1" s="315"/>
      <c r="Y1" s="315"/>
      <c r="Z1" s="315"/>
    </row>
    <row r="2" spans="1:31" ht="41.25" customHeight="1">
      <c r="Q2" s="320">
        <v>803</v>
      </c>
      <c r="R2" s="321"/>
      <c r="S2" s="322"/>
      <c r="T2" s="323">
        <v>519</v>
      </c>
      <c r="U2" s="321"/>
      <c r="V2" s="322"/>
      <c r="W2" s="323">
        <v>800</v>
      </c>
      <c r="X2" s="321"/>
      <c r="Y2" s="322"/>
      <c r="Z2" s="323">
        <v>802</v>
      </c>
      <c r="AA2" s="321"/>
      <c r="AB2" s="324"/>
      <c r="AC2" s="36"/>
    </row>
    <row r="3" spans="1:31" s="121" customFormat="1" ht="50.25" customHeight="1">
      <c r="A3" s="110"/>
      <c r="B3" s="111" t="s">
        <v>58</v>
      </c>
      <c r="C3" s="112" t="s">
        <v>59</v>
      </c>
      <c r="D3" s="111" t="s">
        <v>60</v>
      </c>
      <c r="E3" s="112" t="s">
        <v>61</v>
      </c>
      <c r="F3" s="111" t="s">
        <v>62</v>
      </c>
      <c r="G3" s="112" t="s">
        <v>63</v>
      </c>
      <c r="H3" s="111" t="s">
        <v>64</v>
      </c>
      <c r="I3" s="112" t="s">
        <v>65</v>
      </c>
      <c r="J3" s="113" t="s">
        <v>66</v>
      </c>
      <c r="K3" s="113" t="s">
        <v>67</v>
      </c>
      <c r="L3" s="113" t="s">
        <v>68</v>
      </c>
      <c r="M3" s="113" t="s">
        <v>69</v>
      </c>
      <c r="N3" s="113" t="s">
        <v>70</v>
      </c>
      <c r="O3" s="114" t="s">
        <v>71</v>
      </c>
      <c r="P3" s="114" t="s">
        <v>72</v>
      </c>
      <c r="Q3" s="115" t="s">
        <v>73</v>
      </c>
      <c r="R3" s="115" t="s">
        <v>74</v>
      </c>
      <c r="S3" s="115" t="s">
        <v>75</v>
      </c>
      <c r="T3" s="116" t="s">
        <v>76</v>
      </c>
      <c r="U3" s="117" t="s">
        <v>74</v>
      </c>
      <c r="V3" s="116" t="s">
        <v>75</v>
      </c>
      <c r="W3" s="116" t="s">
        <v>77</v>
      </c>
      <c r="X3" s="116" t="s">
        <v>74</v>
      </c>
      <c r="Y3" s="116" t="s">
        <v>75</v>
      </c>
      <c r="Z3" s="116" t="s">
        <v>78</v>
      </c>
      <c r="AA3" s="116" t="s">
        <v>74</v>
      </c>
      <c r="AB3" s="118" t="s">
        <v>75</v>
      </c>
      <c r="AC3" s="119" t="s">
        <v>79</v>
      </c>
      <c r="AD3" s="120" t="s">
        <v>80</v>
      </c>
      <c r="AE3" s="120" t="s">
        <v>81</v>
      </c>
    </row>
    <row r="4" spans="1:31" ht="32.25" customHeight="1">
      <c r="A4" s="40">
        <v>44927</v>
      </c>
      <c r="B4" s="41">
        <v>60</v>
      </c>
      <c r="C4" s="39">
        <f t="shared" ref="C4" si="0">IF(AC4&gt;0,((B4-R4)+(S4-B5)),IF(B5=0, ,(B4-B5)))</f>
        <v>3</v>
      </c>
      <c r="D4" s="41">
        <v>60</v>
      </c>
      <c r="E4" s="39">
        <f t="shared" ref="E4" si="1">IF(AC4&gt;0,((D4-U4)+(V4-D5)),IF(D5=0, ,(D4-D5)))</f>
        <v>4</v>
      </c>
      <c r="F4" s="41">
        <v>65</v>
      </c>
      <c r="G4" s="39">
        <f t="shared" ref="G4" si="2">IF(AC4&gt;0,((F4-X4)+(Y4-F5)),IF(F5=0, ,(F4-F5)))</f>
        <v>3</v>
      </c>
      <c r="H4" s="41">
        <v>65</v>
      </c>
      <c r="I4" s="39">
        <f>IF(AC4&gt;0,((H4-AA4)+(AB4-H5)),IF(H5=0, ,(H4-H5)))</f>
        <v>3</v>
      </c>
      <c r="J4" s="39">
        <f>B4+D4+F4+H4</f>
        <v>250</v>
      </c>
      <c r="K4" s="39">
        <f>J4/4</f>
        <v>62.5</v>
      </c>
      <c r="L4" s="39">
        <f>IF(AC4&gt;0,((K4-AD4)+(AE4-K5)),IF(K5=0, ,(K4-K5)))</f>
        <v>3.25</v>
      </c>
      <c r="M4" s="140">
        <f t="shared" ref="M4:M7" si="3">6049*4</f>
        <v>24196</v>
      </c>
      <c r="N4" s="39">
        <f>L4*M4/100</f>
        <v>786.37</v>
      </c>
      <c r="O4" s="39">
        <f>N4*0.529</f>
        <v>415.98973000000001</v>
      </c>
      <c r="P4" s="42">
        <f>O4*12.53</f>
        <v>5212.3513168999998</v>
      </c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44928</v>
      </c>
      <c r="B5" s="41">
        <v>57</v>
      </c>
      <c r="C5" s="39">
        <f t="shared" ref="C5:C35" si="7">IF(AC5&gt;0,((B5-R5)+(S5-B6)),IF(B6=0, ,(B5-B6)))</f>
        <v>5</v>
      </c>
      <c r="D5" s="41">
        <v>56</v>
      </c>
      <c r="E5" s="39">
        <f t="shared" ref="E5:E35" si="8">IF(AC5&gt;0,((D5-U5)+(V5-D6)),IF(D6=0, ,(D5-D6)))</f>
        <v>3</v>
      </c>
      <c r="F5" s="41">
        <v>62</v>
      </c>
      <c r="G5" s="39">
        <f t="shared" ref="G5:G35" si="9">IF(AC5&gt;0,((F5-X5)+(Y5-F6)),IF(F6=0, ,(F5-F6)))</f>
        <v>6</v>
      </c>
      <c r="H5" s="41">
        <v>62</v>
      </c>
      <c r="I5" s="39">
        <f>IF(AC5&gt;0,((H5-AA5)+(AB5-H6)),IF(H6=0, ,(H5-H6)))</f>
        <v>6</v>
      </c>
      <c r="J5" s="39">
        <f>B5+D5+F5+H5</f>
        <v>237</v>
      </c>
      <c r="K5" s="39">
        <f>J5/4</f>
        <v>59.25</v>
      </c>
      <c r="L5" s="39">
        <f>IF(AC5&gt;0,((K5-AD5)+(AE5-K6)),IF(K6=0, ,(K5-K6)))</f>
        <v>5</v>
      </c>
      <c r="M5" s="140">
        <f t="shared" si="3"/>
        <v>24196</v>
      </c>
      <c r="N5" s="39">
        <f>L5*M5/100</f>
        <v>1209.8</v>
      </c>
      <c r="O5" s="39">
        <f>N5*0.529</f>
        <v>639.98419999999999</v>
      </c>
      <c r="P5" s="42">
        <f t="shared" ref="P5:P42" si="10">O5*12.53</f>
        <v>8019.0020259999992</v>
      </c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44929</v>
      </c>
      <c r="B6" s="41">
        <v>52</v>
      </c>
      <c r="C6" s="39">
        <f t="shared" si="7"/>
        <v>4</v>
      </c>
      <c r="D6" s="41">
        <v>53</v>
      </c>
      <c r="E6" s="39">
        <f t="shared" si="8"/>
        <v>4</v>
      </c>
      <c r="F6" s="41">
        <v>56</v>
      </c>
      <c r="G6" s="39">
        <f t="shared" si="9"/>
        <v>6</v>
      </c>
      <c r="H6" s="41">
        <v>56</v>
      </c>
      <c r="I6" s="39">
        <f t="shared" ref="I6:I36" si="11">IF(AC6&gt;0,((H6-AA6)+(AB6-H7)),IF(H7=0, ,(H6-H7)))</f>
        <v>6</v>
      </c>
      <c r="J6" s="39">
        <f t="shared" ref="J6:J42" si="12">B6+D6+F6+H6</f>
        <v>217</v>
      </c>
      <c r="K6" s="39">
        <f t="shared" ref="K6:K42" si="13">J6/4</f>
        <v>54.25</v>
      </c>
      <c r="L6" s="39">
        <f t="shared" ref="L6:L19" si="14">IF(AC6&gt;0,((K6-AD6)+(AE6-K7)),IF(K7=0, ,(K6-K7)))</f>
        <v>5</v>
      </c>
      <c r="M6" s="140">
        <f t="shared" si="3"/>
        <v>24196</v>
      </c>
      <c r="N6" s="39">
        <f t="shared" ref="N6:N42" si="15">L6*M6/100</f>
        <v>1209.8</v>
      </c>
      <c r="O6" s="39">
        <f>N6*0.529</f>
        <v>639.98419999999999</v>
      </c>
      <c r="P6" s="42">
        <f t="shared" si="10"/>
        <v>8019.0020259999992</v>
      </c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44930</v>
      </c>
      <c r="B7" s="41">
        <v>48</v>
      </c>
      <c r="C7" s="39">
        <f t="shared" si="7"/>
        <v>4</v>
      </c>
      <c r="D7" s="41">
        <v>49</v>
      </c>
      <c r="E7" s="39">
        <f t="shared" si="8"/>
        <v>4</v>
      </c>
      <c r="F7" s="41">
        <v>50</v>
      </c>
      <c r="G7" s="39">
        <f t="shared" si="9"/>
        <v>5</v>
      </c>
      <c r="H7" s="41">
        <v>50</v>
      </c>
      <c r="I7" s="39">
        <f t="shared" si="11"/>
        <v>5</v>
      </c>
      <c r="J7" s="39">
        <f t="shared" si="12"/>
        <v>197</v>
      </c>
      <c r="K7" s="39">
        <f t="shared" si="13"/>
        <v>49.25</v>
      </c>
      <c r="L7" s="39">
        <f t="shared" si="14"/>
        <v>4.5</v>
      </c>
      <c r="M7" s="140">
        <f t="shared" si="3"/>
        <v>24196</v>
      </c>
      <c r="N7" s="39">
        <f t="shared" si="15"/>
        <v>1088.82</v>
      </c>
      <c r="O7" s="39">
        <f>N7*0.53</f>
        <v>577.07460000000003</v>
      </c>
      <c r="P7" s="42">
        <f t="shared" si="10"/>
        <v>7230.7447380000003</v>
      </c>
      <c r="Q7" s="177">
        <v>2018</v>
      </c>
      <c r="R7" s="177">
        <v>45</v>
      </c>
      <c r="S7" s="177">
        <v>74</v>
      </c>
      <c r="T7" s="177">
        <v>1980</v>
      </c>
      <c r="U7" s="177">
        <v>45</v>
      </c>
      <c r="V7" s="177">
        <v>73</v>
      </c>
      <c r="W7" s="177">
        <v>2124</v>
      </c>
      <c r="X7" s="177">
        <v>45</v>
      </c>
      <c r="Y7" s="177">
        <v>74</v>
      </c>
      <c r="Z7" s="177">
        <v>2106</v>
      </c>
      <c r="AA7" s="177">
        <v>45</v>
      </c>
      <c r="AB7" s="177">
        <v>74</v>
      </c>
      <c r="AC7" s="39">
        <f t="shared" si="4"/>
        <v>8228</v>
      </c>
      <c r="AD7" s="38">
        <f t="shared" si="5"/>
        <v>45</v>
      </c>
      <c r="AE7" s="38">
        <f t="shared" si="6"/>
        <v>73.75</v>
      </c>
    </row>
    <row r="8" spans="1:31" ht="32.25" customHeight="1">
      <c r="A8" s="40">
        <v>44931</v>
      </c>
      <c r="B8" s="41">
        <v>73</v>
      </c>
      <c r="C8" s="39">
        <f t="shared" si="7"/>
        <v>6</v>
      </c>
      <c r="D8" s="41">
        <v>73</v>
      </c>
      <c r="E8" s="39">
        <f t="shared" si="8"/>
        <v>5</v>
      </c>
      <c r="F8" s="41">
        <v>74</v>
      </c>
      <c r="G8" s="39">
        <f t="shared" si="9"/>
        <v>5</v>
      </c>
      <c r="H8" s="41">
        <v>74</v>
      </c>
      <c r="I8" s="39">
        <f t="shared" si="11"/>
        <v>5</v>
      </c>
      <c r="J8" s="39">
        <f t="shared" si="12"/>
        <v>294</v>
      </c>
      <c r="K8" s="39">
        <f t="shared" si="13"/>
        <v>73.5</v>
      </c>
      <c r="L8" s="39">
        <f t="shared" si="14"/>
        <v>5.25</v>
      </c>
      <c r="M8" s="140">
        <f>6049*4</f>
        <v>24196</v>
      </c>
      <c r="N8" s="39">
        <f t="shared" si="15"/>
        <v>1270.29</v>
      </c>
      <c r="O8" s="139">
        <f t="shared" ref="O8:O37" si="16">N8*0.529</f>
        <v>671.98341000000005</v>
      </c>
      <c r="P8" s="42">
        <f t="shared" si="10"/>
        <v>8419.9521273000009</v>
      </c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44932</v>
      </c>
      <c r="B9" s="41">
        <v>67</v>
      </c>
      <c r="C9" s="39">
        <f t="shared" si="7"/>
        <v>6</v>
      </c>
      <c r="D9" s="41">
        <v>68</v>
      </c>
      <c r="E9" s="39">
        <f t="shared" si="8"/>
        <v>4</v>
      </c>
      <c r="F9" s="41">
        <v>69</v>
      </c>
      <c r="G9" s="39">
        <f t="shared" si="9"/>
        <v>4</v>
      </c>
      <c r="H9" s="41">
        <v>69</v>
      </c>
      <c r="I9" s="39">
        <f t="shared" si="11"/>
        <v>5</v>
      </c>
      <c r="J9" s="39">
        <f t="shared" si="12"/>
        <v>273</v>
      </c>
      <c r="K9" s="39">
        <f t="shared" si="13"/>
        <v>68.25</v>
      </c>
      <c r="L9" s="39">
        <f t="shared" si="14"/>
        <v>4.75</v>
      </c>
      <c r="M9" s="140">
        <f t="shared" ref="M9:M42" si="17">6049*4</f>
        <v>24196</v>
      </c>
      <c r="N9" s="39">
        <f t="shared" si="15"/>
        <v>1149.31</v>
      </c>
      <c r="O9" s="39">
        <f t="shared" si="16"/>
        <v>607.98499000000004</v>
      </c>
      <c r="P9" s="42">
        <f t="shared" si="10"/>
        <v>7618.0519247000002</v>
      </c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44933</v>
      </c>
      <c r="B10" s="41">
        <v>61</v>
      </c>
      <c r="C10" s="39">
        <f t="shared" si="7"/>
        <v>3</v>
      </c>
      <c r="D10" s="41">
        <v>64</v>
      </c>
      <c r="E10" s="39">
        <f t="shared" si="8"/>
        <v>3</v>
      </c>
      <c r="F10" s="41">
        <v>65</v>
      </c>
      <c r="G10" s="39">
        <f t="shared" si="9"/>
        <v>3</v>
      </c>
      <c r="H10" s="41">
        <v>64</v>
      </c>
      <c r="I10" s="39">
        <f t="shared" si="11"/>
        <v>3</v>
      </c>
      <c r="J10" s="39">
        <f t="shared" si="12"/>
        <v>254</v>
      </c>
      <c r="K10" s="39">
        <f t="shared" si="13"/>
        <v>63.5</v>
      </c>
      <c r="L10" s="39">
        <f t="shared" si="14"/>
        <v>3</v>
      </c>
      <c r="M10" s="140">
        <f t="shared" si="17"/>
        <v>24196</v>
      </c>
      <c r="N10" s="39">
        <f t="shared" si="15"/>
        <v>725.88</v>
      </c>
      <c r="O10" s="139">
        <f t="shared" si="16"/>
        <v>383.99052</v>
      </c>
      <c r="P10" s="42">
        <f t="shared" si="10"/>
        <v>4811.4012155999999</v>
      </c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44934</v>
      </c>
      <c r="B11" s="41">
        <v>58</v>
      </c>
      <c r="C11" s="39">
        <f t="shared" si="7"/>
        <v>5</v>
      </c>
      <c r="D11" s="41">
        <v>61</v>
      </c>
      <c r="E11" s="39">
        <f t="shared" si="8"/>
        <v>9</v>
      </c>
      <c r="F11" s="41">
        <v>62</v>
      </c>
      <c r="G11" s="39">
        <f t="shared" si="9"/>
        <v>7</v>
      </c>
      <c r="H11" s="41">
        <v>61</v>
      </c>
      <c r="I11" s="39">
        <f t="shared" si="11"/>
        <v>6</v>
      </c>
      <c r="J11" s="39">
        <f t="shared" si="12"/>
        <v>242</v>
      </c>
      <c r="K11" s="39">
        <f t="shared" si="13"/>
        <v>60.5</v>
      </c>
      <c r="L11" s="39">
        <f t="shared" si="14"/>
        <v>6.75</v>
      </c>
      <c r="M11" s="140">
        <f t="shared" si="17"/>
        <v>24196</v>
      </c>
      <c r="N11" s="39">
        <f t="shared" si="15"/>
        <v>1633.23</v>
      </c>
      <c r="O11" s="39">
        <f t="shared" si="16"/>
        <v>863.97867000000008</v>
      </c>
      <c r="P11" s="42">
        <f t="shared" si="10"/>
        <v>10825.6527351</v>
      </c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44935</v>
      </c>
      <c r="B12" s="41">
        <v>53</v>
      </c>
      <c r="C12" s="39">
        <f t="shared" si="7"/>
        <v>3</v>
      </c>
      <c r="D12" s="41">
        <v>52</v>
      </c>
      <c r="E12" s="39">
        <f t="shared" si="8"/>
        <v>2</v>
      </c>
      <c r="F12" s="41">
        <v>55</v>
      </c>
      <c r="G12" s="39">
        <f t="shared" si="9"/>
        <v>5</v>
      </c>
      <c r="H12" s="41">
        <v>55</v>
      </c>
      <c r="I12" s="39">
        <f t="shared" si="11"/>
        <v>5</v>
      </c>
      <c r="J12" s="39">
        <f t="shared" si="12"/>
        <v>215</v>
      </c>
      <c r="K12" s="39">
        <f t="shared" si="13"/>
        <v>53.75</v>
      </c>
      <c r="L12" s="39">
        <f t="shared" si="14"/>
        <v>3.75</v>
      </c>
      <c r="M12" s="140">
        <f t="shared" si="17"/>
        <v>24196</v>
      </c>
      <c r="N12" s="39">
        <f t="shared" si="15"/>
        <v>907.35</v>
      </c>
      <c r="O12" s="39">
        <f t="shared" si="16"/>
        <v>479.98815000000002</v>
      </c>
      <c r="P12" s="42">
        <f t="shared" si="10"/>
        <v>6014.2515194999996</v>
      </c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44936</v>
      </c>
      <c r="B13" s="41">
        <v>50</v>
      </c>
      <c r="C13" s="39">
        <f t="shared" si="7"/>
        <v>5</v>
      </c>
      <c r="D13" s="41">
        <v>50</v>
      </c>
      <c r="E13" s="39">
        <f t="shared" si="8"/>
        <v>5</v>
      </c>
      <c r="F13" s="41">
        <v>50</v>
      </c>
      <c r="G13" s="39">
        <f t="shared" si="9"/>
        <v>2</v>
      </c>
      <c r="H13" s="41">
        <v>50</v>
      </c>
      <c r="I13" s="39">
        <f t="shared" si="11"/>
        <v>5</v>
      </c>
      <c r="J13" s="39">
        <f t="shared" si="12"/>
        <v>200</v>
      </c>
      <c r="K13" s="39">
        <f t="shared" si="13"/>
        <v>50</v>
      </c>
      <c r="L13" s="39">
        <f t="shared" si="14"/>
        <v>4.25</v>
      </c>
      <c r="M13" s="140">
        <f t="shared" si="17"/>
        <v>24196</v>
      </c>
      <c r="N13" s="39">
        <f t="shared" si="15"/>
        <v>1028.33</v>
      </c>
      <c r="O13" s="39">
        <f t="shared" si="16"/>
        <v>543.98657000000003</v>
      </c>
      <c r="P13" s="42">
        <f t="shared" si="10"/>
        <v>6816.1517221000004</v>
      </c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44937</v>
      </c>
      <c r="B14" s="41">
        <v>45</v>
      </c>
      <c r="C14" s="39">
        <f t="shared" si="7"/>
        <v>6</v>
      </c>
      <c r="D14" s="41">
        <v>45</v>
      </c>
      <c r="E14" s="39">
        <f t="shared" si="8"/>
        <v>8</v>
      </c>
      <c r="F14" s="41">
        <v>48</v>
      </c>
      <c r="G14" s="39">
        <f t="shared" si="9"/>
        <v>3</v>
      </c>
      <c r="H14" s="41">
        <v>45</v>
      </c>
      <c r="I14" s="39">
        <f>IF(AC14&gt;0,((H14-AA14)+(AB14-H15)),IF(H15=0, ,(H14-H15)))</f>
        <v>3</v>
      </c>
      <c r="J14" s="39">
        <f t="shared" si="12"/>
        <v>183</v>
      </c>
      <c r="K14" s="39">
        <f t="shared" si="13"/>
        <v>45.75</v>
      </c>
      <c r="L14" s="39">
        <f t="shared" si="14"/>
        <v>5</v>
      </c>
      <c r="M14" s="140">
        <f t="shared" si="17"/>
        <v>24196</v>
      </c>
      <c r="N14" s="39">
        <f t="shared" si="15"/>
        <v>1209.8</v>
      </c>
      <c r="O14" s="39">
        <f t="shared" si="16"/>
        <v>639.98419999999999</v>
      </c>
      <c r="P14" s="42">
        <f t="shared" si="10"/>
        <v>8019.0020259999992</v>
      </c>
      <c r="Q14" s="177">
        <v>2822</v>
      </c>
      <c r="R14" s="177">
        <v>42</v>
      </c>
      <c r="S14" s="177">
        <v>85</v>
      </c>
      <c r="T14" s="177">
        <v>2963</v>
      </c>
      <c r="U14" s="177">
        <v>42</v>
      </c>
      <c r="V14" s="177">
        <v>85</v>
      </c>
      <c r="W14" s="177">
        <v>3047</v>
      </c>
      <c r="X14" s="177">
        <v>42</v>
      </c>
      <c r="Y14" s="177">
        <v>80</v>
      </c>
      <c r="Z14" s="177">
        <v>3191</v>
      </c>
      <c r="AA14" s="177">
        <v>42</v>
      </c>
      <c r="AB14" s="177">
        <v>85</v>
      </c>
      <c r="AC14" s="39">
        <f>Q14+T14+W14+Z14</f>
        <v>12023</v>
      </c>
      <c r="AD14" s="38">
        <f>(R14+U14+X14+AA14)/4</f>
        <v>42</v>
      </c>
      <c r="AE14" s="38">
        <f>(S14+V14+Y14+AB14)/4</f>
        <v>83.75</v>
      </c>
    </row>
    <row r="15" spans="1:31" ht="32.25" customHeight="1">
      <c r="A15" s="40">
        <v>44938</v>
      </c>
      <c r="B15" s="41">
        <v>82</v>
      </c>
      <c r="C15" s="39">
        <f t="shared" si="7"/>
        <v>2</v>
      </c>
      <c r="D15" s="41">
        <v>80</v>
      </c>
      <c r="E15" s="39">
        <f t="shared" si="8"/>
        <v>1</v>
      </c>
      <c r="F15" s="41">
        <v>83</v>
      </c>
      <c r="G15" s="39">
        <f t="shared" si="9"/>
        <v>3</v>
      </c>
      <c r="H15" s="41">
        <v>85</v>
      </c>
      <c r="I15" s="39">
        <f>IF(AC15&gt;0,((H15-AA15)+(AB15-H16)),IF(H16=0, ,(H15-H16)))</f>
        <v>4</v>
      </c>
      <c r="J15" s="39">
        <f t="shared" si="12"/>
        <v>330</v>
      </c>
      <c r="K15" s="39">
        <f t="shared" si="13"/>
        <v>82.5</v>
      </c>
      <c r="L15" s="39">
        <f t="shared" si="14"/>
        <v>2.5</v>
      </c>
      <c r="M15" s="140">
        <f t="shared" si="17"/>
        <v>24196</v>
      </c>
      <c r="N15" s="39">
        <f t="shared" si="15"/>
        <v>604.9</v>
      </c>
      <c r="O15" s="39">
        <f t="shared" si="16"/>
        <v>319.99209999999999</v>
      </c>
      <c r="P15" s="42">
        <f t="shared" si="10"/>
        <v>4009.5010129999996</v>
      </c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44939</v>
      </c>
      <c r="B16" s="41">
        <v>80</v>
      </c>
      <c r="C16" s="39">
        <f t="shared" si="7"/>
        <v>0</v>
      </c>
      <c r="D16" s="41">
        <v>79</v>
      </c>
      <c r="E16" s="39">
        <f t="shared" si="8"/>
        <v>0</v>
      </c>
      <c r="F16" s="41">
        <v>80</v>
      </c>
      <c r="G16" s="39">
        <f t="shared" si="9"/>
        <v>0</v>
      </c>
      <c r="H16" s="41">
        <v>81</v>
      </c>
      <c r="I16" s="39">
        <f t="shared" si="11"/>
        <v>0</v>
      </c>
      <c r="J16" s="39">
        <f t="shared" si="12"/>
        <v>320</v>
      </c>
      <c r="K16" s="39">
        <f t="shared" si="13"/>
        <v>80</v>
      </c>
      <c r="L16" s="39">
        <f t="shared" si="14"/>
        <v>0</v>
      </c>
      <c r="M16" s="140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44940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0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44941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0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44942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0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44943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0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44944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0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44945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0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44946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0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44947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0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44948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0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44949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0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44950</v>
      </c>
      <c r="B27" s="41"/>
      <c r="C27" s="39">
        <f t="shared" si="7"/>
        <v>0</v>
      </c>
      <c r="D27" s="41"/>
      <c r="E27" s="39">
        <f t="shared" si="8"/>
        <v>0</v>
      </c>
      <c r="F27" s="41"/>
      <c r="G27" s="39">
        <f t="shared" si="9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0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44951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0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44952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0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44953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0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44954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0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44955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0">
        <f t="shared" si="17"/>
        <v>24196</v>
      </c>
      <c r="N32" s="39">
        <f t="shared" si="15"/>
        <v>0</v>
      </c>
      <c r="O32" s="140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44956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0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44957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0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44958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0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36" si="22">IF(AC36&gt;0,((D36-U36)+(V36-D37)),IF(D37=0, ,(D36-D37)))</f>
        <v>0</v>
      </c>
      <c r="F36" s="41"/>
      <c r="G36" s="39">
        <f t="shared" ref="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0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0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0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0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0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1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0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10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0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1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12823.88</v>
      </c>
      <c r="O43" s="39">
        <f>N43*0.529</f>
        <v>6783.8325199999999</v>
      </c>
      <c r="P43" s="42">
        <f>O43*12.53</f>
        <v>85001.4214756</v>
      </c>
      <c r="Q43" s="316">
        <f>SUM(Q4:Q42)</f>
        <v>4840</v>
      </c>
      <c r="R43" s="317"/>
      <c r="S43" s="318"/>
      <c r="T43" s="319">
        <f>SUM(T4:T42)</f>
        <v>4943</v>
      </c>
      <c r="U43" s="317"/>
      <c r="V43" s="318"/>
      <c r="W43" s="319">
        <f>SUM(W4:W42)</f>
        <v>5171</v>
      </c>
      <c r="X43" s="317"/>
      <c r="Y43" s="318"/>
      <c r="Z43" s="319">
        <f>SUM(Z4:Z42)</f>
        <v>5297</v>
      </c>
      <c r="AA43" s="317"/>
      <c r="AB43" s="318"/>
      <c r="AC43" s="39">
        <f t="shared" si="20"/>
        <v>20251</v>
      </c>
    </row>
    <row r="44" spans="1:31" ht="35.25" customHeight="1" thickBot="1">
      <c r="B44" s="325"/>
      <c r="C44" s="326"/>
      <c r="D44" s="326"/>
      <c r="E44" s="326"/>
      <c r="F44" s="326"/>
      <c r="G44" s="326"/>
      <c r="H44" s="326"/>
      <c r="I44" s="327"/>
      <c r="J44" s="37"/>
      <c r="K44" s="37"/>
      <c r="L44" s="37"/>
      <c r="M44" s="37"/>
      <c r="N44" s="37"/>
      <c r="O44" s="37"/>
      <c r="P44" s="37"/>
      <c r="Q44" s="328">
        <f>Q43+T43+W43+Z43</f>
        <v>20251</v>
      </c>
      <c r="R44" s="329"/>
      <c r="S44" s="329"/>
      <c r="T44" s="329"/>
      <c r="U44" s="329"/>
      <c r="V44" s="329"/>
      <c r="W44" s="329"/>
      <c r="X44" s="329"/>
      <c r="Y44" s="329"/>
      <c r="Z44" s="329"/>
      <c r="AA44" s="329"/>
      <c r="AB44" s="330"/>
      <c r="AC44" s="39">
        <f>Q44+T44+W44+Z44</f>
        <v>20251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312" t="s">
        <v>85</v>
      </c>
      <c r="I47" s="313"/>
      <c r="J47" s="314"/>
      <c r="K47" s="45">
        <f>N43</f>
        <v>12823.88</v>
      </c>
      <c r="L47" s="46">
        <f>O43</f>
        <v>6783.8325199999999</v>
      </c>
      <c r="M47" s="46">
        <f>P43</f>
        <v>85001.4214756</v>
      </c>
    </row>
    <row r="48" spans="1:31" ht="54.75" customHeight="1" thickBot="1">
      <c r="H48" s="312" t="s">
        <v>86</v>
      </c>
      <c r="I48" s="313"/>
      <c r="J48" s="314"/>
      <c r="K48" s="43">
        <f>AC44</f>
        <v>20251</v>
      </c>
      <c r="L48" s="44">
        <f>K48*0.529</f>
        <v>10712.779</v>
      </c>
      <c r="M48" s="44">
        <f>L48*12.44</f>
        <v>133266.97076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Q35" sqref="Q3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302"/>
      <c r="B1" s="304"/>
      <c r="C1" s="331" t="s">
        <v>87</v>
      </c>
      <c r="D1" s="332"/>
      <c r="E1" s="332"/>
      <c r="F1" s="332"/>
      <c r="G1" s="332"/>
      <c r="H1" s="337" t="s">
        <v>88</v>
      </c>
      <c r="I1" s="338"/>
      <c r="J1" s="339"/>
    </row>
    <row r="2" spans="1:10" ht="16.5" customHeight="1" thickBot="1">
      <c r="A2" s="305"/>
      <c r="B2" s="307"/>
      <c r="C2" s="333"/>
      <c r="D2" s="334"/>
      <c r="E2" s="334"/>
      <c r="F2" s="334"/>
      <c r="G2" s="334"/>
      <c r="H2" s="340"/>
      <c r="I2" s="341"/>
      <c r="J2" s="342"/>
    </row>
    <row r="3" spans="1:10" ht="15" customHeight="1">
      <c r="A3" s="305"/>
      <c r="B3" s="307"/>
      <c r="C3" s="333"/>
      <c r="D3" s="334"/>
      <c r="E3" s="334"/>
      <c r="F3" s="334"/>
      <c r="G3" s="334"/>
      <c r="H3" s="343" t="s">
        <v>89</v>
      </c>
      <c r="I3" s="344"/>
      <c r="J3" s="345"/>
    </row>
    <row r="4" spans="1:10" ht="15.75" customHeight="1" thickBot="1">
      <c r="A4" s="308"/>
      <c r="B4" s="310"/>
      <c r="C4" s="335"/>
      <c r="D4" s="336"/>
      <c r="E4" s="336"/>
      <c r="F4" s="336"/>
      <c r="G4" s="336"/>
      <c r="H4" s="346"/>
      <c r="I4" s="347"/>
      <c r="J4" s="348"/>
    </row>
    <row r="6" spans="1:10" ht="33" customHeight="1" thickBot="1"/>
    <row r="7" spans="1:10" ht="36.75" thickTop="1">
      <c r="A7" s="349" t="s">
        <v>90</v>
      </c>
      <c r="B7" s="349"/>
      <c r="C7" s="350" t="s">
        <v>91</v>
      </c>
      <c r="D7" s="351"/>
      <c r="E7" s="55" t="s">
        <v>92</v>
      </c>
      <c r="F7" s="55" t="s">
        <v>93</v>
      </c>
      <c r="G7" s="55" t="s">
        <v>94</v>
      </c>
      <c r="H7" s="55" t="s">
        <v>95</v>
      </c>
      <c r="I7" s="352" t="s">
        <v>96</v>
      </c>
      <c r="J7" s="353"/>
    </row>
    <row r="8" spans="1:10">
      <c r="A8" s="354">
        <v>95670781</v>
      </c>
      <c r="B8" s="354"/>
      <c r="C8" s="355">
        <v>44923</v>
      </c>
      <c r="D8" s="356"/>
      <c r="E8" s="107">
        <v>44954</v>
      </c>
      <c r="F8" s="154" t="s">
        <v>97</v>
      </c>
      <c r="G8" s="56"/>
      <c r="H8" s="56"/>
      <c r="I8" s="357"/>
      <c r="J8" s="358"/>
    </row>
    <row r="10" spans="1:10" ht="23.25" customHeight="1" thickBot="1"/>
    <row r="11" spans="1:10" ht="24.75" customHeight="1" thickTop="1">
      <c r="A11" s="359" t="s">
        <v>98</v>
      </c>
      <c r="B11" s="359"/>
      <c r="C11" s="360" t="s">
        <v>99</v>
      </c>
      <c r="D11" s="361"/>
      <c r="E11" s="359" t="s">
        <v>100</v>
      </c>
      <c r="F11" s="359"/>
      <c r="G11" s="360" t="s">
        <v>101</v>
      </c>
      <c r="H11" s="361"/>
      <c r="I11" s="362" t="s">
        <v>102</v>
      </c>
      <c r="J11" s="362"/>
    </row>
    <row r="12" spans="1:10">
      <c r="A12" s="354" t="s">
        <v>103</v>
      </c>
      <c r="B12" s="354"/>
      <c r="C12" s="354">
        <v>3750</v>
      </c>
      <c r="D12" s="354"/>
      <c r="E12" s="354">
        <v>1000</v>
      </c>
      <c r="F12" s="354"/>
      <c r="G12" s="366">
        <v>939</v>
      </c>
      <c r="H12" s="366"/>
      <c r="I12" s="367"/>
      <c r="J12" s="367"/>
    </row>
    <row r="13" spans="1:10">
      <c r="A13" s="368"/>
      <c r="B13" s="471"/>
      <c r="C13" s="471"/>
      <c r="D13" s="471"/>
      <c r="E13" s="471"/>
      <c r="F13" s="471"/>
      <c r="G13" s="471"/>
      <c r="H13" s="471"/>
      <c r="I13" s="471"/>
      <c r="J13" s="471"/>
    </row>
    <row r="15" spans="1:10" ht="13.5" thickBot="1"/>
    <row r="16" spans="1:10" ht="26.25" thickTop="1">
      <c r="A16" s="359" t="s">
        <v>104</v>
      </c>
      <c r="B16" s="359"/>
      <c r="C16" s="57" t="s">
        <v>105</v>
      </c>
      <c r="D16" s="58" t="s">
        <v>106</v>
      </c>
      <c r="E16" s="58" t="s">
        <v>48</v>
      </c>
      <c r="F16" s="58" t="s">
        <v>107</v>
      </c>
      <c r="G16" s="363" t="s">
        <v>108</v>
      </c>
      <c r="H16" s="363"/>
      <c r="I16" s="364" t="s">
        <v>109</v>
      </c>
      <c r="J16" s="365"/>
    </row>
    <row r="17" spans="1:10">
      <c r="A17" s="369" t="s">
        <v>110</v>
      </c>
      <c r="B17" s="370"/>
      <c r="C17" s="60">
        <v>19306429</v>
      </c>
      <c r="D17" s="60">
        <v>19306429</v>
      </c>
      <c r="E17" s="61">
        <f>MIN(C17-D17)</f>
        <v>0</v>
      </c>
      <c r="F17" s="61">
        <f>+E17</f>
        <v>0</v>
      </c>
      <c r="G17" s="371"/>
      <c r="H17" s="372"/>
      <c r="I17" s="371">
        <f>+E17</f>
        <v>0</v>
      </c>
      <c r="J17" s="372"/>
    </row>
    <row r="18" spans="1:10">
      <c r="A18" s="369" t="s">
        <v>111</v>
      </c>
      <c r="B18" s="370"/>
      <c r="C18" s="60">
        <v>11353001</v>
      </c>
      <c r="D18" s="60">
        <v>11353001</v>
      </c>
      <c r="E18" s="61">
        <f>MIN(C18-D18)</f>
        <v>0</v>
      </c>
      <c r="F18" s="61">
        <f>+E18</f>
        <v>0</v>
      </c>
      <c r="G18" s="371"/>
      <c r="H18" s="372"/>
      <c r="I18" s="371">
        <f>+E18</f>
        <v>0</v>
      </c>
      <c r="J18" s="372"/>
    </row>
    <row r="19" spans="1:10">
      <c r="A19" s="369" t="s">
        <v>112</v>
      </c>
      <c r="B19" s="370"/>
      <c r="C19" s="60">
        <v>8474753</v>
      </c>
      <c r="D19" s="60">
        <v>8474753</v>
      </c>
      <c r="E19" s="61">
        <f>AVERAGE(C19-D19)</f>
        <v>0</v>
      </c>
      <c r="F19" s="61">
        <f>+E19</f>
        <v>0</v>
      </c>
      <c r="G19" s="371"/>
      <c r="H19" s="372"/>
      <c r="I19" s="371">
        <f>+E19</f>
        <v>0</v>
      </c>
      <c r="J19" s="372"/>
    </row>
    <row r="20" spans="1:10" ht="15">
      <c r="A20" s="373" t="s">
        <v>113</v>
      </c>
      <c r="B20" s="374"/>
      <c r="C20" s="62"/>
      <c r="D20" s="63"/>
      <c r="E20" s="62">
        <f>SUM(E17:E19)</f>
        <v>0</v>
      </c>
      <c r="F20" s="64"/>
      <c r="G20" s="375"/>
      <c r="H20" s="376"/>
      <c r="I20" s="375"/>
      <c r="J20" s="376"/>
    </row>
    <row r="21" spans="1:10">
      <c r="C21" s="104" t="s">
        <v>18</v>
      </c>
      <c r="D21" t="s">
        <v>114</v>
      </c>
      <c r="G21" s="377"/>
      <c r="H21" s="377"/>
    </row>
    <row r="22" spans="1:10" ht="13.5" thickBot="1">
      <c r="G22" s="378"/>
      <c r="H22" s="378"/>
    </row>
    <row r="23" spans="1:10" ht="13.5" thickTop="1">
      <c r="A23" s="379" t="s">
        <v>115</v>
      </c>
      <c r="B23" s="380"/>
      <c r="C23" s="381"/>
      <c r="D23" s="359" t="s">
        <v>116</v>
      </c>
      <c r="E23" s="359" t="s">
        <v>117</v>
      </c>
      <c r="F23" s="386" t="s">
        <v>118</v>
      </c>
      <c r="G23" s="388" t="s">
        <v>119</v>
      </c>
      <c r="H23" s="388"/>
      <c r="I23" s="389" t="s">
        <v>120</v>
      </c>
      <c r="J23" s="389"/>
    </row>
    <row r="24" spans="1:10">
      <c r="A24" s="382"/>
      <c r="B24" s="383"/>
      <c r="C24" s="384"/>
      <c r="D24" s="385"/>
      <c r="E24" s="385"/>
      <c r="F24" s="387"/>
      <c r="G24" s="155" t="s">
        <v>121</v>
      </c>
      <c r="H24" s="65" t="s">
        <v>122</v>
      </c>
      <c r="I24" s="389"/>
      <c r="J24" s="389"/>
    </row>
    <row r="25" spans="1:10" ht="15">
      <c r="A25" s="390" t="s">
        <v>123</v>
      </c>
      <c r="B25" s="391"/>
      <c r="C25" s="392"/>
      <c r="D25" s="61">
        <f>+E17</f>
        <v>0</v>
      </c>
      <c r="E25" s="66">
        <v>0.95140000000000002</v>
      </c>
      <c r="F25" s="67">
        <f>PRODUCT(D25*E25)</f>
        <v>0</v>
      </c>
      <c r="G25" s="142">
        <v>14</v>
      </c>
      <c r="H25" s="59">
        <f>PRODUCT(0.14,F25)</f>
        <v>0</v>
      </c>
      <c r="I25" s="393">
        <f>SUM(H25,F25)</f>
        <v>0</v>
      </c>
      <c r="J25" s="394"/>
    </row>
    <row r="26" spans="1:10" ht="15">
      <c r="A26" s="395" t="s">
        <v>124</v>
      </c>
      <c r="B26" s="396"/>
      <c r="C26" s="397"/>
      <c r="D26" s="61">
        <f>+E18</f>
        <v>0</v>
      </c>
      <c r="E26" s="68">
        <v>0.69850000000000001</v>
      </c>
      <c r="F26" s="67">
        <f>PRODUCT(D26*E26)</f>
        <v>0</v>
      </c>
      <c r="G26">
        <v>14</v>
      </c>
      <c r="H26" s="61">
        <f>PRODUCT(0.14,F26)</f>
        <v>0</v>
      </c>
      <c r="I26" s="393">
        <f t="shared" ref="I26:I31" si="0">SUM(H26,F26)</f>
        <v>0</v>
      </c>
      <c r="J26" s="394"/>
    </row>
    <row r="27" spans="1:10" ht="15">
      <c r="A27" s="395" t="s">
        <v>125</v>
      </c>
      <c r="B27" s="396"/>
      <c r="C27" s="397"/>
      <c r="D27" s="61">
        <f>+E19</f>
        <v>0</v>
      </c>
      <c r="E27" s="68">
        <v>1.3304</v>
      </c>
      <c r="F27" s="67">
        <f>PRODUCT(D27*E27)</f>
        <v>0</v>
      </c>
      <c r="G27">
        <v>14</v>
      </c>
      <c r="H27" s="61">
        <f>PRODUCT(0.14,F27)</f>
        <v>0</v>
      </c>
      <c r="I27" s="393">
        <f>SUM(H27,F27)</f>
        <v>0</v>
      </c>
      <c r="J27" s="394"/>
    </row>
    <row r="28" spans="1:10" ht="15">
      <c r="A28" s="395" t="s">
        <v>126</v>
      </c>
      <c r="B28" s="396"/>
      <c r="C28" s="397"/>
      <c r="D28" s="61">
        <v>1000</v>
      </c>
      <c r="E28" s="68">
        <v>43.88167</v>
      </c>
      <c r="F28" s="67">
        <f>PRODUCT(D28,E28)</f>
        <v>43881.67</v>
      </c>
      <c r="G28">
        <v>14</v>
      </c>
      <c r="H28" s="61">
        <f>PRODUCT(0.14,F28)</f>
        <v>6143.4338000000007</v>
      </c>
      <c r="I28" s="393">
        <f t="shared" si="0"/>
        <v>50025.103799999997</v>
      </c>
      <c r="J28" s="394"/>
    </row>
    <row r="29" spans="1:10" ht="15">
      <c r="A29" s="406" t="s">
        <v>127</v>
      </c>
      <c r="B29" s="407"/>
      <c r="C29" s="408"/>
      <c r="D29" s="69">
        <v>0</v>
      </c>
      <c r="E29" s="70">
        <f>E28*1.5</f>
        <v>65.822505000000007</v>
      </c>
      <c r="F29" s="71">
        <f>PRODUCT(D29,E29)</f>
        <v>0</v>
      </c>
      <c r="G29" s="72">
        <v>14</v>
      </c>
      <c r="H29" s="69">
        <f>PRODUCT(0.14,F29)</f>
        <v>0</v>
      </c>
      <c r="I29" s="409">
        <f t="shared" si="0"/>
        <v>0</v>
      </c>
      <c r="J29" s="410"/>
    </row>
    <row r="30" spans="1:10" ht="15">
      <c r="A30" s="395" t="s">
        <v>128</v>
      </c>
      <c r="B30" s="396"/>
      <c r="C30" s="397"/>
      <c r="D30" s="61"/>
      <c r="E30" s="73"/>
      <c r="F30" s="67">
        <v>841</v>
      </c>
      <c r="G30">
        <v>20</v>
      </c>
      <c r="H30" s="74">
        <f>PRODUCT(F30,0.2)</f>
        <v>168.20000000000002</v>
      </c>
      <c r="I30" s="393">
        <f>SUM(H30,F30)</f>
        <v>1009.2</v>
      </c>
      <c r="J30" s="394"/>
    </row>
    <row r="31" spans="1:10" ht="15.75" thickBot="1">
      <c r="A31" s="398" t="s">
        <v>129</v>
      </c>
      <c r="B31" s="399"/>
      <c r="C31" s="400"/>
      <c r="D31" s="75"/>
      <c r="E31" s="76"/>
      <c r="F31" s="67">
        <v>1492</v>
      </c>
      <c r="G31" s="64">
        <v>7</v>
      </c>
      <c r="H31" s="77">
        <f>PRODUCT(F31,0.07)</f>
        <v>104.44000000000001</v>
      </c>
      <c r="I31" s="393">
        <f t="shared" si="0"/>
        <v>1596.44</v>
      </c>
      <c r="J31" s="394"/>
    </row>
    <row r="32" spans="1:10" ht="21">
      <c r="A32" s="401" t="s">
        <v>130</v>
      </c>
      <c r="B32" s="402"/>
      <c r="C32" s="402"/>
      <c r="D32" s="402"/>
      <c r="E32" s="402"/>
      <c r="F32" s="78">
        <f>SUM(F25:F31)</f>
        <v>46214.67</v>
      </c>
      <c r="G32" s="79"/>
      <c r="H32" s="80"/>
      <c r="I32" s="405">
        <f>SUM(I25:J31)</f>
        <v>52630.743799999997</v>
      </c>
      <c r="J32" s="405"/>
    </row>
    <row r="33" spans="1:10" ht="21.75" thickBot="1">
      <c r="A33" s="403"/>
      <c r="B33" s="404"/>
      <c r="C33" s="404"/>
      <c r="D33" s="404"/>
      <c r="E33" s="404"/>
      <c r="F33" s="81"/>
      <c r="G33" s="82"/>
      <c r="H33" s="83"/>
      <c r="I33" s="405"/>
      <c r="J33" s="40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"/>
  <sheetViews>
    <sheetView topLeftCell="A6" workbookViewId="0">
      <selection activeCell="O26" sqref="O26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302"/>
      <c r="B1" s="304"/>
      <c r="C1" s="331" t="s">
        <v>87</v>
      </c>
      <c r="D1" s="332"/>
      <c r="E1" s="332"/>
      <c r="F1" s="332"/>
      <c r="G1" s="332"/>
      <c r="H1" s="337" t="s">
        <v>88</v>
      </c>
      <c r="I1" s="338"/>
      <c r="J1" s="339"/>
    </row>
    <row r="2" spans="1:10" ht="16.5" customHeight="1" thickBot="1">
      <c r="A2" s="305"/>
      <c r="B2" s="307"/>
      <c r="C2" s="333"/>
      <c r="D2" s="334"/>
      <c r="E2" s="334"/>
      <c r="F2" s="334"/>
      <c r="G2" s="334"/>
      <c r="H2" s="340"/>
      <c r="I2" s="341"/>
      <c r="J2" s="342"/>
    </row>
    <row r="3" spans="1:10" ht="15" customHeight="1">
      <c r="A3" s="305"/>
      <c r="B3" s="307"/>
      <c r="C3" s="333"/>
      <c r="D3" s="334"/>
      <c r="E3" s="334"/>
      <c r="F3" s="334"/>
      <c r="G3" s="334"/>
      <c r="H3" s="343" t="s">
        <v>89</v>
      </c>
      <c r="I3" s="344"/>
      <c r="J3" s="345"/>
    </row>
    <row r="4" spans="1:10" ht="15.75" customHeight="1" thickBot="1">
      <c r="A4" s="308"/>
      <c r="B4" s="310"/>
      <c r="C4" s="335"/>
      <c r="D4" s="336"/>
      <c r="E4" s="336"/>
      <c r="F4" s="336"/>
      <c r="G4" s="336"/>
      <c r="H4" s="346"/>
      <c r="I4" s="347"/>
      <c r="J4" s="348"/>
    </row>
    <row r="6" spans="1:10" ht="33" customHeight="1" thickBot="1"/>
    <row r="7" spans="1:10" ht="36.75" thickTop="1">
      <c r="A7" s="349" t="s">
        <v>90</v>
      </c>
      <c r="B7" s="349"/>
      <c r="C7" s="350" t="s">
        <v>91</v>
      </c>
      <c r="D7" s="351"/>
      <c r="E7" s="55" t="s">
        <v>92</v>
      </c>
      <c r="F7" s="55" t="s">
        <v>93</v>
      </c>
      <c r="G7" s="55" t="s">
        <v>94</v>
      </c>
      <c r="H7" s="55" t="s">
        <v>95</v>
      </c>
      <c r="I7" s="352" t="s">
        <v>96</v>
      </c>
      <c r="J7" s="353"/>
    </row>
    <row r="8" spans="1:10">
      <c r="A8" s="354">
        <v>95670781</v>
      </c>
      <c r="B8" s="354"/>
      <c r="C8" s="355">
        <v>44938</v>
      </c>
      <c r="D8" s="356"/>
      <c r="E8" s="107">
        <v>44939</v>
      </c>
      <c r="F8" s="154" t="s">
        <v>131</v>
      </c>
      <c r="G8" s="56"/>
      <c r="H8" s="56"/>
      <c r="I8" s="357"/>
      <c r="J8" s="358"/>
    </row>
    <row r="10" spans="1:10" ht="23.25" customHeight="1" thickBot="1"/>
    <row r="11" spans="1:10" ht="24.75" customHeight="1">
      <c r="A11" s="359" t="s">
        <v>98</v>
      </c>
      <c r="B11" s="359"/>
      <c r="C11" s="360" t="s">
        <v>99</v>
      </c>
      <c r="D11" s="361"/>
      <c r="E11" s="359" t="s">
        <v>100</v>
      </c>
      <c r="F11" s="359"/>
      <c r="G11" s="360" t="s">
        <v>101</v>
      </c>
      <c r="H11" s="361"/>
      <c r="I11" s="362" t="s">
        <v>102</v>
      </c>
      <c r="J11" s="362"/>
    </row>
    <row r="12" spans="1:10">
      <c r="A12" s="354" t="s">
        <v>103</v>
      </c>
      <c r="B12" s="354"/>
      <c r="C12" s="354">
        <v>3750</v>
      </c>
      <c r="D12" s="354"/>
      <c r="E12" s="354">
        <v>1000</v>
      </c>
      <c r="F12" s="354"/>
      <c r="G12" s="366">
        <v>939</v>
      </c>
      <c r="H12" s="366"/>
      <c r="I12" s="367"/>
      <c r="J12" s="367"/>
    </row>
    <row r="13" spans="1:10">
      <c r="A13" s="368"/>
      <c r="B13" s="471"/>
      <c r="C13" s="471"/>
      <c r="D13" s="471"/>
      <c r="E13" s="471"/>
      <c r="F13" s="471"/>
      <c r="G13" s="471"/>
      <c r="H13" s="471"/>
      <c r="I13" s="471"/>
      <c r="J13" s="471"/>
    </row>
    <row r="15" spans="1:10" ht="13.5" thickBot="1"/>
    <row r="16" spans="1:10" ht="26.25" thickTop="1">
      <c r="A16" s="412" t="s">
        <v>104</v>
      </c>
      <c r="B16" s="412"/>
      <c r="C16" s="57" t="s">
        <v>105</v>
      </c>
      <c r="D16" s="57" t="s">
        <v>106</v>
      </c>
      <c r="E16" s="57" t="s">
        <v>48</v>
      </c>
      <c r="F16" s="57" t="s">
        <v>107</v>
      </c>
      <c r="G16" s="363" t="s">
        <v>108</v>
      </c>
      <c r="H16" s="363"/>
      <c r="I16" s="364" t="s">
        <v>109</v>
      </c>
      <c r="J16" s="365"/>
    </row>
    <row r="17" spans="1:12">
      <c r="A17" s="411" t="s">
        <v>110</v>
      </c>
      <c r="B17" s="411"/>
      <c r="C17" s="192">
        <v>22096404</v>
      </c>
      <c r="D17" s="192">
        <v>22090090</v>
      </c>
      <c r="E17" s="192">
        <f>MIN(C17-D17)</f>
        <v>6314</v>
      </c>
      <c r="F17" s="192">
        <f>+E17</f>
        <v>6314</v>
      </c>
      <c r="G17" s="306"/>
      <c r="H17" s="372"/>
      <c r="I17" s="371">
        <f>+E17</f>
        <v>6314</v>
      </c>
      <c r="J17" s="372"/>
    </row>
    <row r="18" spans="1:12">
      <c r="A18" s="411" t="s">
        <v>111</v>
      </c>
      <c r="B18" s="411"/>
      <c r="C18" s="192">
        <v>12955402</v>
      </c>
      <c r="D18" s="192">
        <v>12951108</v>
      </c>
      <c r="E18" s="192">
        <f>MIN(C18-D18)</f>
        <v>4294</v>
      </c>
      <c r="F18" s="192">
        <f>+E18</f>
        <v>4294</v>
      </c>
      <c r="G18" s="306"/>
      <c r="H18" s="372"/>
      <c r="I18" s="371">
        <f>+E18</f>
        <v>4294</v>
      </c>
      <c r="J18" s="372"/>
    </row>
    <row r="19" spans="1:12" ht="19.5">
      <c r="A19" s="411" t="s">
        <v>112</v>
      </c>
      <c r="B19" s="411"/>
      <c r="C19" s="192">
        <v>9696581</v>
      </c>
      <c r="D19" s="192">
        <v>9693735</v>
      </c>
      <c r="E19" s="192">
        <f>AVERAGE(C19-D19)</f>
        <v>2846</v>
      </c>
      <c r="F19" s="192">
        <f>+E19</f>
        <v>2846</v>
      </c>
      <c r="G19" s="306"/>
      <c r="H19" s="372"/>
      <c r="I19" s="371">
        <f>+E19</f>
        <v>2846</v>
      </c>
      <c r="J19" s="372"/>
      <c r="L19" s="166"/>
    </row>
    <row r="20" spans="1:12" ht="19.5">
      <c r="A20" s="373" t="s">
        <v>113</v>
      </c>
      <c r="B20" s="374"/>
      <c r="C20" s="62"/>
      <c r="D20" s="63"/>
      <c r="E20" s="62">
        <f>SUM(E17:E19)</f>
        <v>13454</v>
      </c>
      <c r="F20" s="64"/>
      <c r="G20" s="375"/>
      <c r="H20" s="376"/>
      <c r="I20" s="375"/>
      <c r="J20" s="376"/>
      <c r="L20" s="166"/>
    </row>
    <row r="21" spans="1:12">
      <c r="C21" s="104" t="s">
        <v>18</v>
      </c>
      <c r="D21" t="s">
        <v>114</v>
      </c>
      <c r="G21" s="377"/>
      <c r="H21" s="377"/>
    </row>
    <row r="22" spans="1:12" ht="13.5" thickBot="1">
      <c r="G22" s="378"/>
      <c r="H22" s="378"/>
    </row>
    <row r="23" spans="1:12" ht="13.5" thickTop="1">
      <c r="A23" s="379" t="s">
        <v>115</v>
      </c>
      <c r="B23" s="380"/>
      <c r="C23" s="381"/>
      <c r="D23" s="359" t="s">
        <v>116</v>
      </c>
      <c r="E23" s="359" t="s">
        <v>117</v>
      </c>
      <c r="F23" s="386" t="s">
        <v>118</v>
      </c>
      <c r="G23" s="388" t="s">
        <v>119</v>
      </c>
      <c r="H23" s="388"/>
      <c r="I23" s="389" t="s">
        <v>120</v>
      </c>
      <c r="J23" s="389"/>
    </row>
    <row r="24" spans="1:12">
      <c r="A24" s="382"/>
      <c r="B24" s="383"/>
      <c r="C24" s="384"/>
      <c r="D24" s="385"/>
      <c r="E24" s="385"/>
      <c r="F24" s="387"/>
      <c r="G24" s="155" t="s">
        <v>121</v>
      </c>
      <c r="H24" s="65" t="s">
        <v>122</v>
      </c>
      <c r="I24" s="389"/>
      <c r="J24" s="389"/>
    </row>
    <row r="25" spans="1:12" ht="15">
      <c r="A25" s="390" t="s">
        <v>123</v>
      </c>
      <c r="B25" s="391"/>
      <c r="C25" s="392"/>
      <c r="D25" s="61">
        <f>+E17</f>
        <v>6314</v>
      </c>
      <c r="E25" s="66">
        <v>0.95140000000000002</v>
      </c>
      <c r="F25" s="67">
        <f>PRODUCT(D25*E25)</f>
        <v>6007.1396000000004</v>
      </c>
      <c r="G25" s="142">
        <v>14</v>
      </c>
      <c r="H25" s="59">
        <f>PRODUCT(0.14,F25)</f>
        <v>840.99954400000013</v>
      </c>
      <c r="I25" s="393">
        <f>SUM(H25,F25)</f>
        <v>6848.1391440000007</v>
      </c>
      <c r="J25" s="394"/>
    </row>
    <row r="26" spans="1:12" ht="15">
      <c r="A26" s="395" t="s">
        <v>124</v>
      </c>
      <c r="B26" s="396"/>
      <c r="C26" s="397"/>
      <c r="D26" s="61">
        <f>+E18</f>
        <v>4294</v>
      </c>
      <c r="E26" s="68">
        <v>0.69850000000000001</v>
      </c>
      <c r="F26" s="67">
        <f>PRODUCT(D26*E26)</f>
        <v>2999.3589999999999</v>
      </c>
      <c r="G26">
        <v>14</v>
      </c>
      <c r="H26" s="61">
        <f>PRODUCT(0.14,F26)</f>
        <v>419.91026000000005</v>
      </c>
      <c r="I26" s="393">
        <f t="shared" ref="I26:I31" si="0">SUM(H26,F26)</f>
        <v>3419.26926</v>
      </c>
      <c r="J26" s="394"/>
    </row>
    <row r="27" spans="1:12" ht="15">
      <c r="A27" s="395" t="s">
        <v>125</v>
      </c>
      <c r="B27" s="396"/>
      <c r="C27" s="397"/>
      <c r="D27" s="61">
        <f>+E19</f>
        <v>2846</v>
      </c>
      <c r="E27" s="68">
        <v>1.3304</v>
      </c>
      <c r="F27" s="67">
        <f>PRODUCT(D27*E27)</f>
        <v>3786.3184000000001</v>
      </c>
      <c r="G27">
        <v>14</v>
      </c>
      <c r="H27" s="61">
        <f>PRODUCT(0.14,F27)</f>
        <v>530.08457600000008</v>
      </c>
      <c r="I27" s="393">
        <f>SUM(H27,F27)</f>
        <v>4316.4029760000003</v>
      </c>
      <c r="J27" s="394"/>
    </row>
    <row r="28" spans="1:12" ht="15">
      <c r="A28" s="395" t="s">
        <v>126</v>
      </c>
      <c r="B28" s="396"/>
      <c r="C28" s="397"/>
      <c r="D28" s="61">
        <v>1000</v>
      </c>
      <c r="E28" s="68">
        <v>43.88167</v>
      </c>
      <c r="F28" s="67">
        <f>PRODUCT(D28,E28)</f>
        <v>43881.67</v>
      </c>
      <c r="G28">
        <v>14</v>
      </c>
      <c r="H28" s="61">
        <f>PRODUCT(0.14,F28)</f>
        <v>6143.4338000000007</v>
      </c>
      <c r="I28" s="393">
        <f t="shared" si="0"/>
        <v>50025.103799999997</v>
      </c>
      <c r="J28" s="394"/>
    </row>
    <row r="29" spans="1:12" ht="15">
      <c r="A29" s="406" t="s">
        <v>127</v>
      </c>
      <c r="B29" s="407"/>
      <c r="C29" s="408"/>
      <c r="D29" s="69">
        <v>0</v>
      </c>
      <c r="E29" s="70">
        <v>48.972490000000001</v>
      </c>
      <c r="F29" s="71">
        <f>PRODUCT(D29,E29)</f>
        <v>0</v>
      </c>
      <c r="G29" s="72">
        <v>14</v>
      </c>
      <c r="H29" s="69">
        <f>PRODUCT(0.14,F29)</f>
        <v>0</v>
      </c>
      <c r="I29" s="409">
        <f t="shared" si="0"/>
        <v>0</v>
      </c>
      <c r="J29" s="410"/>
    </row>
    <row r="30" spans="1:12" ht="15">
      <c r="A30" s="395" t="s">
        <v>128</v>
      </c>
      <c r="B30" s="396"/>
      <c r="C30" s="397"/>
      <c r="D30" s="61"/>
      <c r="E30" s="73"/>
      <c r="F30" s="67">
        <v>841</v>
      </c>
      <c r="G30">
        <v>20</v>
      </c>
      <c r="H30" s="74">
        <f>PRODUCT(F30,0.2)</f>
        <v>168.20000000000002</v>
      </c>
      <c r="I30" s="393">
        <f>SUM(H30,F30)</f>
        <v>1009.2</v>
      </c>
      <c r="J30" s="394"/>
    </row>
    <row r="31" spans="1:12" ht="15.75" thickBot="1">
      <c r="A31" s="398" t="s">
        <v>129</v>
      </c>
      <c r="B31" s="399"/>
      <c r="C31" s="400"/>
      <c r="D31" s="75"/>
      <c r="E31" s="76"/>
      <c r="F31" s="67">
        <v>1492</v>
      </c>
      <c r="G31" s="64">
        <v>7</v>
      </c>
      <c r="H31" s="77">
        <f>PRODUCT(F31,0.07)</f>
        <v>104.44000000000001</v>
      </c>
      <c r="I31" s="393">
        <f t="shared" si="0"/>
        <v>1596.44</v>
      </c>
      <c r="J31" s="394"/>
    </row>
    <row r="32" spans="1:12" ht="21">
      <c r="A32" s="401" t="s">
        <v>130</v>
      </c>
      <c r="B32" s="402"/>
      <c r="C32" s="402"/>
      <c r="D32" s="402"/>
      <c r="E32" s="402"/>
      <c r="F32" s="78">
        <f>SUM(F25:F31)</f>
        <v>59007.487000000001</v>
      </c>
      <c r="G32" s="79"/>
      <c r="H32" s="80"/>
      <c r="I32" s="405">
        <f>SUM(I25:J31)</f>
        <v>67214.555179999996</v>
      </c>
      <c r="J32" s="405"/>
    </row>
    <row r="33" spans="1:10" ht="21.75" thickBot="1">
      <c r="A33" s="403"/>
      <c r="B33" s="404"/>
      <c r="C33" s="404"/>
      <c r="D33" s="404"/>
      <c r="E33" s="404"/>
      <c r="F33" s="81"/>
      <c r="G33" s="82"/>
      <c r="H33" s="83"/>
      <c r="I33" s="405"/>
      <c r="J33" s="40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K9" sqref="K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3"/>
      <c r="B1" s="331" t="s">
        <v>132</v>
      </c>
      <c r="C1" s="332"/>
      <c r="D1" s="332"/>
      <c r="E1" s="332"/>
      <c r="F1" s="416" t="s">
        <v>88</v>
      </c>
      <c r="G1" s="417"/>
      <c r="H1" s="418"/>
    </row>
    <row r="2" spans="1:8" ht="15.75" customHeight="1" thickBot="1">
      <c r="A2" s="414"/>
      <c r="B2" s="333"/>
      <c r="C2" s="334"/>
      <c r="D2" s="334"/>
      <c r="E2" s="334"/>
      <c r="F2" s="419"/>
      <c r="G2" s="420"/>
      <c r="H2" s="421"/>
    </row>
    <row r="3" spans="1:8" ht="15" customHeight="1">
      <c r="A3" s="414"/>
      <c r="B3" s="333"/>
      <c r="C3" s="334"/>
      <c r="D3" s="334"/>
      <c r="E3" s="334"/>
      <c r="F3" s="416" t="s">
        <v>89</v>
      </c>
      <c r="G3" s="417"/>
      <c r="H3" s="418"/>
    </row>
    <row r="4" spans="1:8" ht="15.75" customHeight="1" thickBot="1">
      <c r="A4" s="415"/>
      <c r="B4" s="335"/>
      <c r="C4" s="336"/>
      <c r="D4" s="336"/>
      <c r="E4" s="336"/>
      <c r="F4" s="422"/>
      <c r="G4" s="423"/>
      <c r="H4" s="424"/>
    </row>
    <row r="6" spans="1:8" ht="42.75" customHeight="1"/>
    <row r="7" spans="1:8" ht="42.75" customHeight="1">
      <c r="A7" s="86" t="s">
        <v>90</v>
      </c>
      <c r="B7" s="86" t="s">
        <v>133</v>
      </c>
      <c r="C7" s="86" t="s">
        <v>134</v>
      </c>
      <c r="D7" s="88" t="s">
        <v>91</v>
      </c>
      <c r="E7" s="86" t="s">
        <v>135</v>
      </c>
      <c r="F7" s="88" t="s">
        <v>92</v>
      </c>
      <c r="G7" s="88" t="s">
        <v>136</v>
      </c>
      <c r="H7" s="87" t="s">
        <v>93</v>
      </c>
    </row>
    <row r="8" spans="1:8" ht="15">
      <c r="A8" s="156"/>
      <c r="B8" s="89" t="s">
        <v>137</v>
      </c>
      <c r="C8" s="90">
        <v>0</v>
      </c>
      <c r="D8" s="91">
        <v>44927</v>
      </c>
      <c r="E8" s="90">
        <v>0</v>
      </c>
      <c r="F8" s="91">
        <v>44958</v>
      </c>
      <c r="G8" s="92">
        <f>E8-C8</f>
        <v>0</v>
      </c>
      <c r="H8" s="93"/>
    </row>
    <row r="9" spans="1:8" ht="36" customHeight="1">
      <c r="A9" s="94"/>
      <c r="B9" s="94"/>
      <c r="C9" s="94"/>
      <c r="D9" s="94"/>
      <c r="E9" s="94"/>
      <c r="F9" s="94"/>
      <c r="G9" s="94"/>
      <c r="H9" s="94"/>
    </row>
    <row r="10" spans="1:8" ht="15">
      <c r="A10" s="95"/>
      <c r="B10" s="425" t="s">
        <v>116</v>
      </c>
      <c r="C10" s="426"/>
      <c r="D10" s="427" t="s">
        <v>138</v>
      </c>
      <c r="E10" s="427"/>
      <c r="F10" s="425" t="s">
        <v>139</v>
      </c>
      <c r="G10" s="428"/>
      <c r="H10" s="426"/>
    </row>
    <row r="11" spans="1:8" ht="15">
      <c r="A11" s="96" t="s">
        <v>140</v>
      </c>
      <c r="B11" s="429"/>
      <c r="C11" s="429"/>
      <c r="D11" s="429"/>
      <c r="E11" s="429"/>
      <c r="F11" s="429">
        <v>23</v>
      </c>
      <c r="G11" s="429"/>
      <c r="H11" s="429"/>
    </row>
    <row r="12" spans="1:8" ht="21">
      <c r="A12" s="430" t="s">
        <v>141</v>
      </c>
      <c r="B12" s="430"/>
      <c r="C12" s="430"/>
      <c r="D12" s="430"/>
      <c r="E12" s="430"/>
      <c r="F12" s="430"/>
      <c r="G12" s="430"/>
      <c r="H12" s="430"/>
    </row>
    <row r="13" spans="1:8" ht="15">
      <c r="A13" s="96" t="s">
        <v>142</v>
      </c>
      <c r="B13" s="429">
        <f>G8</f>
        <v>0</v>
      </c>
      <c r="C13" s="429"/>
      <c r="D13" s="429">
        <v>8.7899999999999991</v>
      </c>
      <c r="E13" s="429"/>
      <c r="F13" s="431">
        <f>PRODUCT(D13,B13)</f>
        <v>0</v>
      </c>
      <c r="G13" s="431"/>
      <c r="H13" s="431"/>
    </row>
    <row r="14" spans="1:8" ht="45" customHeight="1">
      <c r="A14" s="432" t="s">
        <v>143</v>
      </c>
      <c r="B14" s="432"/>
      <c r="C14" s="432"/>
      <c r="D14" s="432"/>
      <c r="E14" s="432"/>
      <c r="F14" s="432"/>
      <c r="G14" s="432"/>
      <c r="H14" s="432"/>
    </row>
    <row r="15" spans="1:8">
      <c r="A15" s="433"/>
      <c r="B15" s="433"/>
      <c r="C15" s="433"/>
      <c r="D15" s="433"/>
      <c r="E15" s="433"/>
      <c r="F15" s="433"/>
      <c r="G15" s="433"/>
      <c r="H15" s="433"/>
    </row>
    <row r="16" spans="1:8" ht="15">
      <c r="A16" s="97" t="s">
        <v>144</v>
      </c>
      <c r="B16" s="429">
        <v>0</v>
      </c>
      <c r="C16" s="429"/>
      <c r="D16" s="429">
        <v>0</v>
      </c>
      <c r="E16" s="429"/>
      <c r="F16" s="429">
        <f>PRODUCT(D16,B16)</f>
        <v>0</v>
      </c>
      <c r="G16" s="429"/>
      <c r="H16" s="429"/>
    </row>
    <row r="17" spans="1:8" ht="15">
      <c r="A17" s="97" t="s">
        <v>145</v>
      </c>
      <c r="B17" s="429">
        <v>0</v>
      </c>
      <c r="C17" s="429"/>
      <c r="D17" s="429">
        <v>0</v>
      </c>
      <c r="E17" s="429"/>
      <c r="F17" s="429">
        <f>PRODUCT(D17,B17)</f>
        <v>0</v>
      </c>
      <c r="G17" s="429"/>
      <c r="H17" s="429"/>
    </row>
    <row r="18" spans="1:8" ht="15">
      <c r="A18" s="97" t="s">
        <v>146</v>
      </c>
      <c r="B18" s="429">
        <v>0</v>
      </c>
      <c r="C18" s="429"/>
      <c r="D18" s="429">
        <v>0</v>
      </c>
      <c r="E18" s="429"/>
      <c r="F18" s="429">
        <f>PRODUCT(D18,B18)</f>
        <v>0</v>
      </c>
      <c r="G18" s="429"/>
      <c r="H18" s="429"/>
    </row>
    <row r="19" spans="1:8" ht="15">
      <c r="A19" s="97" t="s">
        <v>147</v>
      </c>
      <c r="B19" s="429">
        <f>G8</f>
        <v>0</v>
      </c>
      <c r="C19" s="429"/>
      <c r="D19" s="429">
        <v>2.61</v>
      </c>
      <c r="E19" s="429"/>
      <c r="F19" s="429">
        <f>PRODUCT(D19,B19)</f>
        <v>0</v>
      </c>
      <c r="G19" s="429"/>
      <c r="H19" s="429"/>
    </row>
    <row r="20" spans="1:8" ht="18.75">
      <c r="A20" s="445" t="s">
        <v>148</v>
      </c>
      <c r="B20" s="446"/>
      <c r="C20" s="446"/>
      <c r="D20" s="446"/>
      <c r="E20" s="447"/>
      <c r="F20" s="448">
        <f>SUM(F11+F13+F16+F17+F18+F19)</f>
        <v>23</v>
      </c>
      <c r="G20" s="448"/>
      <c r="H20" s="448"/>
    </row>
    <row r="21" spans="1:8" ht="15">
      <c r="A21" s="434" t="s">
        <v>149</v>
      </c>
      <c r="B21" s="435"/>
      <c r="C21" s="435"/>
      <c r="D21" s="435"/>
      <c r="E21" s="436"/>
      <c r="F21" s="429">
        <f>PRODUCT(F20,0.07)</f>
        <v>1.61</v>
      </c>
      <c r="G21" s="429"/>
      <c r="H21" s="429"/>
    </row>
    <row r="22" spans="1:8" ht="15">
      <c r="A22" s="472" t="s">
        <v>150</v>
      </c>
      <c r="B22" s="473"/>
      <c r="C22" s="473"/>
      <c r="D22" s="473"/>
      <c r="E22" s="474"/>
      <c r="F22" s="429">
        <v>208.26</v>
      </c>
      <c r="G22" s="429"/>
      <c r="H22" s="429"/>
    </row>
    <row r="23" spans="1:8" ht="15.75">
      <c r="A23" s="434" t="s">
        <v>151</v>
      </c>
      <c r="B23" s="435"/>
      <c r="C23" s="435"/>
      <c r="D23" s="435"/>
      <c r="E23" s="436"/>
      <c r="F23" s="437">
        <f>SUM(F21:H22)</f>
        <v>209.87</v>
      </c>
      <c r="G23" s="437"/>
      <c r="H23" s="437"/>
    </row>
    <row r="24" spans="1:8">
      <c r="A24" s="438" t="s">
        <v>152</v>
      </c>
      <c r="B24" s="439"/>
      <c r="C24" s="439"/>
      <c r="D24" s="439"/>
      <c r="E24" s="440"/>
      <c r="F24" s="444">
        <f>SUM(F20,F23)</f>
        <v>232.87</v>
      </c>
      <c r="G24" s="444"/>
      <c r="H24" s="444"/>
    </row>
    <row r="25" spans="1:8">
      <c r="A25" s="441"/>
      <c r="B25" s="442"/>
      <c r="C25" s="442"/>
      <c r="D25" s="442"/>
      <c r="E25" s="443"/>
      <c r="F25" s="444"/>
      <c r="G25" s="444"/>
      <c r="H25" s="444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6"/>
  <sheetViews>
    <sheetView tabSelected="1" workbookViewId="0">
      <selection activeCell="G8" sqref="C8:G8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14" ht="15" customHeight="1">
      <c r="A1" s="413"/>
      <c r="B1" s="331" t="s">
        <v>132</v>
      </c>
      <c r="C1" s="332"/>
      <c r="D1" s="332"/>
      <c r="E1" s="332"/>
      <c r="F1" s="451" t="s">
        <v>88</v>
      </c>
      <c r="G1" s="451"/>
      <c r="H1" s="451"/>
    </row>
    <row r="2" spans="1:14" ht="15.75" customHeight="1">
      <c r="A2" s="414"/>
      <c r="B2" s="333"/>
      <c r="C2" s="334"/>
      <c r="D2" s="334"/>
      <c r="E2" s="334"/>
      <c r="F2" s="451"/>
      <c r="G2" s="451"/>
      <c r="H2" s="451"/>
    </row>
    <row r="3" spans="1:14" ht="15" customHeight="1">
      <c r="A3" s="414"/>
      <c r="B3" s="333"/>
      <c r="C3" s="334"/>
      <c r="D3" s="334"/>
      <c r="E3" s="334"/>
      <c r="F3" s="451" t="s">
        <v>89</v>
      </c>
      <c r="G3" s="451"/>
      <c r="H3" s="451"/>
    </row>
    <row r="4" spans="1:14" ht="15.75" customHeight="1">
      <c r="A4" s="415"/>
      <c r="B4" s="335"/>
      <c r="C4" s="336"/>
      <c r="D4" s="336"/>
      <c r="E4" s="336"/>
      <c r="F4" s="451"/>
      <c r="G4" s="451"/>
      <c r="H4" s="451"/>
    </row>
    <row r="6" spans="1:14" ht="42.75" customHeight="1"/>
    <row r="7" spans="1:14" ht="42.75" customHeight="1">
      <c r="A7" s="86" t="s">
        <v>90</v>
      </c>
      <c r="B7" s="197" t="s">
        <v>133</v>
      </c>
      <c r="C7" s="195" t="s">
        <v>134</v>
      </c>
      <c r="D7" s="196" t="s">
        <v>91</v>
      </c>
      <c r="E7" s="195" t="s">
        <v>135</v>
      </c>
      <c r="F7" s="199" t="s">
        <v>92</v>
      </c>
      <c r="G7" s="194" t="s">
        <v>136</v>
      </c>
      <c r="H7" s="87" t="s">
        <v>93</v>
      </c>
    </row>
    <row r="8" spans="1:14" ht="15">
      <c r="A8" s="191"/>
      <c r="B8" s="198" t="s">
        <v>137</v>
      </c>
      <c r="C8" s="466">
        <v>181931</v>
      </c>
      <c r="D8" s="467">
        <v>44938</v>
      </c>
      <c r="E8" s="470">
        <v>182041</v>
      </c>
      <c r="F8" s="468">
        <v>44939</v>
      </c>
      <c r="G8" s="469">
        <f>E8-C8</f>
        <v>110</v>
      </c>
      <c r="H8" s="193"/>
    </row>
    <row r="9" spans="1:14" ht="36" customHeight="1">
      <c r="A9" s="94"/>
      <c r="B9" s="94"/>
      <c r="C9" s="94"/>
      <c r="D9" s="94"/>
      <c r="E9" s="94"/>
      <c r="F9" s="94"/>
      <c r="G9" s="94"/>
      <c r="H9" s="94"/>
    </row>
    <row r="10" spans="1:14" ht="15">
      <c r="A10" s="95"/>
      <c r="B10" s="425" t="s">
        <v>116</v>
      </c>
      <c r="C10" s="426"/>
      <c r="D10" s="427" t="s">
        <v>138</v>
      </c>
      <c r="E10" s="427"/>
      <c r="F10" s="425" t="s">
        <v>139</v>
      </c>
      <c r="G10" s="428"/>
      <c r="H10" s="426"/>
    </row>
    <row r="11" spans="1:14" ht="15">
      <c r="A11" s="96" t="s">
        <v>140</v>
      </c>
      <c r="B11" s="429"/>
      <c r="C11" s="429"/>
      <c r="D11" s="429"/>
      <c r="E11" s="429"/>
      <c r="F11" s="429">
        <v>23</v>
      </c>
      <c r="G11" s="429"/>
      <c r="H11" s="429"/>
    </row>
    <row r="12" spans="1:14" ht="21">
      <c r="A12" s="430" t="s">
        <v>141</v>
      </c>
      <c r="B12" s="430"/>
      <c r="C12" s="430"/>
      <c r="D12" s="430"/>
      <c r="E12" s="430"/>
      <c r="F12" s="430"/>
      <c r="G12" s="430"/>
      <c r="H12" s="430"/>
    </row>
    <row r="13" spans="1:14" ht="15">
      <c r="A13" s="96" t="s">
        <v>142</v>
      </c>
      <c r="B13" s="429">
        <f>G8</f>
        <v>110</v>
      </c>
      <c r="C13" s="429"/>
      <c r="D13" s="429">
        <v>8.5</v>
      </c>
      <c r="E13" s="429"/>
      <c r="F13" s="431">
        <f>PRODUCT(D13,B13)</f>
        <v>935</v>
      </c>
      <c r="G13" s="431"/>
      <c r="H13" s="431"/>
    </row>
    <row r="14" spans="1:14" ht="45" customHeight="1">
      <c r="A14" s="432" t="s">
        <v>143</v>
      </c>
      <c r="B14" s="432"/>
      <c r="C14" s="432"/>
      <c r="D14" s="432"/>
      <c r="E14" s="432"/>
      <c r="F14" s="432"/>
      <c r="G14" s="432"/>
      <c r="H14" s="432"/>
      <c r="M14" s="166"/>
      <c r="N14" s="166"/>
    </row>
    <row r="15" spans="1:14" ht="19.5">
      <c r="A15" s="433"/>
      <c r="B15" s="433"/>
      <c r="C15" s="433"/>
      <c r="D15" s="433"/>
      <c r="E15" s="433"/>
      <c r="F15" s="433"/>
      <c r="G15" s="433"/>
      <c r="H15" s="433"/>
      <c r="M15" s="166"/>
      <c r="N15" s="166"/>
    </row>
    <row r="16" spans="1:14" ht="19.5">
      <c r="A16" s="97" t="s">
        <v>144</v>
      </c>
      <c r="B16" s="429">
        <v>0</v>
      </c>
      <c r="C16" s="429"/>
      <c r="D16" s="429">
        <v>0</v>
      </c>
      <c r="E16" s="429"/>
      <c r="F16" s="429">
        <f>PRODUCT(D16,B16)</f>
        <v>0</v>
      </c>
      <c r="G16" s="429"/>
      <c r="H16" s="429"/>
      <c r="K16" s="166"/>
    </row>
    <row r="17" spans="1:8" ht="15">
      <c r="A17" s="97" t="s">
        <v>145</v>
      </c>
      <c r="B17" s="429">
        <v>0</v>
      </c>
      <c r="C17" s="429"/>
      <c r="D17" s="429">
        <v>0</v>
      </c>
      <c r="E17" s="429"/>
      <c r="F17" s="429">
        <f>PRODUCT(D17,B17)</f>
        <v>0</v>
      </c>
      <c r="G17" s="429"/>
      <c r="H17" s="429"/>
    </row>
    <row r="18" spans="1:8" ht="15">
      <c r="A18" s="97" t="s">
        <v>146</v>
      </c>
      <c r="B18" s="429">
        <v>0</v>
      </c>
      <c r="C18" s="429"/>
      <c r="D18" s="429">
        <v>0</v>
      </c>
      <c r="E18" s="429"/>
      <c r="F18" s="429">
        <f>PRODUCT(D18,B18)</f>
        <v>0</v>
      </c>
      <c r="G18" s="429"/>
      <c r="H18" s="429"/>
    </row>
    <row r="19" spans="1:8" ht="15">
      <c r="A19" s="97" t="s">
        <v>147</v>
      </c>
      <c r="B19" s="429">
        <v>0</v>
      </c>
      <c r="C19" s="429"/>
      <c r="D19" s="449">
        <v>0</v>
      </c>
      <c r="E19" s="450"/>
      <c r="F19" s="449">
        <v>0</v>
      </c>
      <c r="G19" s="450"/>
      <c r="H19" s="156"/>
    </row>
    <row r="20" spans="1:8" ht="15">
      <c r="A20" s="97" t="s">
        <v>153</v>
      </c>
      <c r="B20" s="429">
        <f>G8</f>
        <v>110</v>
      </c>
      <c r="C20" s="429"/>
      <c r="D20" s="429">
        <v>2.54</v>
      </c>
      <c r="E20" s="429"/>
      <c r="F20" s="429">
        <f>PRODUCT(D20,B20)</f>
        <v>279.39999999999998</v>
      </c>
      <c r="G20" s="429"/>
      <c r="H20" s="429"/>
    </row>
    <row r="21" spans="1:8" ht="18.75">
      <c r="A21" s="445" t="s">
        <v>148</v>
      </c>
      <c r="B21" s="446"/>
      <c r="C21" s="446"/>
      <c r="D21" s="446"/>
      <c r="E21" s="447"/>
      <c r="F21" s="448">
        <f>SUM(F11+F13+F16+F17+F18+F20)</f>
        <v>1237.4000000000001</v>
      </c>
      <c r="G21" s="448"/>
      <c r="H21" s="448"/>
    </row>
    <row r="22" spans="1:8" ht="15">
      <c r="A22" s="434" t="s">
        <v>149</v>
      </c>
      <c r="B22" s="435"/>
      <c r="C22" s="435"/>
      <c r="D22" s="435"/>
      <c r="E22" s="436"/>
      <c r="F22" s="429">
        <f>PRODUCT(F21,0.07)</f>
        <v>86.618000000000009</v>
      </c>
      <c r="G22" s="429"/>
      <c r="H22" s="429"/>
    </row>
    <row r="23" spans="1:8" ht="15">
      <c r="A23" s="472" t="s">
        <v>150</v>
      </c>
      <c r="B23" s="473"/>
      <c r="C23" s="473"/>
      <c r="D23" s="473"/>
      <c r="E23" s="474"/>
      <c r="F23" s="429">
        <v>208.26</v>
      </c>
      <c r="G23" s="429"/>
      <c r="H23" s="429"/>
    </row>
    <row r="24" spans="1:8" ht="15.75">
      <c r="A24" s="434" t="s">
        <v>151</v>
      </c>
      <c r="B24" s="435"/>
      <c r="C24" s="435"/>
      <c r="D24" s="435"/>
      <c r="E24" s="436"/>
      <c r="F24" s="437">
        <f>SUM(F22:H23)</f>
        <v>294.87799999999999</v>
      </c>
      <c r="G24" s="437"/>
      <c r="H24" s="437"/>
    </row>
    <row r="25" spans="1:8">
      <c r="A25" s="438" t="s">
        <v>152</v>
      </c>
      <c r="B25" s="439"/>
      <c r="C25" s="439"/>
      <c r="D25" s="439"/>
      <c r="E25" s="440"/>
      <c r="F25" s="444">
        <f>SUM(F21,F24)</f>
        <v>1532.278</v>
      </c>
      <c r="G25" s="444"/>
      <c r="H25" s="444"/>
    </row>
    <row r="26" spans="1:8">
      <c r="A26" s="441"/>
      <c r="B26" s="442"/>
      <c r="C26" s="442"/>
      <c r="D26" s="442"/>
      <c r="E26" s="443"/>
      <c r="F26" s="444"/>
      <c r="G26" s="444"/>
      <c r="H26" s="444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P21" sqref="P21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3"/>
      <c r="B1" s="331" t="s">
        <v>154</v>
      </c>
      <c r="C1" s="332"/>
      <c r="D1" s="332"/>
      <c r="E1" s="332"/>
      <c r="F1" s="416" t="s">
        <v>88</v>
      </c>
      <c r="G1" s="417"/>
      <c r="H1" s="418"/>
    </row>
    <row r="2" spans="1:8" ht="15.75" customHeight="1" thickBot="1">
      <c r="A2" s="414"/>
      <c r="B2" s="333"/>
      <c r="C2" s="334"/>
      <c r="D2" s="334"/>
      <c r="E2" s="334"/>
      <c r="F2" s="419"/>
      <c r="G2" s="420"/>
      <c r="H2" s="421"/>
    </row>
    <row r="3" spans="1:8" ht="15" customHeight="1">
      <c r="A3" s="414"/>
      <c r="B3" s="333"/>
      <c r="C3" s="334"/>
      <c r="D3" s="334"/>
      <c r="E3" s="334"/>
      <c r="F3" s="416" t="s">
        <v>89</v>
      </c>
      <c r="G3" s="417"/>
      <c r="H3" s="418"/>
    </row>
    <row r="4" spans="1:8" ht="15.75" customHeight="1" thickBot="1">
      <c r="A4" s="415"/>
      <c r="B4" s="335"/>
      <c r="C4" s="336"/>
      <c r="D4" s="336"/>
      <c r="E4" s="336"/>
      <c r="F4" s="422"/>
      <c r="G4" s="423"/>
      <c r="H4" s="424"/>
    </row>
    <row r="6" spans="1:8" ht="42.75" customHeight="1"/>
    <row r="7" spans="1:8" ht="42.75" customHeight="1">
      <c r="A7" s="86" t="s">
        <v>90</v>
      </c>
      <c r="B7" s="86" t="s">
        <v>133</v>
      </c>
      <c r="C7" s="86" t="s">
        <v>134</v>
      </c>
      <c r="D7" s="88" t="s">
        <v>91</v>
      </c>
      <c r="E7" s="86" t="s">
        <v>135</v>
      </c>
      <c r="F7" s="88" t="s">
        <v>92</v>
      </c>
      <c r="G7" s="88" t="s">
        <v>136</v>
      </c>
      <c r="H7" s="87" t="s">
        <v>93</v>
      </c>
    </row>
    <row r="8" spans="1:8" ht="15">
      <c r="A8" s="156"/>
      <c r="B8" s="89" t="s">
        <v>137</v>
      </c>
      <c r="C8" s="90">
        <v>2594</v>
      </c>
      <c r="D8" s="91">
        <v>44937</v>
      </c>
      <c r="E8" s="90">
        <v>2594</v>
      </c>
      <c r="F8" s="91">
        <v>44938</v>
      </c>
      <c r="G8" s="92">
        <f>E8-C8</f>
        <v>0</v>
      </c>
      <c r="H8" s="93"/>
    </row>
    <row r="9" spans="1:8" ht="36" customHeight="1">
      <c r="A9" s="94"/>
      <c r="B9" s="94"/>
      <c r="C9" s="94"/>
      <c r="D9" s="94"/>
      <c r="E9" s="94"/>
      <c r="F9" s="94"/>
      <c r="G9" s="94"/>
      <c r="H9" s="94"/>
    </row>
    <row r="10" spans="1:8" ht="15">
      <c r="A10" s="95"/>
      <c r="B10" s="425" t="s">
        <v>116</v>
      </c>
      <c r="C10" s="426"/>
      <c r="D10" s="427" t="s">
        <v>138</v>
      </c>
      <c r="E10" s="427"/>
      <c r="F10" s="425" t="s">
        <v>139</v>
      </c>
      <c r="G10" s="428"/>
      <c r="H10" s="426"/>
    </row>
    <row r="11" spans="1:8" ht="15">
      <c r="A11" s="96" t="s">
        <v>140</v>
      </c>
      <c r="B11" s="429"/>
      <c r="C11" s="429"/>
      <c r="D11" s="429"/>
      <c r="E11" s="429"/>
      <c r="F11" s="429">
        <v>15</v>
      </c>
      <c r="G11" s="429"/>
      <c r="H11" s="429"/>
    </row>
    <row r="12" spans="1:8" ht="21">
      <c r="A12" s="430" t="s">
        <v>141</v>
      </c>
      <c r="B12" s="430"/>
      <c r="C12" s="430"/>
      <c r="D12" s="430"/>
      <c r="E12" s="430"/>
      <c r="F12" s="430"/>
      <c r="G12" s="430"/>
      <c r="H12" s="430"/>
    </row>
    <row r="13" spans="1:8" ht="15">
      <c r="A13" s="96" t="s">
        <v>155</v>
      </c>
      <c r="B13" s="429">
        <f>G8</f>
        <v>0</v>
      </c>
      <c r="C13" s="429"/>
      <c r="D13" s="429">
        <v>16.48</v>
      </c>
      <c r="E13" s="429"/>
      <c r="F13" s="431">
        <f>PRODUCT(D13,B13)</f>
        <v>0</v>
      </c>
      <c r="G13" s="431"/>
      <c r="H13" s="431"/>
    </row>
    <row r="14" spans="1:8" ht="15">
      <c r="A14" s="96" t="s">
        <v>156</v>
      </c>
      <c r="B14" s="449"/>
      <c r="C14" s="450"/>
      <c r="D14" s="449"/>
      <c r="E14" s="450"/>
      <c r="F14" s="449"/>
      <c r="G14" s="450"/>
      <c r="H14" s="105"/>
    </row>
    <row r="15" spans="1:8" ht="15">
      <c r="A15" s="96" t="s">
        <v>157</v>
      </c>
      <c r="B15" s="449"/>
      <c r="C15" s="450"/>
      <c r="D15" s="449"/>
      <c r="E15" s="450"/>
      <c r="F15" s="449"/>
      <c r="G15" s="450"/>
      <c r="H15" s="105"/>
    </row>
    <row r="16" spans="1:8" ht="15">
      <c r="A16" s="96" t="s">
        <v>158</v>
      </c>
      <c r="B16" s="449"/>
      <c r="C16" s="450"/>
      <c r="D16" s="449"/>
      <c r="E16" s="450"/>
      <c r="F16" s="449"/>
      <c r="G16" s="450"/>
      <c r="H16" s="105"/>
    </row>
    <row r="17" spans="1:8" ht="15">
      <c r="A17" s="96" t="s">
        <v>159</v>
      </c>
      <c r="B17" s="449"/>
      <c r="C17" s="450"/>
      <c r="D17" s="449"/>
      <c r="E17" s="450"/>
      <c r="F17" s="449"/>
      <c r="G17" s="450"/>
      <c r="H17" s="105"/>
    </row>
    <row r="18" spans="1:8" ht="45" customHeight="1">
      <c r="A18" s="432" t="s">
        <v>143</v>
      </c>
      <c r="B18" s="432"/>
      <c r="C18" s="432"/>
      <c r="D18" s="432"/>
      <c r="E18" s="432"/>
      <c r="F18" s="432"/>
      <c r="G18" s="432"/>
      <c r="H18" s="432"/>
    </row>
    <row r="19" spans="1:8">
      <c r="A19" s="433"/>
      <c r="B19" s="433"/>
      <c r="C19" s="433"/>
      <c r="D19" s="433"/>
      <c r="E19" s="433"/>
      <c r="F19" s="433"/>
      <c r="G19" s="433"/>
      <c r="H19" s="433"/>
    </row>
    <row r="20" spans="1:8" ht="15">
      <c r="A20" s="97" t="s">
        <v>144</v>
      </c>
      <c r="B20" s="429">
        <v>0</v>
      </c>
      <c r="C20" s="429"/>
      <c r="D20" s="429">
        <v>0</v>
      </c>
      <c r="E20" s="429"/>
      <c r="F20" s="429">
        <f>PRODUCT(D20,B20)</f>
        <v>0</v>
      </c>
      <c r="G20" s="429"/>
      <c r="H20" s="429"/>
    </row>
    <row r="21" spans="1:8" ht="15">
      <c r="A21" s="97" t="s">
        <v>145</v>
      </c>
      <c r="B21" s="429">
        <v>0</v>
      </c>
      <c r="C21" s="429"/>
      <c r="D21" s="429">
        <v>0</v>
      </c>
      <c r="E21" s="429"/>
      <c r="F21" s="429">
        <f>PRODUCT(D21,B21)</f>
        <v>0</v>
      </c>
      <c r="G21" s="429"/>
      <c r="H21" s="429"/>
    </row>
    <row r="22" spans="1:8" ht="15">
      <c r="A22" s="97" t="s">
        <v>146</v>
      </c>
      <c r="B22" s="429">
        <v>0</v>
      </c>
      <c r="C22" s="429"/>
      <c r="D22" s="429">
        <v>0</v>
      </c>
      <c r="E22" s="429"/>
      <c r="F22" s="429">
        <f>PRODUCT(D22,B22)</f>
        <v>0</v>
      </c>
      <c r="G22" s="429"/>
      <c r="H22" s="429"/>
    </row>
    <row r="23" spans="1:8" ht="15">
      <c r="A23" s="97" t="s">
        <v>147</v>
      </c>
      <c r="B23" s="429">
        <f>G8</f>
        <v>0</v>
      </c>
      <c r="C23" s="429"/>
      <c r="D23" s="429">
        <v>0</v>
      </c>
      <c r="E23" s="429"/>
      <c r="F23" s="429">
        <f>PRODUCT(D23,B23)</f>
        <v>0</v>
      </c>
      <c r="G23" s="429"/>
      <c r="H23" s="429"/>
    </row>
    <row r="24" spans="1:8" ht="15">
      <c r="A24" s="97" t="s">
        <v>153</v>
      </c>
      <c r="B24" s="449">
        <v>0</v>
      </c>
      <c r="C24" s="450"/>
      <c r="D24" s="449">
        <v>2.54</v>
      </c>
      <c r="E24" s="450"/>
      <c r="F24" s="449">
        <f>B24*D24</f>
        <v>0</v>
      </c>
      <c r="G24" s="450"/>
      <c r="H24" s="156"/>
    </row>
    <row r="25" spans="1:8" ht="18.75">
      <c r="A25" s="445" t="s">
        <v>148</v>
      </c>
      <c r="B25" s="446"/>
      <c r="C25" s="446"/>
      <c r="D25" s="446"/>
      <c r="E25" s="447"/>
      <c r="F25" s="452">
        <f>SUM(F11+F13+F20+F21+F22+F23)</f>
        <v>15</v>
      </c>
      <c r="G25" s="448"/>
      <c r="H25" s="448"/>
    </row>
    <row r="26" spans="1:8" ht="15">
      <c r="A26" s="434" t="s">
        <v>149</v>
      </c>
      <c r="B26" s="435"/>
      <c r="C26" s="435"/>
      <c r="D26" s="435"/>
      <c r="E26" s="436"/>
      <c r="F26" s="429">
        <v>63.63</v>
      </c>
      <c r="G26" s="429"/>
      <c r="H26" s="429"/>
    </row>
    <row r="27" spans="1:8" ht="15">
      <c r="A27" s="472" t="s">
        <v>150</v>
      </c>
      <c r="B27" s="473"/>
      <c r="C27" s="473"/>
      <c r="D27" s="473"/>
      <c r="E27" s="474"/>
      <c r="F27" s="429">
        <v>2.4300000000000002</v>
      </c>
      <c r="G27" s="429"/>
      <c r="H27" s="429"/>
    </row>
    <row r="28" spans="1:8" ht="15.75">
      <c r="A28" s="434" t="s">
        <v>151</v>
      </c>
      <c r="B28" s="435"/>
      <c r="C28" s="435"/>
      <c r="D28" s="435"/>
      <c r="E28" s="436"/>
      <c r="F28" s="437">
        <f>SUM(F26:H27)</f>
        <v>66.06</v>
      </c>
      <c r="G28" s="437"/>
      <c r="H28" s="437"/>
    </row>
    <row r="29" spans="1:8">
      <c r="A29" s="438" t="s">
        <v>152</v>
      </c>
      <c r="B29" s="439"/>
      <c r="C29" s="439"/>
      <c r="D29" s="439"/>
      <c r="E29" s="440"/>
      <c r="F29" s="444">
        <f>SUM(F25,F28)</f>
        <v>81.06</v>
      </c>
      <c r="G29" s="444"/>
      <c r="H29" s="444"/>
    </row>
    <row r="30" spans="1:8">
      <c r="A30" s="441"/>
      <c r="B30" s="442"/>
      <c r="C30" s="442"/>
      <c r="D30" s="442"/>
      <c r="E30" s="443"/>
      <c r="F30" s="444"/>
      <c r="G30" s="444"/>
      <c r="H30" s="444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5"/>
  <sheetViews>
    <sheetView topLeftCell="D16" zoomScaleNormal="100" workbookViewId="0">
      <selection activeCell="D16" sqref="D1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53" t="s">
        <v>160</v>
      </c>
      <c r="D5" s="454"/>
      <c r="E5" s="454"/>
      <c r="F5" s="454"/>
      <c r="G5" s="454"/>
      <c r="H5" s="454"/>
      <c r="I5" s="454"/>
      <c r="J5" s="454"/>
      <c r="K5" s="454"/>
      <c r="L5" s="454"/>
      <c r="M5" s="454"/>
      <c r="N5" s="455"/>
    </row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2.25" customHeight="1">
      <c r="B8" s="100" t="s">
        <v>173</v>
      </c>
      <c r="C8" s="459"/>
      <c r="D8" s="460"/>
      <c r="E8" s="460"/>
      <c r="F8" s="460"/>
      <c r="G8" s="460"/>
      <c r="H8" s="460"/>
      <c r="I8" s="460"/>
      <c r="J8" s="460"/>
      <c r="K8" s="461"/>
      <c r="L8" s="98">
        <v>544520</v>
      </c>
      <c r="M8" s="98">
        <v>561765</v>
      </c>
      <c r="N8" s="98">
        <v>546771</v>
      </c>
    </row>
    <row r="9" spans="2:14" ht="33" customHeight="1">
      <c r="B9" s="101" t="s">
        <v>174</v>
      </c>
      <c r="C9" s="98">
        <v>564170</v>
      </c>
      <c r="D9" s="98">
        <v>532072</v>
      </c>
      <c r="E9" s="98">
        <v>405239</v>
      </c>
      <c r="F9" s="98">
        <v>469130</v>
      </c>
      <c r="G9" s="98">
        <v>543877</v>
      </c>
      <c r="H9" s="98">
        <v>605744</v>
      </c>
      <c r="I9" s="98">
        <v>722083</v>
      </c>
      <c r="J9" s="98">
        <v>802210</v>
      </c>
      <c r="K9" s="98">
        <v>762933</v>
      </c>
      <c r="L9" s="98">
        <v>670848</v>
      </c>
      <c r="M9" s="98">
        <v>626451</v>
      </c>
      <c r="N9" s="98">
        <v>557392</v>
      </c>
    </row>
    <row r="10" spans="2:14" ht="33" customHeight="1">
      <c r="B10" s="106" t="s">
        <v>175</v>
      </c>
      <c r="C10" s="98">
        <v>520977</v>
      </c>
      <c r="D10" s="98">
        <v>541271</v>
      </c>
      <c r="E10" s="98">
        <v>508392</v>
      </c>
      <c r="F10" s="98">
        <v>659200</v>
      </c>
      <c r="G10" s="98">
        <v>705703</v>
      </c>
      <c r="H10" s="98">
        <v>784214</v>
      </c>
      <c r="I10" s="98">
        <v>823726</v>
      </c>
      <c r="J10" s="98">
        <v>913736</v>
      </c>
      <c r="K10" s="98">
        <v>831734</v>
      </c>
      <c r="L10" s="98">
        <v>794243</v>
      </c>
      <c r="M10" s="98">
        <v>688127</v>
      </c>
      <c r="N10" s="98">
        <v>577067</v>
      </c>
    </row>
    <row r="11" spans="2:14" ht="29.25" customHeight="1">
      <c r="B11" s="102" t="s">
        <v>176</v>
      </c>
      <c r="C11" s="98">
        <v>586355</v>
      </c>
      <c r="D11" s="98">
        <v>563735</v>
      </c>
      <c r="E11" s="98">
        <v>512313</v>
      </c>
      <c r="F11" s="98">
        <v>573440</v>
      </c>
      <c r="G11" s="98">
        <v>535115</v>
      </c>
      <c r="H11" s="98">
        <v>570139</v>
      </c>
      <c r="I11" s="98">
        <v>669302</v>
      </c>
      <c r="J11" s="98">
        <v>704714</v>
      </c>
      <c r="K11" s="98">
        <v>682717</v>
      </c>
      <c r="L11" s="98">
        <v>581239</v>
      </c>
      <c r="M11" s="98">
        <v>438561</v>
      </c>
      <c r="N11" s="98">
        <v>400672</v>
      </c>
    </row>
    <row r="12" spans="2:14" ht="33.75" customHeight="1">
      <c r="B12" s="109" t="s">
        <v>177</v>
      </c>
      <c r="C12" s="98">
        <v>388363</v>
      </c>
      <c r="D12" s="98">
        <v>407737</v>
      </c>
      <c r="E12" s="98">
        <v>392102</v>
      </c>
      <c r="F12" s="98">
        <v>454554</v>
      </c>
      <c r="G12" s="98">
        <v>448580</v>
      </c>
      <c r="H12" s="98">
        <v>535391</v>
      </c>
      <c r="I12" s="98">
        <v>549301</v>
      </c>
      <c r="J12" s="98">
        <v>576078</v>
      </c>
      <c r="K12" s="98">
        <v>612675</v>
      </c>
      <c r="L12" s="98">
        <v>542640</v>
      </c>
      <c r="M12" s="98">
        <v>507495</v>
      </c>
      <c r="N12" s="98">
        <v>444826</v>
      </c>
    </row>
    <row r="13" spans="2:14" ht="33.75" customHeight="1">
      <c r="B13" s="138" t="s">
        <v>178</v>
      </c>
      <c r="C13" s="98">
        <v>417018</v>
      </c>
      <c r="D13" s="98">
        <v>434912</v>
      </c>
      <c r="E13" s="98">
        <v>278008</v>
      </c>
      <c r="F13" s="98">
        <v>90895</v>
      </c>
      <c r="G13" s="98">
        <v>70143</v>
      </c>
      <c r="H13" s="98">
        <v>76577</v>
      </c>
      <c r="I13" s="98">
        <v>238549</v>
      </c>
      <c r="J13" s="98">
        <v>371235</v>
      </c>
      <c r="K13" s="98">
        <v>295161</v>
      </c>
      <c r="L13" s="98">
        <v>318184</v>
      </c>
      <c r="M13" s="98">
        <v>297355</v>
      </c>
      <c r="N13" s="98">
        <v>260661</v>
      </c>
    </row>
    <row r="14" spans="2:14" ht="33.75" customHeight="1">
      <c r="B14" s="172" t="s">
        <v>179</v>
      </c>
      <c r="C14" s="168">
        <v>239911</v>
      </c>
      <c r="D14" s="168">
        <v>247692</v>
      </c>
      <c r="E14" s="168">
        <v>242350</v>
      </c>
      <c r="F14" s="168">
        <v>282564</v>
      </c>
      <c r="G14" s="168">
        <v>272836</v>
      </c>
      <c r="H14" s="168">
        <v>362809</v>
      </c>
      <c r="I14" s="168">
        <v>454598</v>
      </c>
      <c r="J14" s="168">
        <v>470109</v>
      </c>
      <c r="K14" s="168">
        <v>458455</v>
      </c>
      <c r="L14" s="168">
        <v>444199</v>
      </c>
      <c r="M14" s="168">
        <v>374528</v>
      </c>
      <c r="N14" s="168">
        <v>256419</v>
      </c>
    </row>
    <row r="15" spans="2:14" ht="33.75" customHeight="1">
      <c r="B15" s="170" t="s">
        <v>180</v>
      </c>
      <c r="C15" s="168">
        <v>206479</v>
      </c>
      <c r="D15" s="168">
        <v>244783</v>
      </c>
      <c r="E15" s="168">
        <v>316387</v>
      </c>
      <c r="F15" s="168">
        <v>353545</v>
      </c>
      <c r="G15" s="168">
        <v>452426</v>
      </c>
      <c r="H15" s="168">
        <v>581939</v>
      </c>
      <c r="I15" s="168">
        <v>601486</v>
      </c>
      <c r="J15" s="168">
        <v>639044</v>
      </c>
      <c r="K15" s="168">
        <v>590667</v>
      </c>
      <c r="L15" s="168">
        <v>522652</v>
      </c>
      <c r="M15" s="168">
        <v>477601</v>
      </c>
      <c r="N15" s="168">
        <v>407006</v>
      </c>
    </row>
    <row r="16" spans="2:14" ht="33.75" customHeight="1">
      <c r="B16" s="171" t="s">
        <v>181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</row>
    <row r="17" spans="2:14" ht="21" thickBot="1">
      <c r="C17" s="456" t="s">
        <v>182</v>
      </c>
      <c r="D17" s="457"/>
      <c r="E17" s="457"/>
      <c r="F17" s="457"/>
      <c r="G17" s="457"/>
      <c r="H17" s="457"/>
      <c r="I17" s="457"/>
      <c r="J17" s="457"/>
      <c r="K17" s="457"/>
      <c r="L17" s="457"/>
      <c r="M17" s="457"/>
      <c r="N17" s="458"/>
    </row>
    <row r="19" spans="2:14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28.5" customHeight="1">
      <c r="B20" s="100" t="s">
        <v>173</v>
      </c>
      <c r="C20" s="459"/>
      <c r="D20" s="460"/>
      <c r="E20" s="460"/>
      <c r="F20" s="460"/>
      <c r="G20" s="460"/>
      <c r="H20" s="460"/>
      <c r="I20" s="460"/>
      <c r="J20" s="460"/>
      <c r="K20" s="461"/>
      <c r="L20" s="98">
        <v>527344.76260000002</v>
      </c>
      <c r="M20" s="98">
        <v>542887.95270000002</v>
      </c>
      <c r="N20" s="98">
        <v>530789.10450000002</v>
      </c>
    </row>
    <row r="21" spans="2:14" ht="26.25" customHeight="1">
      <c r="B21" s="101" t="s">
        <v>174</v>
      </c>
      <c r="C21" s="98">
        <v>577599.26069999998</v>
      </c>
      <c r="D21" s="98">
        <v>549500.304</v>
      </c>
      <c r="E21" s="98">
        <v>437038.73300000001</v>
      </c>
      <c r="F21" s="98">
        <v>498381.28909999994</v>
      </c>
      <c r="G21" s="98">
        <v>567710.58700000006</v>
      </c>
      <c r="H21" s="98">
        <v>626665.41229999997</v>
      </c>
      <c r="I21" s="98">
        <v>732996.54229999997</v>
      </c>
      <c r="J21" s="98">
        <v>807380.11509999994</v>
      </c>
      <c r="K21" s="98">
        <v>765103.69790000003</v>
      </c>
      <c r="L21" s="98">
        <v>674808.60869999998</v>
      </c>
      <c r="M21" s="98">
        <v>636029.23249999993</v>
      </c>
      <c r="N21" s="98">
        <v>575999.90890000004</v>
      </c>
    </row>
    <row r="22" spans="2:14" ht="28.5" customHeight="1">
      <c r="B22" s="106" t="s">
        <v>175</v>
      </c>
      <c r="C22" s="98">
        <v>565777.06310000003</v>
      </c>
      <c r="D22" s="98">
        <v>589465.87030000007</v>
      </c>
      <c r="E22" s="98">
        <v>559348.96649999998</v>
      </c>
      <c r="F22" s="98">
        <v>706566.82740000007</v>
      </c>
      <c r="G22" s="98">
        <v>750048.77370000002</v>
      </c>
      <c r="H22" s="98">
        <v>823657.03619999997</v>
      </c>
      <c r="I22" s="98">
        <v>863911.20730000001</v>
      </c>
      <c r="J22" s="98">
        <v>948371.73810000008</v>
      </c>
      <c r="K22" s="98">
        <v>870086.49040000001</v>
      </c>
      <c r="L22" s="98">
        <v>828237.32940000005</v>
      </c>
      <c r="M22" s="98">
        <v>728226.36450000003</v>
      </c>
      <c r="N22" s="98">
        <v>620794.43210000009</v>
      </c>
    </row>
    <row r="23" spans="2:14" ht="30" customHeight="1">
      <c r="B23" s="102" t="s">
        <v>176</v>
      </c>
      <c r="C23" s="98">
        <v>629018.45440000005</v>
      </c>
      <c r="D23" s="98">
        <v>609232.05440000002</v>
      </c>
      <c r="E23" s="98">
        <v>564099.54039999994</v>
      </c>
      <c r="F23" s="98">
        <v>625412.74040000001</v>
      </c>
      <c r="G23" s="98">
        <v>591310.6496</v>
      </c>
      <c r="H23" s="98">
        <v>627578.14100000006</v>
      </c>
      <c r="I23" s="98">
        <v>723790.51</v>
      </c>
      <c r="J23" s="98">
        <v>756208.25020000001</v>
      </c>
      <c r="K23" s="98">
        <v>734211.55240000004</v>
      </c>
      <c r="L23" s="98">
        <v>634725.01650000003</v>
      </c>
      <c r="M23" s="98">
        <v>492313.53600000002</v>
      </c>
      <c r="N23" s="98">
        <v>430486.08379999996</v>
      </c>
    </row>
    <row r="24" spans="2:14" ht="32.25" customHeight="1">
      <c r="B24" s="109" t="s">
        <v>177</v>
      </c>
      <c r="C24" s="98">
        <v>417767.50199999998</v>
      </c>
      <c r="D24" s="98">
        <v>437511.45040000003</v>
      </c>
      <c r="E24" s="98">
        <v>422948.91399999999</v>
      </c>
      <c r="F24" s="98">
        <v>483026.4265</v>
      </c>
      <c r="G24" s="98">
        <v>494466.65997999994</v>
      </c>
      <c r="H24" s="98">
        <v>589026.66199500009</v>
      </c>
      <c r="I24" s="98">
        <v>597445.77220000012</v>
      </c>
      <c r="J24" s="98">
        <v>624719.21129500004</v>
      </c>
      <c r="K24" s="98">
        <v>662255.2733900001</v>
      </c>
      <c r="L24" s="98">
        <v>572138.68634500005</v>
      </c>
      <c r="M24" s="98">
        <v>536725.71495000005</v>
      </c>
      <c r="N24" s="98">
        <v>473017.45039999997</v>
      </c>
    </row>
    <row r="25" spans="2:14" ht="32.25" customHeight="1">
      <c r="B25" s="172" t="s">
        <v>178</v>
      </c>
      <c r="C25" s="168">
        <v>445089.4596</v>
      </c>
      <c r="D25" s="168">
        <v>464838.33001999994</v>
      </c>
      <c r="E25" s="168">
        <v>310234.47700000001</v>
      </c>
      <c r="F25" s="168">
        <v>132086.1189</v>
      </c>
      <c r="G25" s="168">
        <v>81934.237999999998</v>
      </c>
      <c r="H25" s="168">
        <v>88016.122900000017</v>
      </c>
      <c r="I25" s="168">
        <v>290744.43883500004</v>
      </c>
      <c r="J25" s="168">
        <v>372885.53719999996</v>
      </c>
      <c r="K25" s="168">
        <v>328998.32740000001</v>
      </c>
      <c r="L25" s="168">
        <v>350713.83590000001</v>
      </c>
      <c r="M25" s="168">
        <v>329624.08839999995</v>
      </c>
      <c r="N25" s="168">
        <v>294931.19809999998</v>
      </c>
    </row>
    <row r="26" spans="2:14" ht="32.25" customHeight="1">
      <c r="B26" s="169" t="s">
        <v>179</v>
      </c>
      <c r="C26" s="167">
        <v>274561.56439999997</v>
      </c>
      <c r="D26" s="167">
        <v>283692.47039999999</v>
      </c>
      <c r="E26" s="167">
        <v>278888.13439999998</v>
      </c>
      <c r="F26" s="167">
        <v>318224.91959999996</v>
      </c>
      <c r="G26" s="167">
        <v>309500.67789999995</v>
      </c>
      <c r="H26" s="167">
        <v>396582.05849999998</v>
      </c>
      <c r="I26" s="167">
        <v>498105.10527500004</v>
      </c>
      <c r="J26" s="167">
        <v>506423.32253</v>
      </c>
      <c r="K26" s="167">
        <v>486424.27340000001</v>
      </c>
      <c r="L26" s="167">
        <v>473503.95079999999</v>
      </c>
      <c r="M26" s="167">
        <v>403992.3469</v>
      </c>
      <c r="N26" s="167">
        <v>289205.48600000003</v>
      </c>
    </row>
    <row r="27" spans="2:14" ht="32.25" customHeight="1">
      <c r="B27" s="171" t="s">
        <v>180</v>
      </c>
      <c r="C27" s="187">
        <v>2409951822</v>
      </c>
      <c r="D27" s="187">
        <v>278597258</v>
      </c>
      <c r="E27" s="187">
        <v>3487476564</v>
      </c>
      <c r="F27" s="187">
        <v>3872201852</v>
      </c>
      <c r="G27" s="187">
        <v>4911719801</v>
      </c>
      <c r="H27" s="187">
        <v>6329563352</v>
      </c>
      <c r="I27" s="187">
        <v>654067568</v>
      </c>
      <c r="J27" s="187">
        <v>6896504079</v>
      </c>
      <c r="K27" s="187">
        <v>6387547041</v>
      </c>
      <c r="L27" s="187">
        <v>5509722905</v>
      </c>
      <c r="M27" s="187">
        <v>3669799236</v>
      </c>
      <c r="N27" s="179">
        <v>435638.13629999995</v>
      </c>
    </row>
    <row r="28" spans="2:14" ht="32.25" customHeight="1">
      <c r="B28" s="178" t="s">
        <v>181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4" ht="16.5" customHeight="1"/>
    <row r="35" ht="15.75" customHeight="1"/>
  </sheetData>
  <mergeCells count="4">
    <mergeCell ref="C5:N5"/>
    <mergeCell ref="C17:N17"/>
    <mergeCell ref="C8:K8"/>
    <mergeCell ref="C20:K20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4"/>
  <sheetViews>
    <sheetView topLeftCell="B5" zoomScaleNormal="100" workbookViewId="0">
      <selection activeCell="M29" sqref="M29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53" t="s">
        <v>183</v>
      </c>
      <c r="D5" s="462"/>
      <c r="E5" s="462"/>
      <c r="F5" s="462"/>
      <c r="G5" s="462"/>
      <c r="H5" s="462"/>
      <c r="I5" s="462"/>
      <c r="J5" s="462"/>
      <c r="K5" s="462"/>
      <c r="L5" s="462"/>
      <c r="M5" s="462"/>
      <c r="N5" s="463"/>
    </row>
    <row r="6" spans="2:14" ht="21" customHeight="1"/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3" customHeight="1">
      <c r="B8" s="100" t="s">
        <v>173</v>
      </c>
      <c r="C8" s="459"/>
      <c r="D8" s="460"/>
      <c r="E8" s="460"/>
      <c r="F8" s="460"/>
      <c r="G8" s="460"/>
      <c r="H8" s="460"/>
      <c r="I8" s="460"/>
      <c r="J8" s="460"/>
      <c r="K8" s="461"/>
      <c r="L8" s="98"/>
      <c r="M8" s="98">
        <v>3298</v>
      </c>
      <c r="N8" s="98">
        <v>3866</v>
      </c>
    </row>
    <row r="9" spans="2:14" ht="39" customHeight="1">
      <c r="B9" s="101" t="s">
        <v>174</v>
      </c>
      <c r="C9" s="98">
        <v>4094</v>
      </c>
      <c r="D9" s="98">
        <v>3691</v>
      </c>
      <c r="E9" s="98">
        <v>3917</v>
      </c>
      <c r="F9" s="98">
        <v>4785</v>
      </c>
      <c r="G9" s="98">
        <v>5213</v>
      </c>
      <c r="H9" s="98">
        <v>4103</v>
      </c>
      <c r="I9" s="98">
        <v>5622</v>
      </c>
      <c r="J9" s="98">
        <v>6568</v>
      </c>
      <c r="K9" s="98">
        <v>4813</v>
      </c>
      <c r="L9" s="98">
        <v>6088</v>
      </c>
      <c r="M9" s="98">
        <v>4819</v>
      </c>
      <c r="N9" s="98">
        <v>5252</v>
      </c>
    </row>
    <row r="10" spans="2:14" ht="36" customHeight="1">
      <c r="B10" s="106" t="s">
        <v>175</v>
      </c>
      <c r="C10" s="98">
        <v>5132</v>
      </c>
      <c r="D10" s="98">
        <v>4589</v>
      </c>
      <c r="E10" s="98">
        <v>6190</v>
      </c>
      <c r="F10" s="98">
        <v>6170</v>
      </c>
      <c r="G10" s="98">
        <v>5980</v>
      </c>
      <c r="H10" s="98">
        <v>6097.8</v>
      </c>
      <c r="I10" s="98">
        <v>7050</v>
      </c>
      <c r="J10" s="98">
        <v>8050</v>
      </c>
      <c r="K10" s="98">
        <v>6678</v>
      </c>
      <c r="L10" s="98">
        <v>6859</v>
      </c>
      <c r="M10" s="98">
        <v>5960</v>
      </c>
      <c r="N10" s="98">
        <v>5210.0999999999985</v>
      </c>
    </row>
    <row r="11" spans="2:14" ht="36.75" customHeight="1">
      <c r="B11" s="102" t="s">
        <v>176</v>
      </c>
      <c r="C11" s="98">
        <v>5598.9000000000015</v>
      </c>
      <c r="D11" s="98">
        <v>5297</v>
      </c>
      <c r="E11" s="98">
        <v>5857</v>
      </c>
      <c r="F11" s="98">
        <v>6284</v>
      </c>
      <c r="G11" s="98">
        <v>5500</v>
      </c>
      <c r="H11" s="98">
        <v>5583.8000000000029</v>
      </c>
      <c r="I11" s="98">
        <v>6266.8999999999942</v>
      </c>
      <c r="J11" s="98">
        <v>6178.3000000000029</v>
      </c>
      <c r="K11" s="98">
        <v>6144.5</v>
      </c>
      <c r="L11" s="98">
        <v>6117.5</v>
      </c>
      <c r="M11" s="98">
        <v>5023</v>
      </c>
      <c r="N11" s="98">
        <v>4767.8</v>
      </c>
    </row>
    <row r="12" spans="2:14" ht="33.75" customHeight="1">
      <c r="B12" s="109" t="s">
        <v>177</v>
      </c>
      <c r="C12" s="98">
        <v>5044.8</v>
      </c>
      <c r="D12" s="98">
        <v>5061</v>
      </c>
      <c r="E12" s="98">
        <v>5504</v>
      </c>
      <c r="F12" s="98">
        <v>5372.2999999999993</v>
      </c>
      <c r="G12" s="98">
        <v>4507.2999999999993</v>
      </c>
      <c r="H12" s="98">
        <v>5269.2000000000044</v>
      </c>
      <c r="I12" s="98">
        <v>5509.1999999999971</v>
      </c>
      <c r="J12" s="98">
        <v>5601</v>
      </c>
      <c r="K12" s="98">
        <v>5387</v>
      </c>
      <c r="L12" s="98">
        <v>6051</v>
      </c>
      <c r="M12" s="98">
        <v>5532</v>
      </c>
      <c r="N12" s="98">
        <v>5565.1999999999971</v>
      </c>
    </row>
    <row r="13" spans="2:14" ht="33.75" customHeight="1">
      <c r="B13" s="138" t="s">
        <v>178</v>
      </c>
      <c r="C13" s="98">
        <v>5763.4000000000087</v>
      </c>
      <c r="D13" s="98">
        <v>5632.3999999999942</v>
      </c>
      <c r="E13" s="98">
        <v>3058.6999999999971</v>
      </c>
      <c r="F13" s="98">
        <v>714.5</v>
      </c>
      <c r="G13" s="98">
        <v>439.80000000000291</v>
      </c>
      <c r="H13" s="98">
        <v>1383.3999999999942</v>
      </c>
      <c r="I13" s="98">
        <v>3491.8000000000029</v>
      </c>
      <c r="J13" s="98">
        <v>2618.6999999999971</v>
      </c>
      <c r="K13" s="98">
        <v>1829.7000000000116</v>
      </c>
      <c r="L13" s="98">
        <v>3000</v>
      </c>
      <c r="M13" s="98">
        <v>1896</v>
      </c>
      <c r="N13" s="98">
        <v>1780.5999999999913</v>
      </c>
    </row>
    <row r="14" spans="2:14" ht="33.75" customHeight="1">
      <c r="B14" s="141" t="s">
        <v>179</v>
      </c>
      <c r="C14" s="168">
        <v>2083.1999999999971</v>
      </c>
      <c r="D14" s="168">
        <v>2115.3000000000029</v>
      </c>
      <c r="E14" s="168">
        <v>2406.3000000000029</v>
      </c>
      <c r="F14" s="168">
        <v>2166.1999999999971</v>
      </c>
      <c r="G14" s="168">
        <v>2527.1999999999971</v>
      </c>
      <c r="H14" s="168">
        <v>2925.2000000000116</v>
      </c>
      <c r="I14" s="168">
        <v>3819.2999999999884</v>
      </c>
      <c r="J14" s="168">
        <v>3510.1000000000058</v>
      </c>
      <c r="K14" s="168">
        <v>3086.1999999999971</v>
      </c>
      <c r="L14" s="168">
        <v>3330.5</v>
      </c>
      <c r="M14" s="168">
        <v>2932.1999999999971</v>
      </c>
      <c r="N14" s="168">
        <v>2091.1000000000058</v>
      </c>
    </row>
    <row r="15" spans="2:14" ht="33.75" customHeight="1">
      <c r="B15" s="181" t="s">
        <v>180</v>
      </c>
      <c r="C15" s="179" t="s">
        <v>184</v>
      </c>
      <c r="D15" s="179" t="s">
        <v>185</v>
      </c>
      <c r="E15" s="179">
        <v>3842</v>
      </c>
      <c r="F15" s="179">
        <v>3393</v>
      </c>
      <c r="G15" s="179" t="s">
        <v>186</v>
      </c>
      <c r="H15" s="179" t="s">
        <v>187</v>
      </c>
      <c r="I15" s="179">
        <v>5359</v>
      </c>
      <c r="J15" s="179" t="s">
        <v>188</v>
      </c>
      <c r="K15" s="179" t="s">
        <v>189</v>
      </c>
      <c r="L15" s="179" t="s">
        <v>190</v>
      </c>
      <c r="M15" s="179"/>
      <c r="N15" s="179">
        <v>4007</v>
      </c>
    </row>
    <row r="16" spans="2:14" ht="33.75" customHeight="1">
      <c r="B16" s="180" t="s">
        <v>181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</row>
    <row r="17" spans="2:14" ht="21" thickBot="1">
      <c r="C17" s="456" t="s">
        <v>191</v>
      </c>
      <c r="D17" s="464"/>
      <c r="E17" s="464"/>
      <c r="F17" s="464"/>
      <c r="G17" s="464"/>
      <c r="H17" s="464"/>
      <c r="I17" s="464"/>
      <c r="J17" s="464"/>
      <c r="K17" s="464"/>
      <c r="L17" s="464"/>
      <c r="M17" s="464"/>
      <c r="N17" s="465"/>
    </row>
    <row r="19" spans="2:14" ht="18" customHeight="1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30" customHeight="1">
      <c r="B20" s="100" t="s">
        <v>173</v>
      </c>
      <c r="C20" s="459"/>
      <c r="D20" s="460"/>
      <c r="E20" s="460"/>
      <c r="F20" s="460"/>
      <c r="G20" s="460"/>
      <c r="H20" s="460"/>
      <c r="I20" s="460"/>
      <c r="J20" s="460"/>
      <c r="K20" s="461"/>
      <c r="L20" s="98"/>
      <c r="M20" s="98">
        <v>43165.84</v>
      </c>
      <c r="N20" s="98">
        <v>50595.28</v>
      </c>
    </row>
    <row r="21" spans="2:14" ht="31.5" customHeight="1">
      <c r="B21" s="101" t="s">
        <v>174</v>
      </c>
      <c r="C21" s="98">
        <v>53565.520000000004</v>
      </c>
      <c r="D21" s="98">
        <v>48294.28</v>
      </c>
      <c r="E21" s="98">
        <v>51250.36</v>
      </c>
      <c r="F21" s="98">
        <v>62603.8</v>
      </c>
      <c r="G21" s="98">
        <v>68202.040000000008</v>
      </c>
      <c r="H21" s="98">
        <v>53683.240000000005</v>
      </c>
      <c r="I21" s="98">
        <v>73551.760000000009</v>
      </c>
      <c r="J21" s="98">
        <v>85925.440000000002</v>
      </c>
      <c r="K21" s="98">
        <v>57158.52</v>
      </c>
      <c r="L21" s="98">
        <v>67234.52</v>
      </c>
      <c r="M21" s="98">
        <v>53224.76</v>
      </c>
      <c r="N21" s="98">
        <v>58005.08</v>
      </c>
    </row>
    <row r="22" spans="2:14" ht="34.5" customHeight="1">
      <c r="B22" s="106" t="s">
        <v>175</v>
      </c>
      <c r="C22" s="98">
        <v>56680.28</v>
      </c>
      <c r="D22" s="98">
        <v>50685.56</v>
      </c>
      <c r="E22" s="98">
        <v>68360.600000000006</v>
      </c>
      <c r="F22" s="98">
        <v>68139.8</v>
      </c>
      <c r="G22" s="98">
        <v>66042.2</v>
      </c>
      <c r="H22" s="98">
        <v>67342.712</v>
      </c>
      <c r="I22" s="98">
        <v>77855</v>
      </c>
      <c r="J22" s="98">
        <v>88895</v>
      </c>
      <c r="K22" s="98">
        <v>73748.12</v>
      </c>
      <c r="L22" s="98">
        <v>75746.36</v>
      </c>
      <c r="M22" s="98">
        <v>65821.399999999994</v>
      </c>
      <c r="N22" s="98">
        <v>57542.503999999986</v>
      </c>
    </row>
    <row r="23" spans="2:14" ht="36" customHeight="1">
      <c r="B23" s="102" t="s">
        <v>176</v>
      </c>
      <c r="C23" s="98">
        <v>61834.856000000014</v>
      </c>
      <c r="D23" s="98">
        <v>58501.880000000005</v>
      </c>
      <c r="E23" s="98">
        <v>64684.28</v>
      </c>
      <c r="F23" s="98">
        <v>69398.36</v>
      </c>
      <c r="G23" s="98">
        <v>60743</v>
      </c>
      <c r="H23" s="98">
        <v>61668.152000000031</v>
      </c>
      <c r="I23" s="98">
        <v>69209.575999999943</v>
      </c>
      <c r="J23" s="98">
        <v>68231.43200000003</v>
      </c>
      <c r="K23" s="98">
        <v>67858.28</v>
      </c>
      <c r="L23" s="98">
        <v>67560.2</v>
      </c>
      <c r="M23" s="98">
        <v>55476.92</v>
      </c>
      <c r="N23" s="98">
        <v>52659.512000000002</v>
      </c>
    </row>
    <row r="24" spans="2:14" ht="32.25" customHeight="1">
      <c r="B24" s="109" t="s">
        <v>177</v>
      </c>
      <c r="C24" s="98">
        <v>55717.592000000004</v>
      </c>
      <c r="D24" s="98">
        <v>57718.399999999994</v>
      </c>
      <c r="E24" s="98">
        <v>62768.599999999991</v>
      </c>
      <c r="F24" s="98">
        <v>61267.219999999987</v>
      </c>
      <c r="G24" s="98">
        <v>51406.219999999987</v>
      </c>
      <c r="H24" s="98">
        <v>60091.880000000041</v>
      </c>
      <c r="I24" s="98">
        <v>62827.879999999961</v>
      </c>
      <c r="J24" s="98">
        <v>63874.400000000001</v>
      </c>
      <c r="K24" s="98">
        <v>61434.799999999996</v>
      </c>
      <c r="L24" s="98">
        <v>69004.399999999994</v>
      </c>
      <c r="M24" s="98">
        <v>63087.799999999996</v>
      </c>
      <c r="N24" s="98">
        <v>63466.279999999962</v>
      </c>
    </row>
    <row r="25" spans="2:14" ht="32.25" customHeight="1">
      <c r="B25" s="138" t="s">
        <v>178</v>
      </c>
      <c r="C25" s="98">
        <v>65725.760000000097</v>
      </c>
      <c r="D25" s="98">
        <v>64232.359999999928</v>
      </c>
      <c r="E25" s="98">
        <v>34892.179999999964</v>
      </c>
      <c r="F25" s="98">
        <v>8168.2999999999993</v>
      </c>
      <c r="G25" s="98">
        <v>5036.7200000000321</v>
      </c>
      <c r="H25" s="98">
        <v>15793.759999999933</v>
      </c>
      <c r="I25" s="98">
        <v>39829.519999999997</v>
      </c>
      <c r="J25" s="98">
        <v>29876.179999999964</v>
      </c>
      <c r="K25" s="98">
        <v>20881.580000000129</v>
      </c>
      <c r="L25" s="98">
        <v>34223</v>
      </c>
      <c r="M25" s="98">
        <v>21637.4</v>
      </c>
      <c r="N25" s="98">
        <v>20321.839999999898</v>
      </c>
    </row>
    <row r="26" spans="2:14" ht="32.25" customHeight="1">
      <c r="B26" s="170" t="s">
        <v>179</v>
      </c>
      <c r="C26" s="168">
        <v>23771.479999999963</v>
      </c>
      <c r="D26" s="168">
        <v>24137.420000000031</v>
      </c>
      <c r="E26" s="168">
        <v>27454.820000000029</v>
      </c>
      <c r="F26" s="168">
        <v>24717.679999999964</v>
      </c>
      <c r="G26" s="168">
        <v>28833.079999999962</v>
      </c>
      <c r="H26" s="168">
        <v>33370.28000000013</v>
      </c>
      <c r="I26" s="168">
        <v>43563.019999999866</v>
      </c>
      <c r="J26" s="168">
        <v>40038.140000000065</v>
      </c>
      <c r="K26" s="168">
        <v>35205.679999999964</v>
      </c>
      <c r="L26" s="168">
        <v>37990.699999999997</v>
      </c>
      <c r="M26" s="168">
        <v>33450.079999999965</v>
      </c>
      <c r="N26" s="168">
        <v>23861.540000000066</v>
      </c>
    </row>
    <row r="27" spans="2:14" ht="32.25" customHeight="1">
      <c r="B27" s="171" t="s">
        <v>180</v>
      </c>
      <c r="C27" s="179" t="s">
        <v>192</v>
      </c>
      <c r="D27" s="179" t="s">
        <v>193</v>
      </c>
      <c r="E27" s="179" t="s">
        <v>194</v>
      </c>
      <c r="F27" s="179" t="s">
        <v>195</v>
      </c>
      <c r="G27" s="179" t="s">
        <v>196</v>
      </c>
      <c r="H27" s="179" t="s">
        <v>197</v>
      </c>
      <c r="I27" s="179" t="s">
        <v>198</v>
      </c>
      <c r="J27" s="179" t="s">
        <v>199</v>
      </c>
      <c r="K27" s="179" t="s">
        <v>200</v>
      </c>
      <c r="L27" s="179" t="s">
        <v>201</v>
      </c>
      <c r="M27" s="179"/>
      <c r="N27" s="179">
        <v>45702.8</v>
      </c>
    </row>
    <row r="28" spans="2:14" ht="32.25" customHeight="1">
      <c r="B28" s="182" t="s">
        <v>181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3" spans="15:15" ht="16.5" customHeight="1">
      <c r="O33" t="s">
        <v>18</v>
      </c>
    </row>
    <row r="34" spans="15:15" ht="15.75" customHeight="1"/>
  </sheetData>
  <mergeCells count="4">
    <mergeCell ref="C5:N5"/>
    <mergeCell ref="C8:K8"/>
    <mergeCell ref="C17:N17"/>
    <mergeCell ref="C20:K20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4"/>
  <sheetViews>
    <sheetView topLeftCell="A13" zoomScaleNormal="100" workbookViewId="0">
      <selection activeCell="P24" sqref="P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53" t="s">
        <v>202</v>
      </c>
      <c r="D5" s="454"/>
      <c r="E5" s="454"/>
      <c r="F5" s="454"/>
      <c r="G5" s="454"/>
      <c r="H5" s="454"/>
      <c r="I5" s="454"/>
      <c r="J5" s="454"/>
      <c r="K5" s="454"/>
      <c r="L5" s="454"/>
      <c r="M5" s="454"/>
      <c r="N5" s="455"/>
    </row>
    <row r="6" spans="2:14" ht="23.25" customHeight="1"/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3.75" customHeight="1">
      <c r="B8" s="100" t="s">
        <v>173</v>
      </c>
      <c r="C8" s="459"/>
      <c r="D8" s="460"/>
      <c r="E8" s="460"/>
      <c r="F8" s="460"/>
      <c r="G8" s="460"/>
      <c r="H8" s="460"/>
      <c r="I8" s="460"/>
      <c r="J8" s="460"/>
      <c r="K8" s="461"/>
      <c r="L8" s="98">
        <v>19365</v>
      </c>
      <c r="M8" s="98">
        <v>21235</v>
      </c>
      <c r="N8" s="98">
        <v>34053</v>
      </c>
    </row>
    <row r="9" spans="2:14" ht="35.25" customHeight="1">
      <c r="B9" s="101" t="s">
        <v>174</v>
      </c>
      <c r="C9" s="98">
        <v>23598</v>
      </c>
      <c r="D9" s="98">
        <v>28302</v>
      </c>
      <c r="E9" s="98">
        <v>23000</v>
      </c>
      <c r="F9" s="98">
        <v>28601</v>
      </c>
      <c r="G9" s="98">
        <v>24612</v>
      </c>
      <c r="H9" s="98">
        <v>16695</v>
      </c>
      <c r="I9" s="98">
        <v>10756</v>
      </c>
      <c r="J9" s="98">
        <v>14749</v>
      </c>
      <c r="K9" s="98">
        <v>18297</v>
      </c>
      <c r="L9" s="98">
        <v>20801</v>
      </c>
      <c r="M9" s="98">
        <v>22927</v>
      </c>
      <c r="N9" s="98">
        <v>38265</v>
      </c>
    </row>
    <row r="10" spans="2:14" ht="32.25" customHeight="1">
      <c r="B10" s="106" t="s">
        <v>175</v>
      </c>
      <c r="C10" s="98">
        <v>39843</v>
      </c>
      <c r="D10" s="98">
        <v>27644</v>
      </c>
      <c r="E10" s="98">
        <v>31207</v>
      </c>
      <c r="F10" s="98">
        <v>34231</v>
      </c>
      <c r="G10" s="98">
        <v>21149.420000000002</v>
      </c>
      <c r="H10" s="98">
        <v>19502</v>
      </c>
      <c r="I10" s="98">
        <v>22293</v>
      </c>
      <c r="J10" s="98">
        <v>21244</v>
      </c>
      <c r="K10" s="98">
        <v>20201</v>
      </c>
      <c r="L10" s="98">
        <v>21000</v>
      </c>
      <c r="M10" s="98">
        <v>30135</v>
      </c>
      <c r="N10" s="98">
        <v>28841</v>
      </c>
    </row>
    <row r="11" spans="2:14" ht="34.5" customHeight="1">
      <c r="B11" s="102" t="s">
        <v>176</v>
      </c>
      <c r="C11" s="98">
        <v>33210.620000000003</v>
      </c>
      <c r="D11" s="98">
        <v>27328.669000000002</v>
      </c>
      <c r="E11" s="98">
        <v>22296.292000000001</v>
      </c>
      <c r="F11" s="98">
        <v>18205.006000000001</v>
      </c>
      <c r="G11" s="98">
        <v>16641.811000000002</v>
      </c>
      <c r="H11" s="98">
        <v>17087.758000000002</v>
      </c>
      <c r="I11" s="98">
        <v>13220.239000000001</v>
      </c>
      <c r="J11" s="98">
        <v>15457.909000000001</v>
      </c>
      <c r="K11" s="98">
        <v>10651.944000000001</v>
      </c>
      <c r="L11" s="98">
        <v>13951.846000000001</v>
      </c>
      <c r="M11" s="98">
        <v>24676.263000000003</v>
      </c>
      <c r="N11" s="98">
        <v>21781.575000000001</v>
      </c>
    </row>
    <row r="12" spans="2:14" ht="36.75" customHeight="1">
      <c r="B12" s="109" t="s">
        <v>177</v>
      </c>
      <c r="C12" s="98">
        <v>26669.535</v>
      </c>
      <c r="D12" s="98">
        <v>26601.294000000002</v>
      </c>
      <c r="E12" s="98">
        <v>23114.126</v>
      </c>
      <c r="F12" s="98">
        <v>20873.811000000002</v>
      </c>
      <c r="G12" s="98">
        <v>14596.168000000001</v>
      </c>
      <c r="H12" s="98">
        <v>10659.35</v>
      </c>
      <c r="I12" s="98">
        <v>18584.299000000003</v>
      </c>
      <c r="J12" s="98">
        <v>10559.897999999999</v>
      </c>
      <c r="K12" s="98">
        <v>8546.5240000000013</v>
      </c>
      <c r="L12" s="98">
        <v>17517.306</v>
      </c>
      <c r="M12" s="98">
        <v>20452.198</v>
      </c>
      <c r="N12" s="98">
        <v>27341.365000000002</v>
      </c>
    </row>
    <row r="13" spans="2:14" ht="36.75" customHeight="1">
      <c r="B13" s="138" t="s">
        <v>178</v>
      </c>
      <c r="C13" s="98">
        <v>30735.958000000002</v>
      </c>
      <c r="D13" s="98">
        <v>21724.442999999999</v>
      </c>
      <c r="E13" s="98">
        <v>11128.573</v>
      </c>
      <c r="F13" s="98">
        <v>4506.0219999999999</v>
      </c>
      <c r="G13" s="98">
        <v>0</v>
      </c>
      <c r="H13" s="98">
        <v>2998.3720000000003</v>
      </c>
      <c r="I13" s="98">
        <v>8663.5590000000011</v>
      </c>
      <c r="J13" s="98">
        <v>4731.9050000000007</v>
      </c>
      <c r="K13" s="98">
        <v>4832.415</v>
      </c>
      <c r="L13" s="98">
        <v>13092.221000000001</v>
      </c>
      <c r="M13" s="98">
        <v>17284.017</v>
      </c>
      <c r="N13" s="98">
        <v>16432.856</v>
      </c>
    </row>
    <row r="14" spans="2:14" ht="36.75" customHeight="1">
      <c r="B14" s="170" t="s">
        <v>179</v>
      </c>
      <c r="C14" s="168">
        <v>16222.314</v>
      </c>
      <c r="D14" s="168">
        <v>13578.901</v>
      </c>
      <c r="E14" s="168">
        <v>18500.717000000001</v>
      </c>
      <c r="F14" s="168">
        <v>11555.476000000001</v>
      </c>
      <c r="G14" s="168">
        <v>10801.651</v>
      </c>
      <c r="H14" s="168">
        <v>13800.552000000001</v>
      </c>
      <c r="I14" s="168">
        <v>9448.469000000001</v>
      </c>
      <c r="J14" s="168">
        <v>8828.4809999999998</v>
      </c>
      <c r="K14" s="168">
        <v>11498.344000000001</v>
      </c>
      <c r="L14" s="168">
        <v>11280.396000000001</v>
      </c>
      <c r="M14" s="168">
        <v>20677.552</v>
      </c>
      <c r="N14" s="168">
        <v>12106.165000000001</v>
      </c>
    </row>
    <row r="15" spans="2:14" ht="36.75" customHeight="1">
      <c r="B15" s="183" t="s">
        <v>180</v>
      </c>
      <c r="C15" s="188">
        <v>8859163</v>
      </c>
      <c r="D15" s="188">
        <v>13938621</v>
      </c>
      <c r="E15" s="167">
        <v>316387</v>
      </c>
      <c r="F15" s="188">
        <v>23168613</v>
      </c>
      <c r="G15" s="167" t="s">
        <v>203</v>
      </c>
      <c r="H15" s="167" t="s">
        <v>187</v>
      </c>
      <c r="I15" s="188">
        <v>6726235</v>
      </c>
      <c r="J15" s="188">
        <v>9206716</v>
      </c>
      <c r="K15" s="188">
        <v>11550186</v>
      </c>
      <c r="L15" s="167" t="s">
        <v>18</v>
      </c>
      <c r="M15" s="167"/>
      <c r="N15" s="167"/>
    </row>
    <row r="16" spans="2:14" ht="36.75" customHeight="1">
      <c r="B16" s="184" t="s">
        <v>181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</row>
    <row r="17" spans="2:14" ht="21" thickBot="1">
      <c r="C17" s="456" t="s">
        <v>204</v>
      </c>
      <c r="D17" s="457"/>
      <c r="E17" s="457"/>
      <c r="F17" s="457"/>
      <c r="G17" s="457"/>
      <c r="H17" s="457"/>
      <c r="I17" s="457"/>
      <c r="J17" s="457"/>
      <c r="K17" s="457"/>
      <c r="L17" s="457"/>
      <c r="M17" s="457"/>
      <c r="N17" s="458"/>
    </row>
    <row r="19" spans="2:14" ht="17.25" customHeight="1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30" customHeight="1">
      <c r="B20" s="100" t="s">
        <v>173</v>
      </c>
      <c r="C20" s="459"/>
      <c r="D20" s="460"/>
      <c r="E20" s="460"/>
      <c r="F20" s="460"/>
      <c r="G20" s="460"/>
      <c r="H20" s="460"/>
      <c r="I20" s="460"/>
      <c r="J20" s="460"/>
      <c r="K20" s="461"/>
      <c r="L20" s="98">
        <v>222503.85</v>
      </c>
      <c r="M20" s="98">
        <v>248385.8</v>
      </c>
      <c r="N20" s="98">
        <v>412790.47</v>
      </c>
    </row>
    <row r="21" spans="2:14" ht="30" customHeight="1">
      <c r="B21" s="101" t="s">
        <v>174</v>
      </c>
      <c r="C21" s="98">
        <v>281335.36</v>
      </c>
      <c r="D21" s="98">
        <v>329491.88</v>
      </c>
      <c r="E21" s="103">
        <v>263166</v>
      </c>
      <c r="F21" s="98">
        <v>334402.89</v>
      </c>
      <c r="G21" s="98">
        <v>287763.5</v>
      </c>
      <c r="H21" s="98">
        <v>200206.44</v>
      </c>
      <c r="I21" s="98">
        <v>128985.95</v>
      </c>
      <c r="J21" s="98">
        <v>174687.16</v>
      </c>
      <c r="K21" s="98">
        <v>221708.41</v>
      </c>
      <c r="L21" s="98">
        <v>257125.33</v>
      </c>
      <c r="M21" s="98">
        <v>290283.33</v>
      </c>
      <c r="N21" s="98">
        <v>491751.17</v>
      </c>
    </row>
    <row r="22" spans="2:14" ht="38.25" customHeight="1">
      <c r="B22" s="106" t="s">
        <v>175</v>
      </c>
      <c r="C22" s="98">
        <v>534222.91</v>
      </c>
      <c r="D22" s="98">
        <v>397841.39</v>
      </c>
      <c r="E22" s="103">
        <v>463317.85</v>
      </c>
      <c r="F22" s="98">
        <v>473982.96</v>
      </c>
      <c r="G22" s="98">
        <v>288617.67497200001</v>
      </c>
      <c r="H22" s="98">
        <v>262138.08</v>
      </c>
      <c r="I22" s="98">
        <v>290959.32</v>
      </c>
      <c r="J22" s="98">
        <v>277268.19</v>
      </c>
      <c r="K22" s="98">
        <v>269109.64</v>
      </c>
      <c r="L22" s="98">
        <v>279753.59999999998</v>
      </c>
      <c r="M22" s="98">
        <v>411233.26</v>
      </c>
      <c r="N22" s="98">
        <v>393575.4632766</v>
      </c>
    </row>
    <row r="23" spans="2:14" ht="36" customHeight="1">
      <c r="B23" s="102" t="s">
        <v>176</v>
      </c>
      <c r="C23" s="98">
        <v>433913.35561000003</v>
      </c>
      <c r="D23" s="98">
        <v>365261.32551950007</v>
      </c>
      <c r="E23" s="98">
        <v>291312.20312600001</v>
      </c>
      <c r="F23" s="98">
        <v>213834.17997540004</v>
      </c>
      <c r="G23" s="98">
        <v>197886.11041990001</v>
      </c>
      <c r="H23" s="98">
        <v>143537.16720000003</v>
      </c>
      <c r="I23" s="98">
        <v>111050.00760000001</v>
      </c>
      <c r="J23" s="98">
        <v>129846.43560000001</v>
      </c>
      <c r="K23" s="98">
        <v>97997.8848</v>
      </c>
      <c r="L23" s="98">
        <v>117195.50640000001</v>
      </c>
      <c r="M23" s="98">
        <v>207280.60920000004</v>
      </c>
      <c r="N23" s="98">
        <v>182965.23</v>
      </c>
    </row>
    <row r="24" spans="2:14" ht="36.75" customHeight="1">
      <c r="B24" s="109" t="s">
        <v>177</v>
      </c>
      <c r="C24" s="98">
        <v>224024.09400000001</v>
      </c>
      <c r="D24" s="98">
        <v>223450.86960000003</v>
      </c>
      <c r="E24" s="98">
        <v>209182.84030000001</v>
      </c>
      <c r="F24" s="98">
        <v>188907.98955000003</v>
      </c>
      <c r="G24" s="98">
        <v>129176.0868</v>
      </c>
      <c r="H24" s="98">
        <v>94335.247499999998</v>
      </c>
      <c r="I24" s="98">
        <v>144957.53220000002</v>
      </c>
      <c r="J24" s="98">
        <v>77405.108330000003</v>
      </c>
      <c r="K24" s="98">
        <v>62646.875572400008</v>
      </c>
      <c r="L24" s="98">
        <v>128403.6047106</v>
      </c>
      <c r="M24" s="98">
        <v>149916.6565598</v>
      </c>
      <c r="N24" s="98">
        <v>217831.38909150002</v>
      </c>
    </row>
    <row r="25" spans="2:14" ht="36.75" customHeight="1">
      <c r="B25" s="138" t="s">
        <v>178</v>
      </c>
      <c r="C25" s="98">
        <v>244876.45098180004</v>
      </c>
      <c r="D25" s="98">
        <v>193260.64492800002</v>
      </c>
      <c r="E25" s="98">
        <v>87871.212408000007</v>
      </c>
      <c r="F25" s="98">
        <v>35579.549712</v>
      </c>
      <c r="G25" s="98">
        <v>0</v>
      </c>
      <c r="H25" s="98">
        <v>23675.145312000001</v>
      </c>
      <c r="I25" s="98">
        <v>72782.559159000011</v>
      </c>
      <c r="J25" s="98">
        <v>40462.519659999998</v>
      </c>
      <c r="K25" s="98">
        <v>41321.980665000003</v>
      </c>
      <c r="L25" s="98">
        <v>111951.58177100001</v>
      </c>
      <c r="M25" s="98">
        <v>151252.43276699999</v>
      </c>
      <c r="N25" s="98">
        <v>147090.494056</v>
      </c>
    </row>
    <row r="26" spans="2:14" ht="36.75" customHeight="1">
      <c r="B26" s="141" t="s">
        <v>179</v>
      </c>
      <c r="C26" s="168">
        <v>175249.65814200003</v>
      </c>
      <c r="D26" s="168">
        <v>133357.0288309</v>
      </c>
      <c r="E26" s="168">
        <v>160956.23789999998</v>
      </c>
      <c r="F26" s="168">
        <v>100532.6412</v>
      </c>
      <c r="G26" s="168">
        <v>93974.363699999987</v>
      </c>
      <c r="H26" s="168">
        <v>120064.8024</v>
      </c>
      <c r="I26" s="168">
        <v>79461.624290000007</v>
      </c>
      <c r="J26" s="168">
        <v>84841.702409999998</v>
      </c>
      <c r="K26" s="168">
        <v>114580.99796000001</v>
      </c>
      <c r="L26" s="168">
        <v>126919.11951480001</v>
      </c>
      <c r="M26" s="168">
        <v>216928.19803199999</v>
      </c>
      <c r="N26" s="168">
        <v>140007.79822500001</v>
      </c>
    </row>
    <row r="27" spans="2:14" ht="36.75" customHeight="1">
      <c r="B27" s="185" t="s">
        <v>180</v>
      </c>
      <c r="C27" s="188">
        <v>1024562201</v>
      </c>
      <c r="D27" s="188">
        <v>1643363416</v>
      </c>
      <c r="E27" s="188">
        <v>3487476564</v>
      </c>
      <c r="F27" s="188">
        <v>3160198813</v>
      </c>
      <c r="G27" s="188">
        <v>181075113</v>
      </c>
      <c r="H27" s="167"/>
      <c r="I27" s="167"/>
      <c r="J27" s="167"/>
      <c r="K27" s="167"/>
      <c r="L27" s="167"/>
      <c r="M27" s="167"/>
      <c r="N27" s="167"/>
    </row>
    <row r="28" spans="2:14" ht="36.75" customHeight="1">
      <c r="B28" s="186" t="s">
        <v>181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3" ht="16.5" customHeight="1"/>
    <row r="34" ht="15.75" customHeight="1"/>
  </sheetData>
  <mergeCells count="4">
    <mergeCell ref="C5:N5"/>
    <mergeCell ref="C8:K8"/>
    <mergeCell ref="C17:N17"/>
    <mergeCell ref="C20:K20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a260a97-1a1d-4976-a872-bec7d3026b9f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91D5AFF-6849-4580-86A3-902D531CC43C}"/>
</file>

<file path=customXml/itemProps2.xml><?xml version="1.0" encoding="utf-8"?>
<ds:datastoreItem xmlns:ds="http://schemas.openxmlformats.org/officeDocument/2006/customXml" ds:itemID="{4221F24E-D051-4344-B4AC-1A41CABA54DC}"/>
</file>

<file path=customXml/itemProps3.xml><?xml version="1.0" encoding="utf-8"?>
<ds:datastoreItem xmlns:ds="http://schemas.openxmlformats.org/officeDocument/2006/customXml" ds:itemID="{C6C9026B-FACA-412B-BFAF-D1CFE861F6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Zahra Fouidel</cp:lastModifiedBy>
  <cp:revision/>
  <dcterms:created xsi:type="dcterms:W3CDTF">1996-10-21T11:03:58Z</dcterms:created>
  <dcterms:modified xsi:type="dcterms:W3CDTF">2023-01-13T07:54:14Z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0x0101002265E855646B7540813522D609E73ACA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