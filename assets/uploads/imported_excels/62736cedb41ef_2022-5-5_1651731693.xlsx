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HEP Daily Report 2022\"/>
    </mc:Choice>
  </mc:AlternateContent>
  <bookViews>
    <workbookView xWindow="0" yWindow="0" windowWidth="28800" windowHeight="12435" tabRatio="762" activeTab="1"/>
  </bookViews>
  <sheets>
    <sheet name="TOTAL" sheetId="11" r:id="rId1"/>
    <sheet name="FS Jimbaran April 2022" sheetId="14" r:id="rId2"/>
    <sheet name="RNs &amp; Covers April 2022" sheetId="10" r:id="rId3"/>
  </sheets>
  <calcPr calcId="15251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3" i="14" l="1"/>
  <c r="AH14" i="14"/>
  <c r="AH15" i="14"/>
  <c r="AH16" i="14"/>
  <c r="AH17" i="14"/>
  <c r="AH18" i="14"/>
  <c r="AH19" i="14"/>
  <c r="AH20" i="14"/>
  <c r="AH21" i="14"/>
  <c r="AH22" i="14"/>
  <c r="AH23" i="14"/>
  <c r="AH24" i="14"/>
  <c r="AH25" i="14"/>
  <c r="AH26" i="14"/>
  <c r="AH27" i="14"/>
  <c r="AH28" i="14"/>
  <c r="AH29" i="14"/>
  <c r="AH30" i="14"/>
  <c r="AH31" i="14"/>
  <c r="AH32" i="14"/>
  <c r="AH33" i="14"/>
  <c r="AH34" i="14"/>
  <c r="AH35" i="14"/>
  <c r="AH36" i="14"/>
  <c r="AH37" i="14"/>
  <c r="AH38" i="14"/>
  <c r="AH39" i="14"/>
  <c r="AH40" i="14"/>
  <c r="AH41" i="14"/>
  <c r="AH12" i="14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12" i="14"/>
  <c r="O12" i="14" l="1"/>
  <c r="Y45" i="14" l="1"/>
  <c r="AL13" i="14" l="1"/>
  <c r="AL14" i="14"/>
  <c r="AL15" i="14"/>
  <c r="AL16" i="14"/>
  <c r="AL17" i="14"/>
  <c r="AL18" i="14"/>
  <c r="AL19" i="14"/>
  <c r="AL20" i="14"/>
  <c r="AL21" i="14"/>
  <c r="AL22" i="14"/>
  <c r="AL23" i="14"/>
  <c r="AL24" i="14"/>
  <c r="AL25" i="14"/>
  <c r="AL26" i="14"/>
  <c r="AL27" i="14"/>
  <c r="AL28" i="14"/>
  <c r="AL29" i="14"/>
  <c r="AL30" i="14"/>
  <c r="AL31" i="14"/>
  <c r="AL32" i="14"/>
  <c r="AL33" i="14"/>
  <c r="AL34" i="14"/>
  <c r="AL35" i="14"/>
  <c r="AL36" i="14"/>
  <c r="AL37" i="14"/>
  <c r="AL38" i="14"/>
  <c r="AL39" i="14"/>
  <c r="AL40" i="14"/>
  <c r="AL41" i="14"/>
  <c r="AL12" i="14"/>
  <c r="X45" i="14" l="1"/>
  <c r="I45" i="14"/>
  <c r="AI13" i="14" l="1"/>
  <c r="AI14" i="14"/>
  <c r="AI15" i="14"/>
  <c r="AI16" i="14"/>
  <c r="AI17" i="14"/>
  <c r="AI18" i="14"/>
  <c r="AI19" i="14"/>
  <c r="AI20" i="14"/>
  <c r="AI21" i="14"/>
  <c r="AI22" i="14"/>
  <c r="AI23" i="14"/>
  <c r="AI24" i="14"/>
  <c r="AI25" i="14"/>
  <c r="AI26" i="14"/>
  <c r="AI27" i="14"/>
  <c r="AI28" i="14"/>
  <c r="AI29" i="14"/>
  <c r="AI30" i="14"/>
  <c r="AI31" i="14"/>
  <c r="AI32" i="14"/>
  <c r="AI33" i="14"/>
  <c r="AI34" i="14"/>
  <c r="AI35" i="14"/>
  <c r="AI36" i="14"/>
  <c r="AI37" i="14"/>
  <c r="AI38" i="14"/>
  <c r="AI39" i="14"/>
  <c r="AI40" i="14"/>
  <c r="AI41" i="14"/>
  <c r="AI12" i="14"/>
  <c r="AA17" i="14" l="1"/>
  <c r="AB17" i="14" s="1"/>
  <c r="AA18" i="14"/>
  <c r="AB18" i="14" s="1"/>
  <c r="AA20" i="14"/>
  <c r="AB20" i="14" s="1"/>
  <c r="AA25" i="14"/>
  <c r="AB25" i="14" s="1"/>
  <c r="AA26" i="14"/>
  <c r="AB26" i="14" s="1"/>
  <c r="AA28" i="14"/>
  <c r="AB28" i="14" s="1"/>
  <c r="AA33" i="14"/>
  <c r="AB33" i="14" s="1"/>
  <c r="AA34" i="14"/>
  <c r="AB34" i="14" s="1"/>
  <c r="AA36" i="14"/>
  <c r="AB36" i="14" s="1"/>
  <c r="AA41" i="14"/>
  <c r="AB41" i="14" s="1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12" i="14"/>
  <c r="AA13" i="14"/>
  <c r="AB13" i="14" s="1"/>
  <c r="AA14" i="14"/>
  <c r="AB14" i="14" s="1"/>
  <c r="AA15" i="14"/>
  <c r="AB15" i="14" s="1"/>
  <c r="AA16" i="14"/>
  <c r="AB16" i="14" s="1"/>
  <c r="AA19" i="14"/>
  <c r="AB19" i="14" s="1"/>
  <c r="AA21" i="14"/>
  <c r="AB21" i="14" s="1"/>
  <c r="AA22" i="14"/>
  <c r="AB22" i="14" s="1"/>
  <c r="AA23" i="14"/>
  <c r="AB23" i="14" s="1"/>
  <c r="AA24" i="14"/>
  <c r="AB24" i="14" s="1"/>
  <c r="AA27" i="14"/>
  <c r="AB27" i="14" s="1"/>
  <c r="AA29" i="14"/>
  <c r="AB29" i="14" s="1"/>
  <c r="AA30" i="14"/>
  <c r="AB30" i="14" s="1"/>
  <c r="AA31" i="14"/>
  <c r="AB31" i="14" s="1"/>
  <c r="AA32" i="14"/>
  <c r="AB32" i="14" s="1"/>
  <c r="AA35" i="14"/>
  <c r="AB35" i="14" s="1"/>
  <c r="AA37" i="14"/>
  <c r="AB37" i="14" s="1"/>
  <c r="AA38" i="14"/>
  <c r="AB38" i="14" s="1"/>
  <c r="AA39" i="14"/>
  <c r="AB39" i="14" s="1"/>
  <c r="AA40" i="14"/>
  <c r="AB40" i="14" s="1"/>
  <c r="AA12" i="14"/>
  <c r="AB12" i="14" s="1"/>
  <c r="V45" i="14" l="1"/>
  <c r="AB45" i="14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12" i="14"/>
  <c r="O13" i="14"/>
  <c r="O21" i="14"/>
  <c r="O16" i="14"/>
  <c r="O17" i="14"/>
  <c r="O18" i="14"/>
  <c r="O20" i="14"/>
  <c r="O24" i="14"/>
  <c r="O25" i="14"/>
  <c r="O26" i="14"/>
  <c r="O28" i="14"/>
  <c r="O32" i="14"/>
  <c r="O33" i="14"/>
  <c r="O34" i="14"/>
  <c r="O36" i="14"/>
  <c r="O40" i="14"/>
  <c r="O41" i="14"/>
  <c r="O38" i="14" l="1"/>
  <c r="O22" i="14"/>
  <c r="O14" i="14"/>
  <c r="O30" i="14"/>
  <c r="O23" i="14"/>
  <c r="O15" i="14"/>
  <c r="O39" i="14"/>
  <c r="O31" i="14"/>
  <c r="O37" i="14"/>
  <c r="O29" i="14"/>
  <c r="O35" i="14"/>
  <c r="O27" i="14"/>
  <c r="O19" i="14"/>
  <c r="P45" i="14"/>
  <c r="L45" i="14"/>
  <c r="K45" i="14"/>
  <c r="J45" i="14"/>
  <c r="H45" i="14"/>
  <c r="G45" i="14"/>
  <c r="F45" i="14"/>
  <c r="E45" i="14"/>
  <c r="AK45" i="14" l="1"/>
  <c r="AJ45" i="14"/>
  <c r="AH45" i="14"/>
  <c r="AF45" i="14"/>
  <c r="AE45" i="14"/>
  <c r="M45" i="14"/>
  <c r="C45" i="14"/>
  <c r="D45" i="14"/>
  <c r="Z45" i="14"/>
  <c r="W45" i="14"/>
  <c r="AI45" i="14" l="1"/>
  <c r="AL45" i="14"/>
  <c r="C36" i="10"/>
  <c r="B36" i="10"/>
  <c r="AG45" i="14" l="1"/>
  <c r="N45" i="14" l="1"/>
  <c r="F31" i="11" l="1"/>
  <c r="F30" i="1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K21" i="11"/>
  <c r="K22" i="11"/>
  <c r="K23" i="11"/>
  <c r="K24" i="11"/>
  <c r="K25" i="11"/>
  <c r="K26" i="11"/>
  <c r="K27" i="11"/>
  <c r="K28" i="11"/>
  <c r="K29" i="11"/>
  <c r="AA45" i="14" l="1"/>
  <c r="AA47" i="14" s="1"/>
  <c r="L29" i="11"/>
  <c r="L27" i="11"/>
  <c r="L25" i="11"/>
  <c r="L23" i="11"/>
  <c r="L21" i="11"/>
  <c r="E23" i="11"/>
  <c r="E24" i="11"/>
  <c r="E25" i="11"/>
  <c r="E26" i="11"/>
  <c r="E27" i="11"/>
  <c r="E28" i="11"/>
  <c r="E29" i="11"/>
  <c r="L28" i="11"/>
  <c r="L26" i="11"/>
  <c r="L24" i="11"/>
  <c r="L22" i="11"/>
  <c r="E21" i="11" l="1"/>
  <c r="E22" i="11"/>
  <c r="F28" i="11"/>
  <c r="F26" i="11"/>
  <c r="F24" i="11"/>
  <c r="F22" i="11"/>
  <c r="F29" i="11"/>
  <c r="F27" i="11"/>
  <c r="F25" i="11"/>
  <c r="F23" i="11"/>
  <c r="F21" i="11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5" i="14"/>
  <c r="J20" i="11"/>
  <c r="I15" i="11"/>
  <c r="K14" i="11"/>
  <c r="I9" i="11"/>
  <c r="I7" i="11"/>
  <c r="K6" i="11"/>
  <c r="K2" i="11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H12" i="11"/>
  <c r="H14" i="11"/>
  <c r="H15" i="11"/>
  <c r="G16" i="11"/>
  <c r="H16" i="11"/>
  <c r="H18" i="11"/>
  <c r="H19" i="11"/>
  <c r="H20" i="11"/>
  <c r="H4" i="11"/>
  <c r="H6" i="11"/>
  <c r="H10" i="11"/>
  <c r="H17" i="11"/>
  <c r="G20" i="11"/>
  <c r="G15" i="11"/>
  <c r="G14" i="11"/>
  <c r="J13" i="11"/>
  <c r="J14" i="11"/>
  <c r="J6" i="11"/>
  <c r="J5" i="11"/>
  <c r="G7" i="11"/>
  <c r="G11" i="11"/>
  <c r="J17" i="11"/>
  <c r="G13" i="11"/>
  <c r="J4" i="11"/>
  <c r="G5" i="11"/>
  <c r="G3" i="11"/>
  <c r="J11" i="11"/>
  <c r="J12" i="11"/>
  <c r="J16" i="11"/>
  <c r="J8" i="11"/>
  <c r="K3" i="11"/>
  <c r="G6" i="11"/>
  <c r="I12" i="11"/>
  <c r="I4" i="11"/>
  <c r="J15" i="11"/>
  <c r="G12" i="11"/>
  <c r="G4" i="11"/>
  <c r="I18" i="11"/>
  <c r="K16" i="11"/>
  <c r="K8" i="11"/>
  <c r="G19" i="11"/>
  <c r="I17" i="11"/>
  <c r="K15" i="11"/>
  <c r="K7" i="11"/>
  <c r="L10" i="11"/>
  <c r="I10" i="11"/>
  <c r="G18" i="11"/>
  <c r="G10" i="11"/>
  <c r="I16" i="11"/>
  <c r="I8" i="11"/>
  <c r="J19" i="11"/>
  <c r="J3" i="11"/>
  <c r="L9" i="11"/>
  <c r="G17" i="11"/>
  <c r="J18" i="11"/>
  <c r="J10" i="11"/>
  <c r="K13" i="11"/>
  <c r="K5" i="11"/>
  <c r="I14" i="11"/>
  <c r="I6" i="11"/>
  <c r="K12" i="11"/>
  <c r="K4" i="11"/>
  <c r="L2" i="11"/>
  <c r="H2" i="11"/>
  <c r="J2" i="11"/>
  <c r="AC45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L14" i="11"/>
  <c r="L12" i="11"/>
  <c r="L18" i="11"/>
  <c r="L4" i="11"/>
  <c r="L20" i="11"/>
  <c r="L19" i="11"/>
  <c r="L8" i="11"/>
  <c r="L15" i="11"/>
  <c r="L13" i="11"/>
  <c r="L16" i="11"/>
  <c r="L7" i="11"/>
  <c r="L17" i="11"/>
  <c r="L5" i="11"/>
  <c r="L11" i="11"/>
  <c r="J9" i="11"/>
  <c r="L3" i="11"/>
  <c r="O45" i="14" l="1"/>
  <c r="P47" i="14" s="1"/>
  <c r="F7" i="11"/>
  <c r="F2" i="11"/>
  <c r="L6" i="11"/>
  <c r="U46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<sst xmlns="http://schemas.openxmlformats.org/spreadsheetml/2006/main" count="100" uniqueCount="55">
  <si>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</si>
  <si>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</si>
  <si>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</si>
  <si>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</si>
  <si>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</si>
  <si>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</si>
  <si>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</si>
  <si>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</si>
  <si>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</si>
  <si>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</si>
  <si>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</si>
  <si>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</si>
  <si>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</si>
  <si>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</si>
  <si>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</si>
  <si>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</si>
  <si>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</si>
  <si>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</si>
  <si>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</si>
  <si>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</si>
  <si>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</si>
  <si>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</si>
  <si>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</si>
  <si>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</si>
  <si>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</si>
  <si>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</si>
  <si>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</si>
  <si>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</si>
  <si>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</si>
  <si>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</si>
  <si>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</si>
  <si>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</si>
  <si>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</si>
  <si>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</si>
  <si>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</si>
  <si>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</si>
  <si>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</si>
  <si>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</si>
  <si>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</si>
  <si>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</si>
  <si>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</si>
  <si>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</si>
  <si>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</si>
  <si>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</si>
  <si>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</si>
  <si>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</si>
  <si>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</si>
  <si>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</si>
  <si>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</si>
  <si>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>Fuel Oil  $/Liter</t>
  </si>
  <si>
    <t>Residences- Electricity KWh</t>
  </si>
  <si>
    <t>m3/RNs</t>
  </si>
  <si>
    <t xml:space="preserve">Total Fuel Oil  (Liter) </t>
  </si>
  <si>
    <t>ELECTRICITY Resort &amp; Sundara</t>
  </si>
  <si>
    <t>APRIL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</si>
</sst>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49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70" fontId="6" fillId="3" borderId="0" xfId="0" applyNumberFormat="1" applyFont="1" applyFill="1" applyBorder="1" applyAlignment="1"/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8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3" xfId="0" applyNumberFormat="1" applyBorder="1" applyAlignment="1">
      <alignment horizontal="center" vertical="center" wrapText="1"/>
    </xf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39" xfId="0" applyNumberFormat="1" applyFill="1" applyBorder="1"/>
    <xf numFmtId="168" fontId="1" fillId="0" borderId="39" xfId="0" applyNumberFormat="1" applyFont="1" applyBorder="1"/>
    <xf numFmtId="0" fontId="0" fillId="3" borderId="47" xfId="0" applyFill="1" applyBorder="1"/>
    <xf numFmtId="168" fontId="0" fillId="3" borderId="47" xfId="2" applyNumberFormat="1" applyFont="1" applyFill="1" applyBorder="1"/>
    <xf numFmtId="43" fontId="8" fillId="3" borderId="47" xfId="2" applyFont="1" applyFill="1" applyBorder="1"/>
    <xf numFmtId="168" fontId="8" fillId="3" borderId="47" xfId="2" applyNumberFormat="1" applyFont="1" applyFill="1" applyBorder="1"/>
    <xf numFmtId="43" fontId="0" fillId="3" borderId="47" xfId="0" applyNumberFormat="1" applyFill="1" applyBorder="1"/>
    <xf numFmtId="0" fontId="0" fillId="3" borderId="49" xfId="0" applyFill="1" applyBorder="1"/>
    <xf numFmtId="167" fontId="0" fillId="3" borderId="47" xfId="0" applyNumberFormat="1" applyFill="1" applyBorder="1"/>
    <xf numFmtId="168" fontId="0" fillId="3" borderId="47" xfId="0" applyNumberFormat="1" applyFill="1" applyBorder="1"/>
    <xf numFmtId="168" fontId="0" fillId="0" borderId="47" xfId="2" applyNumberFormat="1" applyFont="1" applyBorder="1"/>
    <xf numFmtId="170" fontId="0" fillId="3" borderId="49" xfId="0" applyNumberFormat="1" applyFill="1" applyBorder="1"/>
    <xf numFmtId="168" fontId="0" fillId="0" borderId="0" xfId="2" applyNumberFormat="1" applyFont="1" applyBorder="1" applyAlignment="1">
      <alignment horizontal="right"/>
    </xf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7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8" fontId="9" fillId="0" borderId="53" xfId="2" applyNumberFormat="1" applyFont="1" applyBorder="1" applyAlignment="1">
      <alignment horizontal="center" vertical="center" wrapText="1"/>
    </xf>
    <xf numFmtId="168" fontId="8" fillId="0" borderId="54" xfId="2" applyNumberFormat="1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8" fontId="8" fillId="0" borderId="44" xfId="2" applyNumberFormat="1" applyFont="1" applyBorder="1" applyAlignment="1">
      <alignment horizontal="center" vertical="center" wrapText="1"/>
    </xf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0" fillId="3" borderId="14" xfId="2" applyNumberFormat="1" applyFont="1" applyFill="1" applyBorder="1"/>
    <xf numFmtId="0" fontId="0" fillId="3" borderId="57" xfId="0" applyFill="1" applyBorder="1"/>
    <xf numFmtId="0" fontId="0" fillId="3" borderId="15" xfId="0" applyFill="1" applyBorder="1"/>
    <xf numFmtId="0" fontId="0" fillId="3" borderId="58" xfId="0" applyFill="1" applyBorder="1"/>
    <xf numFmtId="0" fontId="0" fillId="3" borderId="59" xfId="0" applyFill="1" applyBorder="1"/>
    <xf numFmtId="168" fontId="0" fillId="3" borderId="48" xfId="2" applyNumberFormat="1" applyFont="1" applyFill="1" applyBorder="1"/>
    <xf numFmtId="0" fontId="0" fillId="0" borderId="60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68" fontId="0" fillId="0" borderId="21" xfId="0" applyNumberFormat="1" applyBorder="1"/>
    <xf numFmtId="0" fontId="0" fillId="3" borderId="50" xfId="0" applyFill="1" applyBorder="1"/>
    <xf numFmtId="167" fontId="0" fillId="3" borderId="5" xfId="0" applyNumberFormat="1" applyFill="1" applyBorder="1"/>
    <xf numFmtId="0" fontId="0" fillId="3" borderId="61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0" fontId="0" fillId="3" borderId="52" xfId="0" applyFill="1" applyBorder="1" applyAlignment="1">
      <alignment wrapText="1"/>
    </xf>
    <xf numFmtId="167" fontId="0" fillId="0" borderId="0" xfId="0" applyNumberFormat="1" applyBorder="1"/>
    <xf numFmtId="171" fontId="0" fillId="0" borderId="41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7" xfId="2" applyNumberFormat="1" applyFont="1" applyBorder="1"/>
    <xf numFmtId="43" fontId="5" fillId="0" borderId="0" xfId="2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1" fillId="0" borderId="11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1" fillId="0" borderId="10" xfId="2" applyNumberFormat="1" applyFont="1" applyBorder="1"/>
    <xf numFmtId="43" fontId="0" fillId="3" borderId="49" xfId="0" applyNumberFormat="1" applyFill="1" applyBorder="1"/>
    <xf numFmtId="0" fontId="0" fillId="3" borderId="57" xfId="0" applyFill="1" applyBorder="1" applyAlignment="1">
      <alignment wrapText="1"/>
    </xf>
    <xf numFmtId="0" fontId="7" fillId="3" borderId="57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43" fontId="0" fillId="3" borderId="64" xfId="2" applyFont="1" applyFill="1" applyBorder="1"/>
    <xf numFmtId="43" fontId="0" fillId="3" borderId="46" xfId="2" applyFont="1" applyFill="1" applyBorder="1"/>
    <xf numFmtId="43" fontId="0" fillId="3" borderId="45" xfId="2" applyFont="1" applyFill="1" applyBorder="1"/>
    <xf numFmtId="43" fontId="17" fillId="0" borderId="0" xfId="0" applyNumberFormat="1" applyFont="1"/>
    <xf numFmtId="43" fontId="0" fillId="0" borderId="0" xfId="0" applyNumberFormat="1" applyBorder="1"/>
    <xf numFmtId="43" fontId="0" fillId="0" borderId="0" xfId="2" applyNumberFormat="1" applyFont="1" applyBorder="1"/>
    <xf numFmtId="43" fontId="0" fillId="0" borderId="0" xfId="2" applyNumberFormat="1" applyFont="1" applyBorder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9" fontId="17" fillId="0" borderId="0" xfId="5" applyFont="1"/>
    <xf numFmtId="43" fontId="0" fillId="3" borderId="0" xfId="2" applyNumberFormat="1" applyFont="1" applyFill="1" applyBorder="1"/>
    <xf numFmtId="0" fontId="0" fillId="0" borderId="65" xfId="0" applyBorder="1" applyAlignment="1">
      <alignment horizontal="center" vertical="center" wrapText="1"/>
    </xf>
    <xf numFmtId="169" fontId="20" fillId="0" borderId="8" xfId="0" applyNumberFormat="1" applyFont="1" applyBorder="1"/>
    <xf numFmtId="37" fontId="20" fillId="0" borderId="8" xfId="0" applyNumberFormat="1" applyFont="1" applyBorder="1"/>
    <xf numFmtId="0" fontId="0" fillId="0" borderId="29" xfId="0" applyFont="1" applyBorder="1" applyAlignment="1">
      <alignment horizontal="center" vertical="center" wrapText="1"/>
    </xf>
    <xf numFmtId="1" fontId="0" fillId="0" borderId="9" xfId="2" applyNumberFormat="1" applyFont="1" applyBorder="1"/>
    <xf numFmtId="1" fontId="0" fillId="0" borderId="8" xfId="2" applyNumberFormat="1" applyFont="1" applyBorder="1"/>
    <xf numFmtId="1" fontId="0" fillId="0" borderId="45" xfId="2" applyNumberFormat="1" applyFont="1" applyBorder="1"/>
    <xf numFmtId="1" fontId="2" fillId="0" borderId="45" xfId="2" applyNumberFormat="1" applyFont="1" applyBorder="1"/>
    <xf numFmtId="1" fontId="0" fillId="0" borderId="10" xfId="2" applyNumberFormat="1" applyFont="1" applyBorder="1"/>
    <xf numFmtId="1" fontId="0" fillId="0" borderId="21" xfId="0" applyNumberFormat="1" applyBorder="1"/>
    <xf numFmtId="1" fontId="2" fillId="0" borderId="8" xfId="2" applyNumberFormat="1" applyFont="1" applyBorder="1"/>
    <xf numFmtId="1" fontId="0" fillId="3" borderId="14" xfId="2" applyNumberFormat="1" applyFont="1" applyFill="1" applyBorder="1"/>
    <xf numFmtId="1" fontId="0" fillId="3" borderId="0" xfId="2" applyNumberFormat="1" applyFont="1" applyFill="1" applyBorder="1"/>
    <xf numFmtId="1" fontId="0" fillId="3" borderId="0" xfId="0" applyNumberFormat="1" applyFill="1" applyBorder="1"/>
    <xf numFmtId="1" fontId="8" fillId="3" borderId="0" xfId="2" applyNumberFormat="1" applyFont="1" applyFill="1" applyBorder="1"/>
    <xf numFmtId="1" fontId="1" fillId="0" borderId="39" xfId="0" applyNumberFormat="1" applyFont="1" applyBorder="1"/>
    <xf numFmtId="1" fontId="9" fillId="6" borderId="23" xfId="2" applyNumberFormat="1" applyFont="1" applyFill="1" applyBorder="1"/>
    <xf numFmtId="1" fontId="1" fillId="6" borderId="23" xfId="2" applyNumberFormat="1" applyFont="1" applyFill="1" applyBorder="1"/>
    <xf numFmtId="1" fontId="1" fillId="0" borderId="23" xfId="2" applyNumberFormat="1" applyFont="1" applyBorder="1"/>
    <xf numFmtId="1" fontId="9" fillId="6" borderId="23" xfId="0" applyNumberFormat="1" applyFont="1" applyFill="1" applyBorder="1"/>
    <xf numFmtId="1" fontId="9" fillId="12" borderId="7" xfId="1" applyNumberFormat="1" applyFont="1" applyFill="1" applyBorder="1"/>
    <xf numFmtId="1" fontId="1" fillId="5" borderId="6" xfId="0" applyNumberFormat="1" applyFont="1" applyFill="1" applyBorder="1"/>
    <xf numFmtId="1" fontId="1" fillId="3" borderId="6" xfId="0" applyNumberFormat="1" applyFont="1" applyFill="1" applyBorder="1"/>
    <xf numFmtId="43" fontId="14" fillId="3" borderId="8" xfId="2" applyNumberFormat="1" applyFont="1" applyFill="1" applyBorder="1" applyProtection="1">
      <protection locked="0"/>
    </xf>
    <xf numFmtId="1" fontId="4" fillId="0" borderId="0" xfId="0" applyNumberFormat="1" applyFont="1" applyAlignment="1">
      <alignment horizontal="center"/>
    </xf>
    <xf numFmtId="1" fontId="0" fillId="3" borderId="23" xfId="0" applyNumberFormat="1" applyFill="1" applyBorder="1"/>
    <xf numFmtId="1" fontId="0" fillId="3" borderId="23" xfId="2" applyNumberFormat="1" applyFont="1" applyFill="1" applyBorder="1"/>
    <xf numFmtId="1" fontId="1" fillId="12" borderId="7" xfId="0" applyNumberFormat="1" applyFont="1" applyFill="1" applyBorder="1"/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8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39" xfId="2" applyNumberFormat="1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171" fontId="1" fillId="4" borderId="1" xfId="2" applyNumberFormat="1" applyFont="1" applyFill="1" applyBorder="1" applyAlignment="1">
      <alignment horizontal="center" vertical="center"/>
    </xf>
    <xf numFmtId="171" fontId="1" fillId="4" borderId="40" xfId="2" applyNumberFormat="1" applyFont="1" applyFill="1" applyBorder="1" applyAlignment="1">
      <alignment horizontal="center" vertical="center"/>
    </xf>
    <xf numFmtId="171" fontId="1" fillId="4" borderId="2" xfId="2" applyNumberFormat="1" applyFont="1" applyFill="1" applyBorder="1" applyAlignment="1">
      <alignment horizontal="center" vertical="center"/>
    </xf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17" fontId="6" fillId="3" borderId="56" xfId="0" applyNumberFormat="1" applyFont="1" applyFill="1" applyBorder="1" applyAlignment="1">
      <alignment horizontal="center"/>
    </xf>
    <xf numFmtId="0" fontId="6" fillId="3" borderId="56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1" fontId="9" fillId="6" borderId="39" xfId="0" applyNumberFormat="1" applyFont="1" applyFill="1" applyBorder="1"/>
    <xf numFmtId="1" fontId="9" fillId="13" borderId="6" xfId="2" applyNumberFormat="1" applyFont="1" applyFill="1" applyBorder="1"/>
    <xf numFmtId="1" fontId="22" fillId="14" borderId="23" xfId="0" applyNumberFormat="1" applyFont="1" applyFill="1" applyBorder="1"/>
    <xf numFmtId="1" fontId="22" fillId="14" borderId="31" xfId="2" applyNumberFormat="1" applyFont="1" applyFill="1" applyBorder="1"/>
    <xf numFmtId="1" fontId="21" fillId="3" borderId="33" xfId="2" applyNumberFormat="1" applyFont="1" applyFill="1" applyBorder="1"/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Y32"/>
  <sheetViews>
    <sheetView workbookViewId="0">
      <selection activeCell="P21" sqref="P21"/>
    </sheetView>
  </sheetViews>
  <sheetFormatPr defaultColWidth="11.5703125" defaultRowHeight="15" x14ac:dyDescent="0.25"/>
  <cols>
    <col min="1" max="1" width="18.42578125" style="127" customWidth="1"/>
    <col min="2" max="2" width="11.5703125" style="128"/>
    <col min="3" max="3" width="11.5703125" style="129"/>
    <col min="4" max="4" width="13.42578125" style="128" customWidth="1"/>
    <col min="5" max="5" width="12.5703125" style="126" customWidth="1"/>
    <col min="6" max="6" width="12.5703125" style="130" customWidth="1"/>
    <col min="7" max="7" width="11.5703125" style="126"/>
    <col min="8" max="8" width="11.5703125" style="130"/>
    <col min="9" max="9" width="11.5703125" style="131"/>
    <col min="10" max="10" width="11.5703125" style="132"/>
    <col min="11" max="11" width="11.5703125" style="126"/>
    <col min="12" max="12" width="11.5703125" style="132"/>
    <col min="13" max="25" width="11.5703125" style="126"/>
  </cols>
  <sheetData>
    <row r="1" spans="1:15" s="120" customFormat="1" ht="60" x14ac:dyDescent="0.25">
      <c r="A1" s="116" t="s">
        <v>36</v>
      </c>
      <c r="B1" s="116" t="s">
        <v>37</v>
      </c>
      <c r="C1" s="117" t="s">
        <v>38</v>
      </c>
      <c r="D1" s="116" t="s">
        <v>39</v>
      </c>
      <c r="E1" s="115" t="s">
        <v>40</v>
      </c>
      <c r="F1" s="118" t="s">
        <v>41</v>
      </c>
      <c r="G1" s="115" t="s">
        <v>46</v>
      </c>
      <c r="H1" s="118" t="s">
        <v>47</v>
      </c>
      <c r="I1" s="134" t="s">
        <v>52</v>
      </c>
      <c r="J1" s="118" t="s">
        <v>49</v>
      </c>
      <c r="K1" s="115" t="s">
        <v>42</v>
      </c>
      <c r="L1" s="119" t="s">
        <v>43</v>
      </c>
      <c r="M1" s="115" t="s">
        <v>44</v>
      </c>
      <c r="N1" s="115" t="s">
        <v>3</v>
      </c>
    </row>
    <row r="2" spans="1:15" x14ac:dyDescent="0.25">
      <c r="A2" s="121" t="s">
        <v>48</v>
      </c>
      <c r="B2" s="122">
        <v>1</v>
      </c>
      <c r="C2" s="123">
        <v>4</v>
      </c>
      <c r="D2" s="122">
        <v>2022</v>
      </c>
      <c r="E2" s="124">
        <f>'FS Jimbaran April 2022'!P12</f>
        <v>15019.999999999811</v>
      </c>
      <c r="F2" s="133">
        <f>'FS Jimbaran April 2022'!O12/'FS Jimbaran April 2022'!P12</f>
        <v>1121.9800665778992</v>
      </c>
      <c r="G2" s="124">
        <f>'FS Jimbaran April 2022'!AG12</f>
        <v>135.78967200000045</v>
      </c>
      <c r="H2" s="133">
        <f>'FS Jimbaran April 2022'!AH12/'FS Jimbaran April 2022'!AG12</f>
        <v>18344.047966181115</v>
      </c>
      <c r="I2" s="124">
        <f>'FS Jimbaran April 2022'!AJ12</f>
        <v>346.36000000000058</v>
      </c>
      <c r="J2" s="125">
        <f>'FS Jimbaran April 2022'!AK12/'FS Jimbaran April 2022'!AJ12</f>
        <v>12000</v>
      </c>
      <c r="K2" s="124">
        <f>'FS Jimbaran April 2022'!V12</f>
        <v>650.59</v>
      </c>
      <c r="L2" s="133">
        <f>'FS Jimbaran April 2022'!AA12/'FS Jimbaran April 2022'!V12</f>
        <v>6873.8322571819426</v>
      </c>
      <c r="M2" s="124">
        <f>'RNs &amp; Covers April 2022'!B6</f>
        <v>19</v>
      </c>
      <c r="N2" s="135">
        <f>'RNs &amp; Covers April 2022'!C6</f>
        <v>121</v>
      </c>
    </row>
    <row r="3" spans="1:15" x14ac:dyDescent="0.25">
      <c r="A3" s="121" t="s">
        <v>48</v>
      </c>
      <c r="B3" s="122">
        <f>B2+1</f>
        <v>2</v>
      </c>
      <c r="C3" s="123">
        <v>4</v>
      </c>
      <c r="D3" s="122">
        <v>2022</v>
      </c>
      <c r="E3" s="135">
        <f>'FS Jimbaran April 2022'!P13</f>
        <v>14959.999999999811</v>
      </c>
      <c r="F3" s="133">
        <f>'FS Jimbaran April 2022'!O13/'FS Jimbaran April 2022'!P13</f>
        <v>1125.0952540106898</v>
      </c>
      <c r="G3" s="135">
        <f>'FS Jimbaran April 2022'!AG13</f>
        <v>105.97323999999969</v>
      </c>
      <c r="H3" s="133">
        <f>'FS Jimbaran April 2022'!AH13/'FS Jimbaran April 2022'!AG13</f>
        <v>18914.609590119166</v>
      </c>
      <c r="I3" s="135">
        <f>'FS Jimbaran April 2022'!AJ13</f>
        <v>296.86999999999534</v>
      </c>
      <c r="J3" s="125">
        <f>'FS Jimbaran April 2022'!AK13/'FS Jimbaran April 2022'!AJ13</f>
        <v>12000</v>
      </c>
      <c r="K3" s="135">
        <f>'FS Jimbaran April 2022'!V13</f>
        <v>816.13</v>
      </c>
      <c r="L3" s="133">
        <f>'FS Jimbaran April 2022'!AA13/'FS Jimbaran April 2022'!V13</f>
        <v>6400.5192366412211</v>
      </c>
      <c r="M3" s="135">
        <f>'RNs &amp; Covers April 2022'!B7</f>
        <v>13</v>
      </c>
      <c r="N3" s="135">
        <f>'RNs &amp; Covers April 2022'!C7</f>
        <v>144</v>
      </c>
    </row>
    <row r="4" spans="1:15" x14ac:dyDescent="0.25">
      <c r="A4" s="121" t="s">
        <v>48</v>
      </c>
      <c r="B4" s="122">
        <f t="shared" ref="B4:B31" si="0">B3+1</f>
        <v>3</v>
      </c>
      <c r="C4" s="123">
        <v>4</v>
      </c>
      <c r="D4" s="122">
        <v>2022</v>
      </c>
      <c r="E4" s="135">
        <f>'FS Jimbaran April 2022'!P14</f>
        <v>14460.000000000149</v>
      </c>
      <c r="F4" s="133">
        <f>'FS Jimbaran April 2022'!O14/'FS Jimbaran April 2022'!P14</f>
        <v>1127.4673029045655</v>
      </c>
      <c r="G4" s="135">
        <f>'FS Jimbaran April 2022'!AG14</f>
        <v>126.0292399999997</v>
      </c>
      <c r="H4" s="133">
        <f>'FS Jimbaran April 2022'!AH14/'FS Jimbaran April 2022'!AG14</f>
        <v>18624.610460239226</v>
      </c>
      <c r="I4" s="135">
        <f>'FS Jimbaran April 2022'!AJ14</f>
        <v>296.11999999999534</v>
      </c>
      <c r="J4" s="125">
        <f>'FS Jimbaran April 2022'!AK14/'FS Jimbaran April 2022'!AJ14</f>
        <v>12000</v>
      </c>
      <c r="K4" s="135">
        <f>'FS Jimbaran April 2022'!V14</f>
        <v>751.16</v>
      </c>
      <c r="L4" s="133">
        <f>'FS Jimbaran April 2022'!AA14/'FS Jimbaran April 2022'!V14</f>
        <v>6554.4163033175355</v>
      </c>
      <c r="M4" s="135">
        <f>'RNs &amp; Covers April 2022'!B8</f>
        <v>14</v>
      </c>
      <c r="N4" s="135">
        <f>'RNs &amp; Covers April 2022'!C8</f>
        <v>152</v>
      </c>
    </row>
    <row r="5" spans="1:15" x14ac:dyDescent="0.25">
      <c r="A5" s="121" t="s">
        <v>48</v>
      </c>
      <c r="B5" s="122">
        <f t="shared" si="0"/>
        <v>4</v>
      </c>
      <c r="C5" s="123">
        <v>4</v>
      </c>
      <c r="D5" s="122">
        <v>2022</v>
      </c>
      <c r="E5" s="135">
        <f>'FS Jimbaran April 2022'!P15</f>
        <v>14980.000000000104</v>
      </c>
      <c r="F5" s="133">
        <f>'FS Jimbaran April 2022'!O15/'FS Jimbaran April 2022'!P15</f>
        <v>1123.5931241655592</v>
      </c>
      <c r="G5" s="135">
        <f>'FS Jimbaran April 2022'!AG15</f>
        <v>110.28664000000043</v>
      </c>
      <c r="H5" s="133">
        <f>'FS Jimbaran April 2022'!AH15/'FS Jimbaran April 2022'!AG15</f>
        <v>19340</v>
      </c>
      <c r="I5" s="135">
        <f>'FS Jimbaran April 2022'!AJ15</f>
        <v>302.5</v>
      </c>
      <c r="J5" s="125">
        <f>'FS Jimbaran April 2022'!AK15/'FS Jimbaran April 2022'!AJ15</f>
        <v>12000</v>
      </c>
      <c r="K5" s="135">
        <f>'FS Jimbaran April 2022'!V15</f>
        <v>819.69</v>
      </c>
      <c r="L5" s="133">
        <f>'FS Jimbaran April 2022'!AA15/'FS Jimbaran April 2022'!V15</f>
        <v>6346.4504885993483</v>
      </c>
      <c r="M5" s="135">
        <f>'RNs &amp; Covers April 2022'!B9</f>
        <v>12</v>
      </c>
      <c r="N5" s="135">
        <f>'RNs &amp; Covers April 2022'!C9</f>
        <v>107</v>
      </c>
    </row>
    <row r="6" spans="1:15" x14ac:dyDescent="0.25">
      <c r="A6" s="121" t="s">
        <v>48</v>
      </c>
      <c r="B6" s="122">
        <f t="shared" si="0"/>
        <v>5</v>
      </c>
      <c r="C6" s="123">
        <v>4</v>
      </c>
      <c r="D6" s="122">
        <v>2022</v>
      </c>
      <c r="E6" s="135">
        <f>'FS Jimbaran April 2022'!P16</f>
        <v>15360.00000000044</v>
      </c>
      <c r="F6" s="133">
        <f>'FS Jimbaran April 2022'!O16/'FS Jimbaran April 2022'!P16</f>
        <v>1125.4666796874953</v>
      </c>
      <c r="G6" s="135">
        <f>'FS Jimbaran April 2022'!AG16</f>
        <v>102.0660800000005</v>
      </c>
      <c r="H6" s="133">
        <f>'FS Jimbaran April 2022'!AH16/'FS Jimbaran April 2022'!AG16</f>
        <v>18898.325351576157</v>
      </c>
      <c r="I6" s="135">
        <f>'FS Jimbaran April 2022'!AJ16</f>
        <v>259.40000000000873</v>
      </c>
      <c r="J6" s="125">
        <f>'FS Jimbaran April 2022'!AK16/'FS Jimbaran April 2022'!AJ16</f>
        <v>12000</v>
      </c>
      <c r="K6" s="135">
        <f>'FS Jimbaran April 2022'!V16</f>
        <v>827.7</v>
      </c>
      <c r="L6" s="133">
        <f>'FS Jimbaran April 2022'!AA16/'FS Jimbaran April 2022'!V16</f>
        <v>6340.8740215053758</v>
      </c>
      <c r="M6" s="135">
        <f>'RNs &amp; Covers April 2022'!B10</f>
        <v>15</v>
      </c>
      <c r="N6" s="135">
        <f>'RNs &amp; Covers April 2022'!C10</f>
        <v>105</v>
      </c>
    </row>
    <row r="7" spans="1:15" x14ac:dyDescent="0.25">
      <c r="A7" s="121" t="s">
        <v>48</v>
      </c>
      <c r="B7" s="122">
        <f t="shared" si="0"/>
        <v>6</v>
      </c>
      <c r="C7" s="123">
        <v>4</v>
      </c>
      <c r="D7" s="122">
        <v>2022</v>
      </c>
      <c r="E7" s="135">
        <f>'FS Jimbaran April 2022'!P17</f>
        <v>14840.000000000033</v>
      </c>
      <c r="F7" s="133">
        <f>'FS Jimbaran April 2022'!O17/'FS Jimbaran April 2022'!P17</f>
        <v>1125.8174797843678</v>
      </c>
      <c r="G7" s="135">
        <f>'FS Jimbaran April 2022'!AG17</f>
        <v>101.13620000000036</v>
      </c>
      <c r="H7" s="133">
        <f>'FS Jimbaran April 2022'!AH17/'FS Jimbaran April 2022'!AG17</f>
        <v>18448.52889469844</v>
      </c>
      <c r="I7" s="135">
        <f>'FS Jimbaran April 2022'!AJ17</f>
        <v>375.5</v>
      </c>
      <c r="J7" s="125">
        <f>'FS Jimbaran April 2022'!AK17/'FS Jimbaran April 2022'!AJ17</f>
        <v>12000</v>
      </c>
      <c r="K7" s="135">
        <f>'FS Jimbaran April 2022'!V17</f>
        <v>758.28</v>
      </c>
      <c r="L7" s="133">
        <f>'FS Jimbaran April 2022'!AA17/'FS Jimbaran April 2022'!V17</f>
        <v>6548.8428638497653</v>
      </c>
      <c r="M7" s="135">
        <f>'RNs &amp; Covers April 2022'!B11</f>
        <v>16</v>
      </c>
      <c r="N7" s="135">
        <f>'RNs &amp; Covers April 2022'!C11</f>
        <v>123</v>
      </c>
    </row>
    <row r="8" spans="1:15" x14ac:dyDescent="0.25">
      <c r="A8" s="121" t="s">
        <v>48</v>
      </c>
      <c r="B8" s="122">
        <f t="shared" si="0"/>
        <v>7</v>
      </c>
      <c r="C8" s="123">
        <v>4</v>
      </c>
      <c r="D8" s="122">
        <v>2022</v>
      </c>
      <c r="E8" s="135">
        <f>'FS Jimbaran April 2022'!P18</f>
        <v>14999.999999999689</v>
      </c>
      <c r="F8" s="133">
        <f>'FS Jimbaran April 2022'!O18/'FS Jimbaran April 2022'!P18</f>
        <v>1127.6191599999977</v>
      </c>
      <c r="G8" s="135">
        <f>'FS Jimbaran April 2022'!AG18</f>
        <v>95.02051999999874</v>
      </c>
      <c r="H8" s="133">
        <f>'FS Jimbaran April 2022'!AH18/'FS Jimbaran April 2022'!AG18</f>
        <v>19340</v>
      </c>
      <c r="I8" s="135">
        <f>'FS Jimbaran April 2022'!AJ18</f>
        <v>333.59999999999997</v>
      </c>
      <c r="J8" s="125">
        <f>'FS Jimbaran April 2022'!AK18/'FS Jimbaran April 2022'!AJ18</f>
        <v>12000</v>
      </c>
      <c r="K8" s="135">
        <f>'FS Jimbaran April 2022'!V18</f>
        <v>756.5</v>
      </c>
      <c r="L8" s="133">
        <f>'FS Jimbaran April 2022'!AA18/'FS Jimbaran April 2022'!V18</f>
        <v>6554.2632470588251</v>
      </c>
      <c r="M8" s="135">
        <f>'RNs &amp; Covers April 2022'!B12</f>
        <v>19</v>
      </c>
      <c r="N8" s="135">
        <f>'RNs &amp; Covers April 2022'!C12</f>
        <v>95</v>
      </c>
    </row>
    <row r="9" spans="1:15" x14ac:dyDescent="0.25">
      <c r="A9" s="121" t="s">
        <v>48</v>
      </c>
      <c r="B9" s="122">
        <f t="shared" si="0"/>
        <v>8</v>
      </c>
      <c r="C9" s="123">
        <v>4</v>
      </c>
      <c r="D9" s="122">
        <v>2022</v>
      </c>
      <c r="E9" s="135">
        <f>'FS Jimbaran April 2022'!P19</f>
        <v>17039.99999999968</v>
      </c>
      <c r="F9" s="133">
        <f>'FS Jimbaran April 2022'!O19/'FS Jimbaran April 2022'!P19</f>
        <v>1137.291302816906</v>
      </c>
      <c r="G9" s="135">
        <f>'FS Jimbaran April 2022'!AG19</f>
        <v>95.78240000000072</v>
      </c>
      <c r="H9" s="133">
        <f>'FS Jimbaran April 2022'!AH19/'FS Jimbaran April 2022'!AG19</f>
        <v>18869.349859681948</v>
      </c>
      <c r="I9" s="135">
        <f>'FS Jimbaran April 2022'!AJ19</f>
        <v>362.27</v>
      </c>
      <c r="J9" s="125">
        <f>'FS Jimbaran April 2022'!AK19/'FS Jimbaran April 2022'!AJ19</f>
        <v>12000</v>
      </c>
      <c r="K9" s="135">
        <f>'FS Jimbaran April 2022'!V19</f>
        <v>824.14</v>
      </c>
      <c r="L9" s="133">
        <f>'FS Jimbaran April 2022'!AA19/'FS Jimbaran April 2022'!V19</f>
        <v>6364.7488552915775</v>
      </c>
      <c r="M9" s="135">
        <f>'RNs &amp; Covers April 2022'!B13</f>
        <v>24</v>
      </c>
      <c r="N9" s="135">
        <f>'RNs &amp; Covers April 2022'!C13</f>
        <v>190</v>
      </c>
      <c r="O9" s="126" t="s">
        <v>45</v>
      </c>
    </row>
    <row r="10" spans="1:15" x14ac:dyDescent="0.25">
      <c r="A10" s="121" t="s">
        <v>48</v>
      </c>
      <c r="B10" s="122">
        <f t="shared" si="0"/>
        <v>9</v>
      </c>
      <c r="C10" s="123">
        <v>4</v>
      </c>
      <c r="D10" s="122">
        <v>2022</v>
      </c>
      <c r="E10" s="135">
        <f>'FS Jimbaran April 2022'!P20</f>
        <v>16059.99999999986</v>
      </c>
      <c r="F10" s="133">
        <f>'FS Jimbaran April 2022'!O20/'FS Jimbaran April 2022'!P20</f>
        <v>1121.5575466998725</v>
      </c>
      <c r="G10" s="135">
        <f>'FS Jimbaran April 2022'!AG20</f>
        <v>84.346320000000205</v>
      </c>
      <c r="H10" s="133">
        <f>'FS Jimbaran April 2022'!AH20/'FS Jimbaran April 2022'!AG20</f>
        <v>19340</v>
      </c>
      <c r="I10" s="135">
        <f>'FS Jimbaran April 2022'!AJ20</f>
        <v>323.79999999998847</v>
      </c>
      <c r="J10" s="125">
        <f>'FS Jimbaran April 2022'!AK20/'FS Jimbaran April 2022'!AJ20</f>
        <v>12000</v>
      </c>
      <c r="K10" s="135">
        <f>'FS Jimbaran April 2022'!V20</f>
        <v>827.69999999999993</v>
      </c>
      <c r="L10" s="133">
        <f>'FS Jimbaran April 2022'!AA20/'FS Jimbaran April 2022'!V20</f>
        <v>6370.3908387096772</v>
      </c>
      <c r="M10" s="135">
        <f>'RNs &amp; Covers April 2022'!B14</f>
        <v>22</v>
      </c>
      <c r="N10" s="135">
        <f>'RNs &amp; Covers April 2022'!C14</f>
        <v>207</v>
      </c>
    </row>
    <row r="11" spans="1:15" x14ac:dyDescent="0.25">
      <c r="A11" s="121" t="s">
        <v>48</v>
      </c>
      <c r="B11" s="122">
        <f t="shared" si="0"/>
        <v>10</v>
      </c>
      <c r="C11" s="123">
        <v>4</v>
      </c>
      <c r="D11" s="122">
        <v>2022</v>
      </c>
      <c r="E11" s="135">
        <f>'FS Jimbaran April 2022'!P21</f>
        <v>16199.99999999996</v>
      </c>
      <c r="F11" s="133">
        <f>'FS Jimbaran April 2022'!O21/'FS Jimbaran April 2022'!P21</f>
        <v>1129.7674444444438</v>
      </c>
      <c r="G11" s="135">
        <f>'FS Jimbaran April 2022'!AG21</f>
        <v>112.34091999999947</v>
      </c>
      <c r="H11" s="133">
        <f>'FS Jimbaran April 2022'!AH21/'FS Jimbaran April 2022'!AG21</f>
        <v>19340</v>
      </c>
      <c r="I11" s="135">
        <f>'FS Jimbaran April 2022'!AJ21</f>
        <v>305.25</v>
      </c>
      <c r="J11" s="125">
        <f>'FS Jimbaran April 2022'!AK21/'FS Jimbaran April 2022'!AJ21</f>
        <v>12000</v>
      </c>
      <c r="K11" s="135">
        <f>'FS Jimbaran April 2022'!V21</f>
        <v>807.23</v>
      </c>
      <c r="L11" s="133">
        <f>'FS Jimbaran April 2022'!AA21/'FS Jimbaran April 2022'!V21</f>
        <v>6394.0173098125688</v>
      </c>
      <c r="M11" s="135">
        <f>'RNs &amp; Covers April 2022'!B15</f>
        <v>22</v>
      </c>
      <c r="N11" s="135">
        <f>'RNs &amp; Covers April 2022'!C15</f>
        <v>245</v>
      </c>
    </row>
    <row r="12" spans="1:15" x14ac:dyDescent="0.25">
      <c r="A12" s="121" t="s">
        <v>48</v>
      </c>
      <c r="B12" s="122">
        <f t="shared" si="0"/>
        <v>11</v>
      </c>
      <c r="C12" s="123">
        <v>4</v>
      </c>
      <c r="D12" s="122">
        <v>2022</v>
      </c>
      <c r="E12" s="135">
        <f>'FS Jimbaran April 2022'!P22</f>
        <v>16160.000000000084</v>
      </c>
      <c r="F12" s="133">
        <f>'FS Jimbaran April 2022'!O22/'FS Jimbaran April 2022'!P22</f>
        <v>1126.154368811882</v>
      </c>
      <c r="G12" s="135">
        <f>'FS Jimbaran April 2022'!AG22</f>
        <v>111.05196000000065</v>
      </c>
      <c r="H12" s="133">
        <f>'FS Jimbaran April 2022'!AH22/'FS Jimbaran April 2022'!AG22</f>
        <v>19339.999999999996</v>
      </c>
      <c r="I12" s="135">
        <f>'FS Jimbaran April 2022'!AJ22</f>
        <v>95.259999999999991</v>
      </c>
      <c r="J12" s="125">
        <f>'FS Jimbaran April 2022'!AK22/'FS Jimbaran April 2022'!AJ22</f>
        <v>12000.000000000002</v>
      </c>
      <c r="K12" s="135">
        <f>'FS Jimbaran April 2022'!V22</f>
        <v>820.58</v>
      </c>
      <c r="L12" s="133">
        <f>'FS Jimbaran April 2022'!AA22/'FS Jimbaran April 2022'!V22</f>
        <v>6359.0579175704988</v>
      </c>
      <c r="M12" s="135">
        <f>'RNs &amp; Covers April 2022'!B16</f>
        <v>25</v>
      </c>
      <c r="N12" s="135">
        <f>'RNs &amp; Covers April 2022'!C16</f>
        <v>188</v>
      </c>
    </row>
    <row r="13" spans="1:15" x14ac:dyDescent="0.25">
      <c r="A13" s="121" t="s">
        <v>48</v>
      </c>
      <c r="B13" s="122">
        <f t="shared" si="0"/>
        <v>12</v>
      </c>
      <c r="C13" s="123">
        <v>4</v>
      </c>
      <c r="D13" s="122">
        <v>2022</v>
      </c>
      <c r="E13" s="135">
        <f>'FS Jimbaran April 2022'!P23</f>
        <v>16480.000000000673</v>
      </c>
      <c r="F13" s="133">
        <f>'FS Jimbaran April 2022'!O23/'FS Jimbaran April 2022'!P23</f>
        <v>1123.1425121359205</v>
      </c>
      <c r="G13" s="135">
        <f>'FS Jimbaran April 2022'!AG23</f>
        <v>126.94879999999962</v>
      </c>
      <c r="H13" s="133">
        <f>'FS Jimbaran April 2022'!AH23/'FS Jimbaran April 2022'!AG23</f>
        <v>17919.584840502626</v>
      </c>
      <c r="I13" s="135">
        <f>'FS Jimbaran April 2022'!AJ23</f>
        <v>378.56999999999994</v>
      </c>
      <c r="J13" s="125">
        <f>'FS Jimbaran April 2022'!AK23/'FS Jimbaran April 2022'!AJ23</f>
        <v>12000</v>
      </c>
      <c r="K13" s="135">
        <f>'FS Jimbaran April 2022'!V23</f>
        <v>778.75</v>
      </c>
      <c r="L13" s="133">
        <f>'FS Jimbaran April 2022'!AA23/'FS Jimbaran April 2022'!V23</f>
        <v>6472.6033600000001</v>
      </c>
      <c r="M13" s="135">
        <f>'RNs &amp; Covers April 2022'!B17</f>
        <v>21</v>
      </c>
      <c r="N13" s="135">
        <f>'RNs &amp; Covers April 2022'!C17</f>
        <v>294</v>
      </c>
    </row>
    <row r="14" spans="1:15" x14ac:dyDescent="0.25">
      <c r="A14" s="121" t="s">
        <v>48</v>
      </c>
      <c r="B14" s="122">
        <f t="shared" si="0"/>
        <v>13</v>
      </c>
      <c r="C14" s="123">
        <v>4</v>
      </c>
      <c r="D14" s="122">
        <v>2022</v>
      </c>
      <c r="E14" s="135">
        <f>'FS Jimbaran April 2022'!P24</f>
        <v>16919.99999999956</v>
      </c>
      <c r="F14" s="133">
        <f>'FS Jimbaran April 2022'!O24/'FS Jimbaran April 2022'!P24</f>
        <v>1130.0531205673742</v>
      </c>
      <c r="G14" s="135">
        <f>'FS Jimbaran April 2022'!AG24</f>
        <v>107.82611999999985</v>
      </c>
      <c r="H14" s="133">
        <f>'FS Jimbaran April 2022'!AH24/'FS Jimbaran April 2022'!AG24</f>
        <v>18921.919482960158</v>
      </c>
      <c r="I14" s="135">
        <f>'FS Jimbaran April 2022'!AJ24</f>
        <v>745.95000000001164</v>
      </c>
      <c r="J14" s="125">
        <f>'FS Jimbaran April 2022'!AK24/'FS Jimbaran April 2022'!AJ24</f>
        <v>12000</v>
      </c>
      <c r="K14" s="135">
        <f>'FS Jimbaran April 2022'!V24</f>
        <v>759.17000000000007</v>
      </c>
      <c r="L14" s="133">
        <f>'FS Jimbaran April 2022'!AA24/'FS Jimbaran April 2022'!V24</f>
        <v>6578.3234935521696</v>
      </c>
      <c r="M14" s="135">
        <f>'RNs &amp; Covers April 2022'!B18</f>
        <v>24</v>
      </c>
      <c r="N14" s="135">
        <f>'RNs &amp; Covers April 2022'!C18</f>
        <v>182</v>
      </c>
    </row>
    <row r="15" spans="1:15" x14ac:dyDescent="0.25">
      <c r="A15" s="121" t="s">
        <v>48</v>
      </c>
      <c r="B15" s="122">
        <f t="shared" si="0"/>
        <v>14</v>
      </c>
      <c r="C15" s="123">
        <v>4</v>
      </c>
      <c r="D15" s="122">
        <v>2022</v>
      </c>
      <c r="E15" s="135">
        <f>'FS Jimbaran April 2022'!P25</f>
        <v>17160.000000000397</v>
      </c>
      <c r="F15" s="133">
        <f>'FS Jimbaran April 2022'!O25/'FS Jimbaran April 2022'!P25</f>
        <v>1125.7166083916093</v>
      </c>
      <c r="G15" s="135">
        <f>'FS Jimbaran April 2022'!AG25</f>
        <v>143.54415999999918</v>
      </c>
      <c r="H15" s="133">
        <f>'FS Jimbaran April 2022'!AH25/'FS Jimbaran April 2022'!AG25</f>
        <v>18083.801210721485</v>
      </c>
      <c r="I15" s="135">
        <f>'FS Jimbaran April 2022'!AJ25</f>
        <v>407.34999999999991</v>
      </c>
      <c r="J15" s="125">
        <f>'FS Jimbaran April 2022'!AK25/'FS Jimbaran April 2022'!AJ25</f>
        <v>12000</v>
      </c>
      <c r="K15" s="135">
        <f>'FS Jimbaran April 2022'!V25</f>
        <v>830.37</v>
      </c>
      <c r="L15" s="133">
        <f>'FS Jimbaran April 2022'!AA25/'FS Jimbaran April 2022'!V25</f>
        <v>6334.1354555198286</v>
      </c>
      <c r="M15" s="135">
        <f>'RNs &amp; Covers April 2022'!B19</f>
        <v>31</v>
      </c>
      <c r="N15" s="135">
        <f>'RNs &amp; Covers April 2022'!C19</f>
        <v>226</v>
      </c>
    </row>
    <row r="16" spans="1:15" x14ac:dyDescent="0.25">
      <c r="A16" s="121" t="s">
        <v>48</v>
      </c>
      <c r="B16" s="122">
        <f t="shared" si="0"/>
        <v>15</v>
      </c>
      <c r="C16" s="123">
        <v>4</v>
      </c>
      <c r="D16" s="122">
        <v>2022</v>
      </c>
      <c r="E16" s="135">
        <f>'FS Jimbaran April 2022'!P26</f>
        <v>18039.999999999738</v>
      </c>
      <c r="F16" s="133">
        <f>'FS Jimbaran April 2022'!O26/'FS Jimbaran April 2022'!P26</f>
        <v>1129.9418181818219</v>
      </c>
      <c r="G16" s="135">
        <f>'FS Jimbaran April 2022'!AG26</f>
        <v>115.15708000000051</v>
      </c>
      <c r="H16" s="133">
        <f>'FS Jimbaran April 2022'!AH26/'FS Jimbaran April 2022'!AG26</f>
        <v>18948.534707549032</v>
      </c>
      <c r="I16" s="135">
        <f>'FS Jimbaran April 2022'!AJ26</f>
        <v>343.07999999999993</v>
      </c>
      <c r="J16" s="125">
        <f>'FS Jimbaran April 2022'!AK26/'FS Jimbaran April 2022'!AJ26</f>
        <v>12000</v>
      </c>
      <c r="K16" s="135">
        <f>'FS Jimbaran April 2022'!V26</f>
        <v>825.03</v>
      </c>
      <c r="L16" s="133">
        <f>'FS Jimbaran April 2022'!AA26/'FS Jimbaran April 2022'!V26</f>
        <v>6347.6562028047474</v>
      </c>
      <c r="M16" s="135">
        <f>'RNs &amp; Covers April 2022'!B20</f>
        <v>40</v>
      </c>
      <c r="N16" s="135">
        <f>'RNs &amp; Covers April 2022'!C20</f>
        <v>307</v>
      </c>
    </row>
    <row r="17" spans="1:14" x14ac:dyDescent="0.25">
      <c r="A17" s="121" t="s">
        <v>48</v>
      </c>
      <c r="B17" s="122">
        <f t="shared" si="0"/>
        <v>16</v>
      </c>
      <c r="C17" s="123">
        <v>4</v>
      </c>
      <c r="D17" s="122">
        <v>2022</v>
      </c>
      <c r="E17" s="135">
        <f>'FS Jimbaran April 2022'!P27</f>
        <v>17739.999999999527</v>
      </c>
      <c r="F17" s="133">
        <f>'FS Jimbaran April 2022'!O27/'FS Jimbaran April 2022'!P27</f>
        <v>1125.1116459977418</v>
      </c>
      <c r="G17" s="135">
        <f>'FS Jimbaran April 2022'!AG27</f>
        <v>107.9872399999997</v>
      </c>
      <c r="H17" s="133">
        <f>'FS Jimbaran April 2022'!AH27/'FS Jimbaran April 2022'!AG27</f>
        <v>18922.543270853112</v>
      </c>
      <c r="I17" s="135">
        <f>'FS Jimbaran April 2022'!AJ27</f>
        <v>257.02</v>
      </c>
      <c r="J17" s="125">
        <f>'FS Jimbaran April 2022'!AK27/'FS Jimbaran April 2022'!AJ27</f>
        <v>12000</v>
      </c>
      <c r="K17" s="135">
        <f>'FS Jimbaran April 2022'!V27</f>
        <v>728.02</v>
      </c>
      <c r="L17" s="133">
        <f>'FS Jimbaran April 2022'!AA27/'FS Jimbaran April 2022'!V27</f>
        <v>6594.2567726161378</v>
      </c>
      <c r="M17" s="135">
        <f>'RNs &amp; Covers April 2022'!B21</f>
        <v>40</v>
      </c>
      <c r="N17" s="135">
        <f>'RNs &amp; Covers April 2022'!C21</f>
        <v>330</v>
      </c>
    </row>
    <row r="18" spans="1:14" x14ac:dyDescent="0.25">
      <c r="A18" s="121" t="s">
        <v>48</v>
      </c>
      <c r="B18" s="122">
        <f t="shared" si="0"/>
        <v>17</v>
      </c>
      <c r="C18" s="123">
        <v>4</v>
      </c>
      <c r="D18" s="122">
        <v>2022</v>
      </c>
      <c r="E18" s="135">
        <f>'FS Jimbaran April 2022'!P28</f>
        <v>18300.000000000862</v>
      </c>
      <c r="F18" s="133">
        <f>'FS Jimbaran April 2022'!O28/'FS Jimbaran April 2022'!P28</f>
        <v>1134.263999999996</v>
      </c>
      <c r="G18" s="135">
        <f>'FS Jimbaran April 2022'!AG28</f>
        <v>137.75416000000101</v>
      </c>
      <c r="H18" s="133">
        <f>'FS Jimbaran April 2022'!AH28/'FS Jimbaran April 2022'!AG28</f>
        <v>19012.750354689837</v>
      </c>
      <c r="I18" s="135">
        <f>'FS Jimbaran April 2022'!AJ28</f>
        <v>351.15000000000009</v>
      </c>
      <c r="J18" s="125">
        <f>'FS Jimbaran April 2022'!AK28/'FS Jimbaran April 2022'!AJ28</f>
        <v>12000</v>
      </c>
      <c r="K18" s="135">
        <f>'FS Jimbaran April 2022'!V28</f>
        <v>729.8</v>
      </c>
      <c r="L18" s="133">
        <f>'FS Jimbaran April 2022'!AA28/'FS Jimbaran April 2022'!V28</f>
        <v>6622.0037073170743</v>
      </c>
      <c r="M18" s="135">
        <f>'RNs &amp; Covers April 2022'!B22</f>
        <v>35</v>
      </c>
      <c r="N18" s="135">
        <f>'RNs &amp; Covers April 2022'!C22</f>
        <v>303</v>
      </c>
    </row>
    <row r="19" spans="1:14" x14ac:dyDescent="0.25">
      <c r="A19" s="121" t="s">
        <v>48</v>
      </c>
      <c r="B19" s="122">
        <f t="shared" si="0"/>
        <v>18</v>
      </c>
      <c r="C19" s="123">
        <v>4</v>
      </c>
      <c r="D19" s="122">
        <v>2022</v>
      </c>
      <c r="E19" s="135">
        <f>'FS Jimbaran April 2022'!P29</f>
        <v>17979.999999999451</v>
      </c>
      <c r="F19" s="133">
        <f>'FS Jimbaran April 2022'!O29/'FS Jimbaran April 2022'!P29</f>
        <v>1131.9842602892172</v>
      </c>
      <c r="G19" s="135">
        <f>'FS Jimbaran April 2022'!AG29</f>
        <v>149.46876000000029</v>
      </c>
      <c r="H19" s="133">
        <f>'FS Jimbaran April 2022'!AH29/'FS Jimbaran April 2022'!AG29</f>
        <v>18435.195544540544</v>
      </c>
      <c r="I19" s="135">
        <f>'FS Jimbaran April 2022'!AJ29</f>
        <v>366.00000000000045</v>
      </c>
      <c r="J19" s="125">
        <f>'FS Jimbaran April 2022'!AK29/'FS Jimbaran April 2022'!AJ29</f>
        <v>12000</v>
      </c>
      <c r="K19" s="135">
        <f>'FS Jimbaran April 2022'!V29</f>
        <v>777.86</v>
      </c>
      <c r="L19" s="133">
        <f>'FS Jimbaran April 2022'!AA29/'FS Jimbaran April 2022'!V29</f>
        <v>6475.1518993135023</v>
      </c>
      <c r="M19" s="135">
        <f>'RNs &amp; Covers April 2022'!B23</f>
        <v>27</v>
      </c>
      <c r="N19" s="135">
        <f>'RNs &amp; Covers April 2022'!C23</f>
        <v>223</v>
      </c>
    </row>
    <row r="20" spans="1:14" x14ac:dyDescent="0.25">
      <c r="A20" s="121" t="s">
        <v>48</v>
      </c>
      <c r="B20" s="122">
        <f t="shared" si="0"/>
        <v>19</v>
      </c>
      <c r="C20" s="123">
        <v>4</v>
      </c>
      <c r="D20" s="122">
        <v>2022</v>
      </c>
      <c r="E20" s="135">
        <f>'FS Jimbaran April 2022'!P30</f>
        <v>16200.000000000016</v>
      </c>
      <c r="F20" s="133">
        <f>'FS Jimbaran April 2022'!O30/'FS Jimbaran April 2022'!P30</f>
        <v>1127.8493333333286</v>
      </c>
      <c r="G20" s="135">
        <f>'FS Jimbaran April 2022'!AG30</f>
        <v>146.33035999999953</v>
      </c>
      <c r="H20" s="133">
        <f>'FS Jimbaran April 2022'!AH30/'FS Jimbaran April 2022'!AG30</f>
        <v>18723.859918064853</v>
      </c>
      <c r="I20" s="135">
        <f>'FS Jimbaran April 2022'!AJ30</f>
        <v>436.78999999999996</v>
      </c>
      <c r="J20" s="125">
        <f>'FS Jimbaran April 2022'!AK30/'FS Jimbaran April 2022'!AJ30</f>
        <v>12000.000000000002</v>
      </c>
      <c r="K20" s="135">
        <f>'FS Jimbaran April 2022'!V30</f>
        <v>822.36</v>
      </c>
      <c r="L20" s="133">
        <f>'FS Jimbaran April 2022'!AA30/'FS Jimbaran April 2022'!V30</f>
        <v>6369.336666666668</v>
      </c>
      <c r="M20" s="135">
        <f>'RNs &amp; Covers April 2022'!B24</f>
        <v>22</v>
      </c>
      <c r="N20" s="135">
        <f>'RNs &amp; Covers April 2022'!C24</f>
        <v>135</v>
      </c>
    </row>
    <row r="21" spans="1:14" x14ac:dyDescent="0.25">
      <c r="A21" s="121" t="s">
        <v>48</v>
      </c>
      <c r="B21" s="122">
        <f t="shared" si="0"/>
        <v>20</v>
      </c>
      <c r="C21" s="123">
        <v>4</v>
      </c>
      <c r="D21" s="122">
        <v>2022</v>
      </c>
      <c r="E21" s="135">
        <f>'FS Jimbaran April 2022'!P31</f>
        <v>16500.000000000229</v>
      </c>
      <c r="F21" s="133">
        <f>'FS Jimbaran April 2022'!O31/'FS Jimbaran April 2022'!P31</f>
        <v>1128.0585818181858</v>
      </c>
      <c r="G21" s="135">
        <f>'FS Jimbaran April 2022'!AG31</f>
        <v>97.474159999999188</v>
      </c>
      <c r="H21" s="133">
        <f>'FS Jimbaran April 2022'!AH31/'FS Jimbaran April 2022'!AG31</f>
        <v>18877.518456173406</v>
      </c>
      <c r="I21" s="135">
        <f>'FS Jimbaran April 2022'!AJ31</f>
        <v>378.55999999999949</v>
      </c>
      <c r="J21" s="125">
        <f>'FS Jimbaran April 2022'!AK31/'FS Jimbaran April 2022'!AJ31</f>
        <v>11999.999999999998</v>
      </c>
      <c r="K21" s="135">
        <f>'FS Jimbaran April 2022'!V31</f>
        <v>853.51</v>
      </c>
      <c r="L21" s="133">
        <f>'FS Jimbaran April 2022'!AA31/'FS Jimbaran April 2022'!V31</f>
        <v>6263.1884671532853</v>
      </c>
      <c r="M21" s="135">
        <f>'RNs &amp; Covers April 2022'!B25</f>
        <v>26</v>
      </c>
      <c r="N21" s="135">
        <f>'RNs &amp; Covers April 2022'!C25</f>
        <v>147</v>
      </c>
    </row>
    <row r="22" spans="1:14" x14ac:dyDescent="0.25">
      <c r="A22" s="121" t="s">
        <v>48</v>
      </c>
      <c r="B22" s="122">
        <f t="shared" si="0"/>
        <v>21</v>
      </c>
      <c r="C22" s="123">
        <v>4</v>
      </c>
      <c r="D22" s="122">
        <v>2022</v>
      </c>
      <c r="E22" s="135">
        <f>'FS Jimbaran April 2022'!P32</f>
        <v>17500.000000000196</v>
      </c>
      <c r="F22" s="133">
        <f>'FS Jimbaran April 2022'!O32/'FS Jimbaran April 2022'!P32</f>
        <v>1134.6230057142814</v>
      </c>
      <c r="G22" s="135">
        <f>'FS Jimbaran April 2022'!AG32</f>
        <v>118.18152000000057</v>
      </c>
      <c r="H22" s="133">
        <f>'FS Jimbaran April 2022'!AH32/'FS Jimbaran April 2022'!AG32</f>
        <v>19340</v>
      </c>
      <c r="I22" s="135">
        <f>'FS Jimbaran April 2022'!AJ32</f>
        <v>349.77999999999975</v>
      </c>
      <c r="J22" s="125">
        <f>'FS Jimbaran April 2022'!AK32/'FS Jimbaran April 2022'!AJ32</f>
        <v>12000</v>
      </c>
      <c r="K22" s="135">
        <f>'FS Jimbaran April 2022'!V32</f>
        <v>712.89</v>
      </c>
      <c r="L22" s="133">
        <f>'FS Jimbaran April 2022'!AA32/'FS Jimbaran April 2022'!V32</f>
        <v>4690.6960049937588</v>
      </c>
      <c r="M22" s="135">
        <f>'RNs &amp; Covers April 2022'!B26</f>
        <v>21</v>
      </c>
      <c r="N22" s="135">
        <f>'RNs &amp; Covers April 2022'!C26</f>
        <v>173</v>
      </c>
    </row>
    <row r="23" spans="1:14" x14ac:dyDescent="0.25">
      <c r="A23" s="121" t="s">
        <v>48</v>
      </c>
      <c r="B23" s="122">
        <f t="shared" si="0"/>
        <v>22</v>
      </c>
      <c r="C23" s="123">
        <v>4</v>
      </c>
      <c r="D23" s="122">
        <v>2022</v>
      </c>
      <c r="E23" s="135">
        <f>'FS Jimbaran April 2022'!P33</f>
        <v>17600.000000000109</v>
      </c>
      <c r="F23" s="133">
        <f>'FS Jimbaran April 2022'!O33/'FS Jimbaran April 2022'!P33</f>
        <v>1131.7073522727253</v>
      </c>
      <c r="G23" s="135">
        <f>'FS Jimbaran April 2022'!AG33</f>
        <v>130.46003999999931</v>
      </c>
      <c r="H23" s="133">
        <f>'FS Jimbaran April 2022'!AH33/'FS Jimbaran April 2022'!AG33</f>
        <v>18648.907156551537</v>
      </c>
      <c r="I23" s="135">
        <f>'FS Jimbaran April 2022'!AJ33</f>
        <v>380.74000000000069</v>
      </c>
      <c r="J23" s="125">
        <f>'FS Jimbaran April 2022'!AK33/'FS Jimbaran April 2022'!AJ33</f>
        <v>12000</v>
      </c>
      <c r="K23" s="135">
        <f>'FS Jimbaran April 2022'!V33</f>
        <v>825.03000000000009</v>
      </c>
      <c r="L23" s="133">
        <f>'FS Jimbaran April 2022'!AA33/'FS Jimbaran April 2022'!V33</f>
        <v>6318.0438619201732</v>
      </c>
      <c r="M23" s="135">
        <f>'RNs &amp; Covers April 2022'!B27</f>
        <v>19</v>
      </c>
      <c r="N23" s="135">
        <f>'RNs &amp; Covers April 2022'!C27</f>
        <v>196</v>
      </c>
    </row>
    <row r="24" spans="1:14" x14ac:dyDescent="0.25">
      <c r="A24" s="121" t="s">
        <v>48</v>
      </c>
      <c r="B24" s="122">
        <f t="shared" si="0"/>
        <v>23</v>
      </c>
      <c r="C24" s="123">
        <v>4</v>
      </c>
      <c r="D24" s="122">
        <v>2022</v>
      </c>
      <c r="E24" s="135">
        <f>'FS Jimbaran April 2022'!P34</f>
        <v>17499.999999999516</v>
      </c>
      <c r="F24" s="133">
        <f>'FS Jimbaran April 2022'!O34/'FS Jimbaran April 2022'!P34</f>
        <v>1132.8473828571507</v>
      </c>
      <c r="G24" s="135">
        <f>'FS Jimbaran April 2022'!AG34</f>
        <v>112.74028000000087</v>
      </c>
      <c r="H24" s="133">
        <f>'FS Jimbaran April 2022'!AH34/'FS Jimbaran April 2022'!AG34</f>
        <v>18940.142912542</v>
      </c>
      <c r="I24" s="135">
        <f>'FS Jimbaran April 2022'!AJ34</f>
        <v>483.75999999999931</v>
      </c>
      <c r="J24" s="125">
        <f>'FS Jimbaran April 2022'!AK34/'FS Jimbaran April 2022'!AJ34</f>
        <v>12000</v>
      </c>
      <c r="K24" s="135">
        <f>'FS Jimbaran April 2022'!V34</f>
        <v>738.7</v>
      </c>
      <c r="L24" s="133">
        <f>'FS Jimbaran April 2022'!AA34/'FS Jimbaran April 2022'!V34</f>
        <v>6593.3672771084339</v>
      </c>
      <c r="M24" s="135">
        <f>'RNs &amp; Covers April 2022'!B28</f>
        <v>14</v>
      </c>
      <c r="N24" s="135">
        <f>'RNs &amp; Covers April 2022'!C28</f>
        <v>187</v>
      </c>
    </row>
    <row r="25" spans="1:14" x14ac:dyDescent="0.25">
      <c r="A25" s="121" t="s">
        <v>48</v>
      </c>
      <c r="B25" s="122">
        <f t="shared" si="0"/>
        <v>24</v>
      </c>
      <c r="C25" s="123">
        <v>4</v>
      </c>
      <c r="D25" s="122">
        <v>2022</v>
      </c>
      <c r="E25" s="135">
        <f>'FS Jimbaran April 2022'!P35</f>
        <v>18240.000000000091</v>
      </c>
      <c r="F25" s="133">
        <f>'FS Jimbaran April 2022'!O35/'FS Jimbaran April 2022'!P35</f>
        <v>1132.8843749999976</v>
      </c>
      <c r="G25" s="135">
        <f>'FS Jimbaran April 2022'!AG35</f>
        <v>133.15879999999962</v>
      </c>
      <c r="H25" s="133">
        <f>'FS Jimbaran April 2022'!AH35/'FS Jimbaran April 2022'!AG35</f>
        <v>18662.913694025476</v>
      </c>
      <c r="I25" s="135">
        <f>'FS Jimbaran April 2022'!AJ35</f>
        <v>265.8100000000004</v>
      </c>
      <c r="J25" s="125">
        <f>'FS Jimbaran April 2022'!AK35/'FS Jimbaran April 2022'!AJ35</f>
        <v>12000</v>
      </c>
      <c r="K25" s="135">
        <f>'FS Jimbaran April 2022'!V35</f>
        <v>673.73</v>
      </c>
      <c r="L25" s="133">
        <f>'FS Jimbaran April 2022'!AA35/'FS Jimbaran April 2022'!V35</f>
        <v>6801.679498018495</v>
      </c>
      <c r="M25" s="135">
        <f>'RNs &amp; Covers April 2022'!B29</f>
        <v>10</v>
      </c>
      <c r="N25" s="135">
        <f>'RNs &amp; Covers April 2022'!C29</f>
        <v>185</v>
      </c>
    </row>
    <row r="26" spans="1:14" x14ac:dyDescent="0.25">
      <c r="A26" s="121" t="s">
        <v>48</v>
      </c>
      <c r="B26" s="122">
        <f>B25+1</f>
        <v>25</v>
      </c>
      <c r="C26" s="123">
        <v>4</v>
      </c>
      <c r="D26" s="122">
        <v>2022</v>
      </c>
      <c r="E26" s="135">
        <f>'FS Jimbaran April 2022'!P36</f>
        <v>15640.0000000001</v>
      </c>
      <c r="F26" s="133">
        <f>'FS Jimbaran April 2022'!O36/'FS Jimbaran April 2022'!P36</f>
        <v>1143.0666751918154</v>
      </c>
      <c r="G26" s="135">
        <f>'FS Jimbaran April 2022'!AG36</f>
        <v>260.15761200003806</v>
      </c>
      <c r="H26" s="133">
        <f>'FS Jimbaran April 2022'!AH36/'FS Jimbaran April 2022'!AG36</f>
        <v>39295.215408776916</v>
      </c>
      <c r="I26" s="135">
        <f>'FS Jimbaran April 2022'!AJ36</f>
        <v>4287.1099999999769</v>
      </c>
      <c r="J26" s="125">
        <f>'FS Jimbaran April 2022'!AK36/'FS Jimbaran April 2022'!AJ36</f>
        <v>12000</v>
      </c>
      <c r="K26" s="135">
        <f>'FS Jimbaran April 2022'!V36</f>
        <v>799.22</v>
      </c>
      <c r="L26" s="133">
        <f>'FS Jimbaran April 2022'!AA36/'FS Jimbaran April 2022'!V36</f>
        <v>6384.9848997772824</v>
      </c>
      <c r="M26" s="135">
        <f>'RNs &amp; Covers April 2022'!B30</f>
        <v>7</v>
      </c>
      <c r="N26" s="135">
        <f>'RNs &amp; Covers April 2022'!C30</f>
        <v>84</v>
      </c>
    </row>
    <row r="27" spans="1:14" x14ac:dyDescent="0.25">
      <c r="A27" s="121" t="s">
        <v>48</v>
      </c>
      <c r="B27" s="122">
        <f t="shared" si="0"/>
        <v>26</v>
      </c>
      <c r="C27" s="123">
        <v>4</v>
      </c>
      <c r="D27" s="122">
        <v>2022</v>
      </c>
      <c r="E27" s="135">
        <f>'FS Jimbaran April 2022'!P37</f>
        <v>18200.000000000015</v>
      </c>
      <c r="F27" s="133">
        <f>'FS Jimbaran April 2022'!O37/'FS Jimbaran April 2022'!P37</f>
        <v>1138.7888901098861</v>
      </c>
      <c r="G27" s="135">
        <f>'FS Jimbaran April 2022'!AG37</f>
        <v>259.43139599996209</v>
      </c>
      <c r="H27" s="133">
        <f>'FS Jimbaran April 2022'!AH37/'FS Jimbaran April 2022'!AG37</f>
        <v>39836.283984036425</v>
      </c>
      <c r="I27" s="135">
        <f>'FS Jimbaran April 2022'!AJ37</f>
        <v>353.34999999999945</v>
      </c>
      <c r="J27" s="125">
        <f>'FS Jimbaran April 2022'!AK37/'FS Jimbaran April 2022'!AJ37</f>
        <v>12000</v>
      </c>
      <c r="K27" s="135">
        <f>'FS Jimbaran April 2022'!V37</f>
        <v>701.32</v>
      </c>
      <c r="L27" s="133">
        <f>'FS Jimbaran April 2022'!AA37/'FS Jimbaran April 2022'!V37</f>
        <v>4367.1054314720814</v>
      </c>
      <c r="M27" s="135">
        <f>'RNs &amp; Covers April 2022'!B31</f>
        <v>10</v>
      </c>
      <c r="N27" s="135">
        <f>'RNs &amp; Covers April 2022'!C31</f>
        <v>120</v>
      </c>
    </row>
    <row r="28" spans="1:14" x14ac:dyDescent="0.25">
      <c r="A28" s="121" t="s">
        <v>48</v>
      </c>
      <c r="B28" s="122">
        <f t="shared" si="0"/>
        <v>27</v>
      </c>
      <c r="C28" s="123">
        <v>4</v>
      </c>
      <c r="D28" s="122">
        <v>2022</v>
      </c>
      <c r="E28" s="135">
        <f>'FS Jimbaran April 2022'!P38</f>
        <v>19579.999999999898</v>
      </c>
      <c r="F28" s="133">
        <f>'FS Jimbaran April 2022'!O38/'FS Jimbaran April 2022'!P38</f>
        <v>1132.057814096022</v>
      </c>
      <c r="G28" s="135">
        <f>'FS Jimbaran April 2022'!AG38</f>
        <v>285.24743600001824</v>
      </c>
      <c r="H28" s="133">
        <f>'FS Jimbaran April 2022'!AH38/'FS Jimbaran April 2022'!AG38</f>
        <v>41574.373271521617</v>
      </c>
      <c r="I28" s="135">
        <f>'FS Jimbaran April 2022'!AJ38</f>
        <v>374.47000000000025</v>
      </c>
      <c r="J28" s="125">
        <f>'FS Jimbaran April 2022'!AK38/'FS Jimbaran April 2022'!AJ38</f>
        <v>12000</v>
      </c>
      <c r="K28" s="135">
        <f>'FS Jimbaran April 2022'!V38</f>
        <v>776.08</v>
      </c>
      <c r="L28" s="133">
        <f>'FS Jimbaran April 2022'!AA38/'FS Jimbaran April 2022'!V38</f>
        <v>5913.6248623853216</v>
      </c>
      <c r="M28" s="135">
        <f>'RNs &amp; Covers April 2022'!B32</f>
        <v>17</v>
      </c>
      <c r="N28" s="135">
        <f>'RNs &amp; Covers April 2022'!C32</f>
        <v>132</v>
      </c>
    </row>
    <row r="29" spans="1:14" x14ac:dyDescent="0.25">
      <c r="A29" s="121" t="s">
        <v>48</v>
      </c>
      <c r="B29" s="122">
        <f t="shared" si="0"/>
        <v>28</v>
      </c>
      <c r="C29" s="123">
        <v>4</v>
      </c>
      <c r="D29" s="122">
        <v>2022</v>
      </c>
      <c r="E29" s="135">
        <f>'FS Jimbaran April 2022'!P39</f>
        <v>20219.999999999658</v>
      </c>
      <c r="F29" s="133">
        <f>'FS Jimbaran April 2022'!O39/'FS Jimbaran April 2022'!P39</f>
        <v>1124.4001483679515</v>
      </c>
      <c r="G29" s="135">
        <f>'FS Jimbaran April 2022'!AG39</f>
        <v>607.88964800001702</v>
      </c>
      <c r="H29" s="133">
        <f>'FS Jimbaran April 2022'!AH39/'FS Jimbaran April 2022'!AG39</f>
        <v>52875.489039465756</v>
      </c>
      <c r="I29" s="135">
        <f>'FS Jimbaran April 2022'!AJ39</f>
        <v>317.19999999999982</v>
      </c>
      <c r="J29" s="125">
        <f>'FS Jimbaran April 2022'!AK39/'FS Jimbaran April 2022'!AJ39</f>
        <v>12000</v>
      </c>
      <c r="K29" s="135">
        <f>'FS Jimbaran April 2022'!V39</f>
        <v>881.99</v>
      </c>
      <c r="L29" s="133">
        <f>'FS Jimbaran April 2022'!AA39/'FS Jimbaran April 2022'!V39</f>
        <v>5921.0263370332996</v>
      </c>
      <c r="M29" s="135">
        <f>'RNs &amp; Covers April 2022'!B33</f>
        <v>27</v>
      </c>
      <c r="N29" s="135">
        <f>'RNs &amp; Covers April 2022'!C33</f>
        <v>183</v>
      </c>
    </row>
    <row r="30" spans="1:14" x14ac:dyDescent="0.25">
      <c r="A30" s="121" t="s">
        <v>48</v>
      </c>
      <c r="B30" s="122">
        <f t="shared" si="0"/>
        <v>29</v>
      </c>
      <c r="C30" s="123">
        <v>4</v>
      </c>
      <c r="D30" s="122">
        <v>2022</v>
      </c>
      <c r="E30" s="135">
        <f>'FS Jimbaran April 2022'!P40</f>
        <v>20600.000000000138</v>
      </c>
      <c r="F30" s="133">
        <f>'FS Jimbaran April 2022'!O40/'FS Jimbaran April 2022'!P40</f>
        <v>1142.3748349514556</v>
      </c>
      <c r="G30" s="135">
        <f>'FS Jimbaran April 2022'!AG40</f>
        <v>615.63951999998221</v>
      </c>
      <c r="H30" s="133">
        <f>'FS Jimbaran April 2022'!AH40/'FS Jimbaran April 2022'!AG40</f>
        <v>53389.194262758385</v>
      </c>
      <c r="I30" s="135">
        <f>'FS Jimbaran April 2022'!AJ40</f>
        <v>336.52000000000044</v>
      </c>
      <c r="J30" s="125">
        <f>'FS Jimbaran April 2022'!AK40/'FS Jimbaran April 2022'!AJ40</f>
        <v>12000</v>
      </c>
      <c r="K30" s="135">
        <f>'FS Jimbaran April 2022'!V40</f>
        <v>798.33</v>
      </c>
      <c r="L30" s="133">
        <f>'FS Jimbaran April 2022'!AA40/'FS Jimbaran April 2022'!V40</f>
        <v>5897.7268896321075</v>
      </c>
      <c r="M30" s="135">
        <f>'RNs &amp; Covers April 2022'!B34</f>
        <v>39</v>
      </c>
      <c r="N30" s="135">
        <f>'RNs &amp; Covers April 2022'!C34</f>
        <v>265</v>
      </c>
    </row>
    <row r="31" spans="1:14" x14ac:dyDescent="0.25">
      <c r="A31" s="121" t="s">
        <v>48</v>
      </c>
      <c r="B31" s="122">
        <f t="shared" si="0"/>
        <v>30</v>
      </c>
      <c r="C31" s="123">
        <v>4</v>
      </c>
      <c r="D31" s="122">
        <v>2022</v>
      </c>
      <c r="E31" s="135">
        <f>'FS Jimbaran April 2022'!P41</f>
        <v>21220.000000000568</v>
      </c>
      <c r="F31" s="133">
        <f>'FS Jimbaran April 2022'!O41/'FS Jimbaran April 2022'!P41</f>
        <v>1130.4743072573037</v>
      </c>
      <c r="G31" s="135">
        <f>'FS Jimbaran April 2022'!AG41</f>
        <v>692.57725999999661</v>
      </c>
      <c r="H31" s="133">
        <f>'FS Jimbaran April 2022'!AH41/'FS Jimbaran April 2022'!AG41</f>
        <v>49348.520352575368</v>
      </c>
      <c r="I31" s="135">
        <f>'FS Jimbaran April 2022'!AJ41</f>
        <v>339.70999999998821</v>
      </c>
      <c r="J31" s="125">
        <f>'FS Jimbaran April 2022'!AK41/'FS Jimbaran April 2022'!AJ41</f>
        <v>12000</v>
      </c>
      <c r="K31" s="135">
        <f>'FS Jimbaran April 2022'!V41</f>
        <v>794.77</v>
      </c>
      <c r="L31" s="133">
        <f>'FS Jimbaran April 2022'!AA41/'FS Jimbaran April 2022'!V41</f>
        <v>6473.8153863381867</v>
      </c>
      <c r="M31" s="135">
        <f>'RNs &amp; Covers April 2022'!B35</f>
        <v>53</v>
      </c>
      <c r="N31" s="135">
        <f>'RNs &amp; Covers April 2022'!C35</f>
        <v>358</v>
      </c>
    </row>
    <row r="32" spans="1:14" x14ac:dyDescent="0.25">
      <c r="L32" s="19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68"/>
  <sheetViews>
    <sheetView tabSelected="1" zoomScale="85" zoomScaleNormal="85" workbookViewId="0">
      <pane xSplit="4" ySplit="10" topLeftCell="Y20" activePane="bottomRight" state="frozen"/>
      <selection pane="topRight" activeCell="E1" sqref="E1"/>
      <selection pane="bottomLeft" activeCell="A11" sqref="A11"/>
      <selection pane="bottomRight" activeCell="AK45" sqref="AK45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7.28515625" style="4" customWidth="1"/>
    <col min="4" max="4" width="7.28515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58" bestFit="1" customWidth="1"/>
    <col min="14" max="14" width="20.42578125" style="62" customWidth="1"/>
    <col min="15" max="15" width="18.85546875" customWidth="1"/>
    <col min="16" max="16" width="15.140625" style="62" customWidth="1"/>
    <col min="17" max="17" width="19.7109375" hidden="1" customWidth="1"/>
    <col min="18" max="18" width="18.140625" style="82" hidden="1" customWidth="1"/>
    <col min="19" max="19" width="24.28515625" hidden="1" customWidth="1"/>
    <col min="20" max="20" width="21.140625" hidden="1" customWidth="1"/>
    <col min="21" max="21" width="18.85546875" hidden="1" customWidth="1"/>
    <col min="22" max="22" width="13.7109375" customWidth="1"/>
    <col min="23" max="23" width="12.140625" customWidth="1"/>
    <col min="24" max="24" width="13.5703125" customWidth="1"/>
    <col min="25" max="25" width="13.28515625" customWidth="1"/>
    <col min="26" max="26" width="13.5703125" customWidth="1"/>
    <col min="27" max="27" width="11.5703125" customWidth="1"/>
    <col min="28" max="28" width="10.5703125" customWidth="1"/>
    <col min="29" max="29" width="13.42578125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1.42578125" bestFit="1" customWidth="1"/>
    <col min="34" max="34" width="19" style="4" customWidth="1"/>
    <col min="35" max="35" width="10.5703125" customWidth="1"/>
    <col min="36" max="36" width="13.28515625" style="82" bestFit="1" customWidth="1"/>
    <col min="37" max="37" width="20.7109375" bestFit="1" customWidth="1"/>
    <col min="38" max="38" width="12.140625" style="38" customWidth="1"/>
    <col min="39" max="39" width="2.28515625" style="15" customWidth="1"/>
  </cols>
  <sheetData>
    <row r="5" spans="1:39" x14ac:dyDescent="0.25">
      <c r="N5" s="136"/>
      <c r="X5" s="137"/>
    </row>
    <row r="6" spans="1:39" s="25" customFormat="1" ht="19.5" thickBot="1" x14ac:dyDescent="0.35">
      <c r="B6" s="25" t="s">
        <v>28</v>
      </c>
      <c r="C6" s="34"/>
      <c r="E6" s="34"/>
      <c r="F6" s="34"/>
      <c r="H6" s="34"/>
      <c r="L6" s="34"/>
      <c r="M6" s="53"/>
      <c r="N6" s="59"/>
      <c r="P6" s="59"/>
      <c r="R6" s="78"/>
      <c r="AD6" s="34"/>
      <c r="AH6" s="34"/>
      <c r="AJ6" s="78"/>
      <c r="AL6" s="35"/>
    </row>
    <row r="7" spans="1:39" s="12" customFormat="1" ht="16.5" thickBot="1" x14ac:dyDescent="0.3">
      <c r="A7" s="30"/>
      <c r="B7" s="201" t="s">
        <v>54</v>
      </c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  <c r="AA7" s="202"/>
      <c r="AB7" s="202"/>
      <c r="AC7" s="202"/>
      <c r="AD7" s="202"/>
      <c r="AE7" s="202"/>
      <c r="AF7" s="202"/>
      <c r="AG7" s="202"/>
      <c r="AH7" s="202"/>
      <c r="AI7" s="202"/>
      <c r="AJ7" s="202"/>
      <c r="AK7" s="202"/>
      <c r="AL7" s="203"/>
      <c r="AM7" s="30"/>
    </row>
    <row r="8" spans="1:39" s="8" customFormat="1" ht="15.75" customHeight="1" thickBot="1" x14ac:dyDescent="0.3">
      <c r="A8" s="26"/>
      <c r="B8" s="204" t="s">
        <v>1</v>
      </c>
      <c r="C8" s="207" t="s">
        <v>2</v>
      </c>
      <c r="D8" s="210" t="s">
        <v>3</v>
      </c>
      <c r="E8" s="212" t="s">
        <v>53</v>
      </c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2"/>
      <c r="U8" s="213"/>
      <c r="V8" s="214" t="s">
        <v>19</v>
      </c>
      <c r="W8" s="215"/>
      <c r="X8" s="215"/>
      <c r="Y8" s="215"/>
      <c r="Z8" s="215"/>
      <c r="AA8" s="215"/>
      <c r="AB8" s="216"/>
      <c r="AC8" s="217" t="s">
        <v>24</v>
      </c>
      <c r="AD8" s="217"/>
      <c r="AE8" s="217"/>
      <c r="AF8" s="217"/>
      <c r="AG8" s="217"/>
      <c r="AH8" s="217"/>
      <c r="AI8" s="217"/>
      <c r="AJ8" s="217"/>
      <c r="AK8" s="217"/>
      <c r="AL8" s="218"/>
      <c r="AM8" s="28"/>
    </row>
    <row r="9" spans="1:39" ht="15" customHeight="1" thickBot="1" x14ac:dyDescent="0.3">
      <c r="A9" s="29"/>
      <c r="B9" s="205"/>
      <c r="C9" s="208"/>
      <c r="D9" s="211"/>
      <c r="E9" s="219" t="s">
        <v>33</v>
      </c>
      <c r="F9" s="220"/>
      <c r="G9" s="220"/>
      <c r="H9" s="220"/>
      <c r="I9" s="221"/>
      <c r="J9" s="222" t="s">
        <v>5</v>
      </c>
      <c r="K9" s="222"/>
      <c r="L9" s="222"/>
      <c r="M9" s="222"/>
      <c r="N9" s="223"/>
      <c r="O9" s="210" t="s">
        <v>12</v>
      </c>
      <c r="P9" s="225" t="s">
        <v>32</v>
      </c>
      <c r="Q9" s="227" t="s">
        <v>50</v>
      </c>
      <c r="R9" s="232" t="s">
        <v>21</v>
      </c>
      <c r="S9" s="234" t="s">
        <v>13</v>
      </c>
      <c r="T9" s="236" t="s">
        <v>18</v>
      </c>
      <c r="U9" s="237"/>
      <c r="V9" s="48"/>
      <c r="W9" s="48" t="s">
        <v>4</v>
      </c>
      <c r="X9" s="48"/>
      <c r="Y9" s="49"/>
      <c r="Z9" s="170"/>
      <c r="AA9" s="238" t="s">
        <v>27</v>
      </c>
      <c r="AB9" s="239"/>
      <c r="AC9" s="217" t="s">
        <v>22</v>
      </c>
      <c r="AD9" s="217"/>
      <c r="AE9" s="217"/>
      <c r="AF9" s="217"/>
      <c r="AG9" s="217"/>
      <c r="AH9" s="217"/>
      <c r="AI9" s="218"/>
      <c r="AJ9" s="229" t="s">
        <v>20</v>
      </c>
      <c r="AK9" s="230"/>
      <c r="AL9" s="231"/>
      <c r="AM9" s="29"/>
    </row>
    <row r="10" spans="1:39" ht="61.5" customHeight="1" thickBot="1" x14ac:dyDescent="0.3">
      <c r="A10" s="27"/>
      <c r="B10" s="206"/>
      <c r="C10" s="209"/>
      <c r="D10" s="211"/>
      <c r="E10" s="87" t="s">
        <v>34</v>
      </c>
      <c r="F10" s="76" t="s">
        <v>6</v>
      </c>
      <c r="G10" s="106" t="s">
        <v>35</v>
      </c>
      <c r="H10" s="18" t="s">
        <v>6</v>
      </c>
      <c r="I10" s="88" t="s">
        <v>14</v>
      </c>
      <c r="J10" s="87" t="s">
        <v>34</v>
      </c>
      <c r="K10" s="77" t="s">
        <v>6</v>
      </c>
      <c r="L10" s="106" t="s">
        <v>35</v>
      </c>
      <c r="M10" s="54" t="s">
        <v>6</v>
      </c>
      <c r="N10" s="85" t="s">
        <v>15</v>
      </c>
      <c r="O10" s="224"/>
      <c r="P10" s="226"/>
      <c r="Q10" s="228"/>
      <c r="R10" s="233"/>
      <c r="S10" s="235"/>
      <c r="T10" s="138" t="s">
        <v>16</v>
      </c>
      <c r="U10" s="23" t="s">
        <v>17</v>
      </c>
      <c r="V10" s="139" t="s">
        <v>8</v>
      </c>
      <c r="W10" s="176" t="s">
        <v>0</v>
      </c>
      <c r="X10" s="176" t="s">
        <v>26</v>
      </c>
      <c r="Y10" s="22" t="s">
        <v>10</v>
      </c>
      <c r="Z10" s="22" t="s">
        <v>30</v>
      </c>
      <c r="AA10" s="22" t="s">
        <v>16</v>
      </c>
      <c r="AB10" s="13" t="s">
        <v>17</v>
      </c>
      <c r="AC10" s="100" t="s">
        <v>7</v>
      </c>
      <c r="AD10" s="44" t="s">
        <v>31</v>
      </c>
      <c r="AE10" s="43" t="s">
        <v>11</v>
      </c>
      <c r="AF10" s="43" t="s">
        <v>9</v>
      </c>
      <c r="AG10" s="43" t="s">
        <v>25</v>
      </c>
      <c r="AH10" s="44" t="s">
        <v>16</v>
      </c>
      <c r="AI10" s="45" t="s">
        <v>17</v>
      </c>
      <c r="AJ10" s="109" t="s">
        <v>23</v>
      </c>
      <c r="AK10" s="43" t="s">
        <v>16</v>
      </c>
      <c r="AL10" s="47" t="s">
        <v>17</v>
      </c>
      <c r="AM10" s="27"/>
    </row>
    <row r="11" spans="1:39" x14ac:dyDescent="0.25">
      <c r="A11" s="27"/>
      <c r="B11" s="51"/>
      <c r="C11" s="89"/>
      <c r="D11" s="173"/>
      <c r="E11" s="20"/>
      <c r="F11" s="83"/>
      <c r="G11" s="19"/>
      <c r="H11" s="20"/>
      <c r="I11" s="90"/>
      <c r="J11" s="84"/>
      <c r="K11" s="19"/>
      <c r="L11" s="20"/>
      <c r="M11" s="55"/>
      <c r="N11" s="86"/>
      <c r="O11" s="50"/>
      <c r="P11" s="91"/>
      <c r="Q11" s="140"/>
      <c r="R11" s="92"/>
      <c r="S11" s="141"/>
      <c r="T11" s="141"/>
      <c r="U11" s="169"/>
      <c r="V11" s="84"/>
      <c r="W11" s="19"/>
      <c r="X11" s="19"/>
      <c r="Y11" s="21"/>
      <c r="Z11" s="21"/>
      <c r="AA11" s="21"/>
      <c r="AB11" s="90">
        <v>14522</v>
      </c>
      <c r="AC11" s="101">
        <v>14373</v>
      </c>
      <c r="AD11" s="41">
        <v>967000</v>
      </c>
      <c r="AE11" s="39">
        <v>967000</v>
      </c>
      <c r="AF11" s="39">
        <v>187000</v>
      </c>
      <c r="AG11" s="39"/>
      <c r="AH11" s="41"/>
      <c r="AI11" s="42"/>
      <c r="AJ11" s="110"/>
      <c r="AK11" s="39">
        <v>12000</v>
      </c>
      <c r="AL11" s="46"/>
      <c r="AM11" s="27"/>
    </row>
    <row r="12" spans="1:39" ht="15" x14ac:dyDescent="0.25">
      <c r="A12" s="33"/>
      <c r="B12" s="52">
        <v>1</v>
      </c>
      <c r="C12" s="174">
        <v>19</v>
      </c>
      <c r="D12" s="175">
        <v>121</v>
      </c>
      <c r="E12" s="181">
        <v>11319.999999999709</v>
      </c>
      <c r="F12" s="178">
        <v>11725029.599999698</v>
      </c>
      <c r="G12" s="178">
        <v>2200.0000000000455</v>
      </c>
      <c r="H12" s="178">
        <v>3418074.0000000708</v>
      </c>
      <c r="I12" s="182">
        <f>F12+H12</f>
        <v>15143103.599999769</v>
      </c>
      <c r="J12" s="181">
        <v>1200.0000000000455</v>
      </c>
      <c r="K12" s="178">
        <v>1242936.000000047</v>
      </c>
      <c r="L12" s="183">
        <v>300.00000000001137</v>
      </c>
      <c r="M12" s="183">
        <v>466101.0000000177</v>
      </c>
      <c r="N12" s="182">
        <f>K12+M12</f>
        <v>1709037.0000000647</v>
      </c>
      <c r="O12" s="179">
        <f>I12+N12</f>
        <v>16852140.599999834</v>
      </c>
      <c r="P12" s="180">
        <f>E12+G12+J12+L12</f>
        <v>15019.999999999811</v>
      </c>
      <c r="Q12" s="107"/>
      <c r="R12" s="154"/>
      <c r="S12" s="164"/>
      <c r="T12" s="163"/>
      <c r="U12" s="162">
        <v>0</v>
      </c>
      <c r="V12" s="142">
        <f>W12+Y12</f>
        <v>650.59</v>
      </c>
      <c r="W12" s="3">
        <v>124.60000000000001</v>
      </c>
      <c r="X12" s="178">
        <v>2239124.3000000003</v>
      </c>
      <c r="Y12" s="31">
        <v>525.99</v>
      </c>
      <c r="Z12" s="177">
        <v>2232922.2282000002</v>
      </c>
      <c r="AA12" s="177">
        <f>X12+Z12</f>
        <v>4472046.5282000005</v>
      </c>
      <c r="AB12" s="102">
        <f>AA12/$AB$11</f>
        <v>307.94976781435065</v>
      </c>
      <c r="AC12" s="196">
        <v>0</v>
      </c>
      <c r="AD12" s="3">
        <v>0</v>
      </c>
      <c r="AE12" s="3">
        <v>99.789672000000451</v>
      </c>
      <c r="AF12" s="3">
        <v>36</v>
      </c>
      <c r="AG12" s="3">
        <f>AC12+AD12+AE12+AF12</f>
        <v>135.78967200000045</v>
      </c>
      <c r="AH12" s="178">
        <f>(($AC$11*4.028)*AC12)+(($AD$11/50)*AD12)+(($AE$11/50)*AE12)+(($AF$11/12)*AF12)</f>
        <v>2490932.2564800088</v>
      </c>
      <c r="AI12" s="40">
        <f>AH12/14522</f>
        <v>171.52818182619535</v>
      </c>
      <c r="AJ12" s="111">
        <v>346.36000000000058</v>
      </c>
      <c r="AK12" s="178">
        <v>4156320.000000007</v>
      </c>
      <c r="AL12" s="36">
        <f>AK12/14522</f>
        <v>286.20851122434976</v>
      </c>
      <c r="AM12" s="7"/>
    </row>
    <row r="13" spans="1:39" ht="15" x14ac:dyDescent="0.25">
      <c r="A13" s="33"/>
      <c r="B13" s="52">
        <v>2</v>
      </c>
      <c r="C13" s="174">
        <v>13</v>
      </c>
      <c r="D13" s="175">
        <v>144</v>
      </c>
      <c r="E13" s="181">
        <v>11000</v>
      </c>
      <c r="F13" s="178">
        <v>11393580</v>
      </c>
      <c r="G13" s="178">
        <v>2199.9999999998181</v>
      </c>
      <c r="H13" s="178">
        <v>3418073.9999997173</v>
      </c>
      <c r="I13" s="182">
        <f t="shared" ref="I13:I41" si="0">F13+H13</f>
        <v>14811653.999999717</v>
      </c>
      <c r="J13" s="181">
        <v>1379.9999999999955</v>
      </c>
      <c r="K13" s="178">
        <v>1429376.3999999953</v>
      </c>
      <c r="L13" s="183">
        <v>379.99999999999545</v>
      </c>
      <c r="M13" s="183">
        <v>590394.59999999299</v>
      </c>
      <c r="N13" s="182">
        <f t="shared" ref="N13:N41" si="1">K13+M13</f>
        <v>2019770.9999999884</v>
      </c>
      <c r="O13" s="179">
        <f t="shared" ref="O13:O41" si="2">I13+N13</f>
        <v>16831424.999999706</v>
      </c>
      <c r="P13" s="180">
        <f t="shared" ref="P13:P41" si="3">E13+G13+J13+L13</f>
        <v>14959.999999999811</v>
      </c>
      <c r="Q13" s="144"/>
      <c r="R13" s="155"/>
      <c r="S13" s="164"/>
      <c r="T13" s="163"/>
      <c r="U13" s="162">
        <v>0</v>
      </c>
      <c r="V13" s="142">
        <f t="shared" ref="V13:V41" si="4">W13+Y13</f>
        <v>816.13</v>
      </c>
      <c r="W13" s="3">
        <v>128.16</v>
      </c>
      <c r="X13" s="178">
        <v>2303099.2799999998</v>
      </c>
      <c r="Y13" s="31">
        <v>687.97</v>
      </c>
      <c r="Z13" s="177">
        <v>2920556.4846000001</v>
      </c>
      <c r="AA13" s="177">
        <f t="shared" ref="AA13:AA41" si="5">X13+Z13</f>
        <v>5223655.7645999994</v>
      </c>
      <c r="AB13" s="102">
        <f t="shared" ref="AB13:AB41" si="6">AA13/$AB$11</f>
        <v>359.70636032226963</v>
      </c>
      <c r="AC13" s="196">
        <v>0</v>
      </c>
      <c r="AD13" s="3">
        <v>0</v>
      </c>
      <c r="AE13" s="3">
        <v>93.973239999999691</v>
      </c>
      <c r="AF13" s="3">
        <v>12</v>
      </c>
      <c r="AG13" s="3">
        <f t="shared" ref="AG13:AG41" si="7">AC13+AD13+AE13+AF13</f>
        <v>105.97323999999969</v>
      </c>
      <c r="AH13" s="178">
        <f t="shared" ref="AH13:AH41" si="8">(($AC$11*4.028)*AC13)+(($AD$11/50)*AD13)+(($AE$11/50)*AE13)+(($AF$11/12)*AF13)</f>
        <v>2004442.461599994</v>
      </c>
      <c r="AI13" s="40">
        <f t="shared" ref="AI13:AI41" si="9">AH13/14522</f>
        <v>138.02798936785524</v>
      </c>
      <c r="AJ13" s="111">
        <v>296.86999999999534</v>
      </c>
      <c r="AK13" s="178">
        <v>3562439.9999999441</v>
      </c>
      <c r="AL13" s="36">
        <f t="shared" ref="AL13:AL41" si="10">AK13/14522</f>
        <v>245.31331772482744</v>
      </c>
      <c r="AM13" s="7"/>
    </row>
    <row r="14" spans="1:39" ht="15" x14ac:dyDescent="0.25">
      <c r="A14" s="33"/>
      <c r="B14" s="52">
        <v>3</v>
      </c>
      <c r="C14" s="174">
        <v>14</v>
      </c>
      <c r="D14" s="175">
        <v>152</v>
      </c>
      <c r="E14" s="181">
        <v>10880.000000000109</v>
      </c>
      <c r="F14" s="178">
        <v>11269286.400000112</v>
      </c>
      <c r="G14" s="178">
        <v>2200.0000000000455</v>
      </c>
      <c r="H14" s="178">
        <v>3418074.0000000708</v>
      </c>
      <c r="I14" s="182">
        <f t="shared" si="0"/>
        <v>14687360.400000183</v>
      </c>
      <c r="J14" s="181">
        <v>1019.9999999999818</v>
      </c>
      <c r="K14" s="178">
        <v>1056495.5999999812</v>
      </c>
      <c r="L14" s="183">
        <v>360.00000000001364</v>
      </c>
      <c r="M14" s="183">
        <v>559321.20000002126</v>
      </c>
      <c r="N14" s="182">
        <f t="shared" si="1"/>
        <v>1615816.8000000026</v>
      </c>
      <c r="O14" s="179">
        <f t="shared" si="2"/>
        <v>16303177.200000186</v>
      </c>
      <c r="P14" s="180">
        <f t="shared" si="3"/>
        <v>14460.000000000149</v>
      </c>
      <c r="Q14" s="144"/>
      <c r="R14" s="155"/>
      <c r="S14" s="164"/>
      <c r="T14" s="163"/>
      <c r="U14" s="162">
        <v>0</v>
      </c>
      <c r="V14" s="142">
        <f t="shared" si="4"/>
        <v>751.16</v>
      </c>
      <c r="W14" s="3">
        <v>126.38</v>
      </c>
      <c r="X14" s="178">
        <v>2271111.79</v>
      </c>
      <c r="Y14" s="31">
        <v>624.78</v>
      </c>
      <c r="Z14" s="177">
        <v>2652303.5603999998</v>
      </c>
      <c r="AA14" s="177">
        <f t="shared" si="5"/>
        <v>4923415.3503999999</v>
      </c>
      <c r="AB14" s="102">
        <f t="shared" si="6"/>
        <v>339.03149362346784</v>
      </c>
      <c r="AC14" s="196">
        <v>0</v>
      </c>
      <c r="AD14" s="3">
        <v>0</v>
      </c>
      <c r="AE14" s="3">
        <v>102.0292399999997</v>
      </c>
      <c r="AF14" s="3">
        <v>24</v>
      </c>
      <c r="AG14" s="3">
        <f t="shared" si="7"/>
        <v>126.0292399999997</v>
      </c>
      <c r="AH14" s="178">
        <f t="shared" si="8"/>
        <v>2347245.5015999945</v>
      </c>
      <c r="AI14" s="40">
        <f t="shared" si="9"/>
        <v>161.63376267731678</v>
      </c>
      <c r="AJ14" s="111">
        <v>296.11999999999534</v>
      </c>
      <c r="AK14" s="178">
        <v>3553439.9999999441</v>
      </c>
      <c r="AL14" s="36">
        <f t="shared" si="10"/>
        <v>244.6935683790073</v>
      </c>
      <c r="AM14" s="7"/>
    </row>
    <row r="15" spans="1:39" ht="15" x14ac:dyDescent="0.25">
      <c r="A15" s="33"/>
      <c r="B15" s="52">
        <v>4</v>
      </c>
      <c r="C15" s="174">
        <v>12</v>
      </c>
      <c r="D15" s="175">
        <v>107</v>
      </c>
      <c r="E15" s="181">
        <v>11079.999999999927</v>
      </c>
      <c r="F15" s="178">
        <v>11476442.399999924</v>
      </c>
      <c r="G15" s="178">
        <v>2320.0000000001637</v>
      </c>
      <c r="H15" s="178">
        <v>3604514.4000002546</v>
      </c>
      <c r="I15" s="182">
        <f t="shared" si="0"/>
        <v>15080956.80000018</v>
      </c>
      <c r="J15" s="181">
        <v>1360.0000000000136</v>
      </c>
      <c r="K15" s="178">
        <v>1408660.800000014</v>
      </c>
      <c r="L15" s="183">
        <v>219.99999999999886</v>
      </c>
      <c r="M15" s="183">
        <v>341807.39999999828</v>
      </c>
      <c r="N15" s="182">
        <f t="shared" si="1"/>
        <v>1750468.2000000123</v>
      </c>
      <c r="O15" s="179">
        <f t="shared" si="2"/>
        <v>16831425.000000194</v>
      </c>
      <c r="P15" s="180">
        <f t="shared" si="3"/>
        <v>14980.000000000104</v>
      </c>
      <c r="Q15" s="144"/>
      <c r="R15" s="155"/>
      <c r="S15" s="164"/>
      <c r="T15" s="163"/>
      <c r="U15" s="162">
        <v>0</v>
      </c>
      <c r="V15" s="142">
        <f t="shared" si="4"/>
        <v>819.69</v>
      </c>
      <c r="W15" s="3">
        <v>125.49</v>
      </c>
      <c r="X15" s="178">
        <v>2255118.0449999999</v>
      </c>
      <c r="Y15" s="31">
        <v>694.2</v>
      </c>
      <c r="Z15" s="177">
        <v>2947003.9560000002</v>
      </c>
      <c r="AA15" s="177">
        <f t="shared" si="5"/>
        <v>5202122.0010000002</v>
      </c>
      <c r="AB15" s="102">
        <f t="shared" si="6"/>
        <v>358.22352299958686</v>
      </c>
      <c r="AC15" s="196">
        <v>0</v>
      </c>
      <c r="AD15" s="3">
        <v>0</v>
      </c>
      <c r="AE15" s="3">
        <v>110.28664000000043</v>
      </c>
      <c r="AF15" s="3">
        <v>0</v>
      </c>
      <c r="AG15" s="3">
        <f t="shared" si="7"/>
        <v>110.28664000000043</v>
      </c>
      <c r="AH15" s="178">
        <f t="shared" si="8"/>
        <v>2132943.6176000084</v>
      </c>
      <c r="AI15" s="40">
        <f t="shared" si="9"/>
        <v>146.87671240875969</v>
      </c>
      <c r="AJ15" s="111">
        <v>302.5</v>
      </c>
      <c r="AK15" s="178">
        <v>3630000</v>
      </c>
      <c r="AL15" s="36">
        <f t="shared" si="10"/>
        <v>249.96556948078776</v>
      </c>
      <c r="AM15" s="7"/>
    </row>
    <row r="16" spans="1:39" ht="15" x14ac:dyDescent="0.25">
      <c r="A16" s="33"/>
      <c r="B16" s="52">
        <v>5</v>
      </c>
      <c r="C16" s="174">
        <v>15</v>
      </c>
      <c r="D16" s="175">
        <v>105</v>
      </c>
      <c r="E16" s="181">
        <v>11360.000000000582</v>
      </c>
      <c r="F16" s="178">
        <v>11766460.800000602</v>
      </c>
      <c r="G16" s="178">
        <v>2319.9999999999363</v>
      </c>
      <c r="H16" s="178">
        <v>3604514.3999999012</v>
      </c>
      <c r="I16" s="182">
        <f t="shared" si="0"/>
        <v>15370975.200000504</v>
      </c>
      <c r="J16" s="181">
        <v>1339.9999999999181</v>
      </c>
      <c r="K16" s="178">
        <v>1387945.1999999152</v>
      </c>
      <c r="L16" s="183">
        <v>340.00000000000341</v>
      </c>
      <c r="M16" s="183">
        <v>528247.80000000529</v>
      </c>
      <c r="N16" s="182">
        <f t="shared" si="1"/>
        <v>1916192.9999999204</v>
      </c>
      <c r="O16" s="179">
        <f t="shared" si="2"/>
        <v>17287168.200000424</v>
      </c>
      <c r="P16" s="180">
        <f t="shared" si="3"/>
        <v>15360.00000000044</v>
      </c>
      <c r="Q16" s="144"/>
      <c r="R16" s="155"/>
      <c r="S16" s="164"/>
      <c r="T16" s="163"/>
      <c r="U16" s="162">
        <v>0</v>
      </c>
      <c r="V16" s="142">
        <f t="shared" si="4"/>
        <v>827.7</v>
      </c>
      <c r="W16" s="3">
        <v>126.38</v>
      </c>
      <c r="X16" s="178">
        <v>2271111.79</v>
      </c>
      <c r="Y16" s="31">
        <v>701.32</v>
      </c>
      <c r="Z16" s="177">
        <v>2977229.6376000005</v>
      </c>
      <c r="AA16" s="177">
        <f t="shared" si="5"/>
        <v>5248341.4276000001</v>
      </c>
      <c r="AB16" s="102">
        <f t="shared" si="6"/>
        <v>361.40624071064593</v>
      </c>
      <c r="AC16" s="196">
        <v>0</v>
      </c>
      <c r="AD16" s="3">
        <v>0</v>
      </c>
      <c r="AE16" s="3">
        <v>90.066080000000497</v>
      </c>
      <c r="AF16" s="3">
        <v>12</v>
      </c>
      <c r="AG16" s="3">
        <f t="shared" si="7"/>
        <v>102.0660800000005</v>
      </c>
      <c r="AH16" s="178">
        <f t="shared" si="8"/>
        <v>1928877.9872000096</v>
      </c>
      <c r="AI16" s="40">
        <f t="shared" si="9"/>
        <v>132.82454119267385</v>
      </c>
      <c r="AJ16" s="111">
        <v>259.40000000000873</v>
      </c>
      <c r="AK16" s="178">
        <v>3112800.0000001048</v>
      </c>
      <c r="AL16" s="36">
        <f t="shared" si="10"/>
        <v>214.35064040766457</v>
      </c>
      <c r="AM16" s="7"/>
    </row>
    <row r="17" spans="1:39" ht="15" x14ac:dyDescent="0.25">
      <c r="A17" s="33"/>
      <c r="B17" s="52">
        <v>6</v>
      </c>
      <c r="C17" s="174">
        <v>16</v>
      </c>
      <c r="D17" s="175">
        <v>123</v>
      </c>
      <c r="E17" s="181">
        <v>11000</v>
      </c>
      <c r="F17" s="178">
        <v>11393580</v>
      </c>
      <c r="G17" s="178">
        <v>2200.0000000000455</v>
      </c>
      <c r="H17" s="178">
        <v>3418074.0000000708</v>
      </c>
      <c r="I17" s="182">
        <f t="shared" si="0"/>
        <v>14811654.000000071</v>
      </c>
      <c r="J17" s="181">
        <v>1259.9999999999909</v>
      </c>
      <c r="K17" s="178">
        <v>1305082.7999999905</v>
      </c>
      <c r="L17" s="183">
        <v>379.99999999999545</v>
      </c>
      <c r="M17" s="183">
        <v>590394.59999999299</v>
      </c>
      <c r="N17" s="182">
        <f t="shared" si="1"/>
        <v>1895477.3999999836</v>
      </c>
      <c r="O17" s="179">
        <f t="shared" si="2"/>
        <v>16707131.400000054</v>
      </c>
      <c r="P17" s="180">
        <f t="shared" si="3"/>
        <v>14840.000000000033</v>
      </c>
      <c r="Q17" s="144"/>
      <c r="R17" s="155"/>
      <c r="S17" s="164"/>
      <c r="T17" s="163"/>
      <c r="U17" s="162">
        <v>0</v>
      </c>
      <c r="V17" s="142">
        <f t="shared" si="4"/>
        <v>758.28</v>
      </c>
      <c r="W17" s="3">
        <v>127.27</v>
      </c>
      <c r="X17" s="178">
        <v>2287105.5350000001</v>
      </c>
      <c r="Y17" s="31">
        <v>631.01</v>
      </c>
      <c r="Z17" s="177">
        <v>2678751.0318</v>
      </c>
      <c r="AA17" s="177">
        <f t="shared" si="5"/>
        <v>4965856.5668000001</v>
      </c>
      <c r="AB17" s="102">
        <f t="shared" si="6"/>
        <v>341.95403985676904</v>
      </c>
      <c r="AC17" s="196">
        <v>0</v>
      </c>
      <c r="AD17" s="3">
        <v>0</v>
      </c>
      <c r="AE17" s="3">
        <v>77.136200000000358</v>
      </c>
      <c r="AF17" s="3">
        <v>24</v>
      </c>
      <c r="AG17" s="3">
        <f t="shared" si="7"/>
        <v>101.13620000000036</v>
      </c>
      <c r="AH17" s="178">
        <f t="shared" si="8"/>
        <v>1865814.108000007</v>
      </c>
      <c r="AI17" s="40">
        <f t="shared" si="9"/>
        <v>128.481896983887</v>
      </c>
      <c r="AJ17" s="111">
        <v>375.5</v>
      </c>
      <c r="AK17" s="178">
        <v>4506000</v>
      </c>
      <c r="AL17" s="36">
        <f t="shared" si="10"/>
        <v>310.28783914061427</v>
      </c>
      <c r="AM17" s="7"/>
    </row>
    <row r="18" spans="1:39" ht="15" x14ac:dyDescent="0.25">
      <c r="A18" s="33"/>
      <c r="B18" s="52">
        <v>7</v>
      </c>
      <c r="C18" s="174">
        <v>19</v>
      </c>
      <c r="D18" s="175">
        <v>95</v>
      </c>
      <c r="E18" s="181">
        <v>11239.999999999782</v>
      </c>
      <c r="F18" s="178">
        <v>11642167.199999774</v>
      </c>
      <c r="G18" s="178">
        <v>2359.9999999999</v>
      </c>
      <c r="H18" s="178">
        <v>3666661.1999998447</v>
      </c>
      <c r="I18" s="182">
        <f t="shared" si="0"/>
        <v>15308828.399999619</v>
      </c>
      <c r="J18" s="181">
        <v>1100.0000000000227</v>
      </c>
      <c r="K18" s="178">
        <v>1139358.0000000235</v>
      </c>
      <c r="L18" s="183">
        <v>299.99999999998295</v>
      </c>
      <c r="M18" s="183">
        <v>466100.99999997352</v>
      </c>
      <c r="N18" s="182">
        <f t="shared" si="1"/>
        <v>1605458.999999997</v>
      </c>
      <c r="O18" s="179">
        <f t="shared" si="2"/>
        <v>16914287.399999615</v>
      </c>
      <c r="P18" s="180">
        <f t="shared" si="3"/>
        <v>14999.999999999689</v>
      </c>
      <c r="Q18" s="144"/>
      <c r="R18" s="155"/>
      <c r="S18" s="164"/>
      <c r="T18" s="163"/>
      <c r="U18" s="162">
        <v>0</v>
      </c>
      <c r="V18" s="142">
        <f t="shared" si="4"/>
        <v>756.5</v>
      </c>
      <c r="W18" s="3">
        <v>127.27</v>
      </c>
      <c r="X18" s="178">
        <v>2287105.5350000001</v>
      </c>
      <c r="Y18" s="31">
        <v>629.23</v>
      </c>
      <c r="Z18" s="177">
        <v>2671194.6114000003</v>
      </c>
      <c r="AA18" s="177">
        <f t="shared" si="5"/>
        <v>4958300.1464000009</v>
      </c>
      <c r="AB18" s="102">
        <f t="shared" si="6"/>
        <v>341.43369690125331</v>
      </c>
      <c r="AC18" s="196">
        <v>0</v>
      </c>
      <c r="AD18" s="3">
        <v>0</v>
      </c>
      <c r="AE18" s="3">
        <v>95.02051999999874</v>
      </c>
      <c r="AF18" s="3">
        <v>0</v>
      </c>
      <c r="AG18" s="3">
        <f t="shared" si="7"/>
        <v>95.02051999999874</v>
      </c>
      <c r="AH18" s="178">
        <f t="shared" si="8"/>
        <v>1837696.8567999757</v>
      </c>
      <c r="AI18" s="40">
        <f t="shared" si="9"/>
        <v>126.54571386861147</v>
      </c>
      <c r="AJ18" s="111">
        <v>333.59999999999997</v>
      </c>
      <c r="AK18" s="178">
        <v>4003199.9999999995</v>
      </c>
      <c r="AL18" s="36">
        <f t="shared" si="10"/>
        <v>275.664509020796</v>
      </c>
      <c r="AM18" s="7"/>
    </row>
    <row r="19" spans="1:39" ht="15" x14ac:dyDescent="0.25">
      <c r="A19" s="33"/>
      <c r="B19" s="52">
        <v>8</v>
      </c>
      <c r="C19" s="174">
        <v>24</v>
      </c>
      <c r="D19" s="175">
        <v>190</v>
      </c>
      <c r="E19" s="181">
        <v>12439.9999999996</v>
      </c>
      <c r="F19" s="178">
        <v>12885103.199999586</v>
      </c>
      <c r="G19" s="178">
        <v>2920.0000000000728</v>
      </c>
      <c r="H19" s="178">
        <v>4536716.4000001131</v>
      </c>
      <c r="I19" s="182">
        <f t="shared" si="0"/>
        <v>17421819.5999997</v>
      </c>
      <c r="J19" s="181">
        <v>1259.9999999999909</v>
      </c>
      <c r="K19" s="178">
        <v>1305082.7999999905</v>
      </c>
      <c r="L19" s="183">
        <v>420.00000000001592</v>
      </c>
      <c r="M19" s="183">
        <v>652541.4000000247</v>
      </c>
      <c r="N19" s="182">
        <f t="shared" si="1"/>
        <v>1957624.2000000151</v>
      </c>
      <c r="O19" s="179">
        <f t="shared" si="2"/>
        <v>19379443.799999714</v>
      </c>
      <c r="P19" s="180">
        <f t="shared" si="3"/>
        <v>17039.99999999968</v>
      </c>
      <c r="Q19" s="144"/>
      <c r="R19" s="155"/>
      <c r="S19" s="164"/>
      <c r="T19" s="163"/>
      <c r="U19" s="162">
        <v>0</v>
      </c>
      <c r="V19" s="142">
        <f t="shared" si="4"/>
        <v>824.14</v>
      </c>
      <c r="W19" s="3">
        <v>127.27</v>
      </c>
      <c r="X19" s="178">
        <v>2287105.5350000001</v>
      </c>
      <c r="Y19" s="31">
        <v>696.87</v>
      </c>
      <c r="Z19" s="177">
        <v>2958338.5866</v>
      </c>
      <c r="AA19" s="177">
        <f t="shared" si="5"/>
        <v>5245444.1216000002</v>
      </c>
      <c r="AB19" s="102">
        <f t="shared" si="6"/>
        <v>361.20672921085253</v>
      </c>
      <c r="AC19" s="196">
        <v>0</v>
      </c>
      <c r="AD19" s="3">
        <v>0</v>
      </c>
      <c r="AE19" s="3">
        <v>83.78240000000072</v>
      </c>
      <c r="AF19" s="3">
        <v>12</v>
      </c>
      <c r="AG19" s="3">
        <f t="shared" si="7"/>
        <v>95.78240000000072</v>
      </c>
      <c r="AH19" s="178">
        <f t="shared" si="8"/>
        <v>1807351.6160000139</v>
      </c>
      <c r="AI19" s="40">
        <f t="shared" si="9"/>
        <v>124.45610907588582</v>
      </c>
      <c r="AJ19" s="111">
        <v>362.27</v>
      </c>
      <c r="AK19" s="178">
        <v>4347240</v>
      </c>
      <c r="AL19" s="36">
        <f t="shared" si="10"/>
        <v>299.35546068034705</v>
      </c>
      <c r="AM19" s="7"/>
    </row>
    <row r="20" spans="1:39" ht="15" x14ac:dyDescent="0.25">
      <c r="A20" s="33"/>
      <c r="B20" s="52">
        <v>9</v>
      </c>
      <c r="C20" s="174">
        <v>22</v>
      </c>
      <c r="D20" s="175">
        <v>207</v>
      </c>
      <c r="E20" s="181">
        <v>12079.999999999927</v>
      </c>
      <c r="F20" s="178">
        <v>12512222.399999924</v>
      </c>
      <c r="G20" s="178">
        <v>2359.9999999999</v>
      </c>
      <c r="H20" s="178">
        <v>3666661.1999998447</v>
      </c>
      <c r="I20" s="182">
        <f t="shared" si="0"/>
        <v>16178883.599999769</v>
      </c>
      <c r="J20" s="181">
        <v>1320.00000000005</v>
      </c>
      <c r="K20" s="178">
        <v>1367229.6000000518</v>
      </c>
      <c r="L20" s="183">
        <v>299.99999999998295</v>
      </c>
      <c r="M20" s="183">
        <v>466100.99999997352</v>
      </c>
      <c r="N20" s="182">
        <f t="shared" si="1"/>
        <v>1833330.6000000252</v>
      </c>
      <c r="O20" s="179">
        <f t="shared" si="2"/>
        <v>18012214.199999794</v>
      </c>
      <c r="P20" s="180">
        <f t="shared" si="3"/>
        <v>16059.99999999986</v>
      </c>
      <c r="Q20" s="144"/>
      <c r="R20" s="155"/>
      <c r="S20" s="164"/>
      <c r="T20" s="163"/>
      <c r="U20" s="162">
        <v>0</v>
      </c>
      <c r="V20" s="142">
        <f t="shared" si="4"/>
        <v>827.69999999999993</v>
      </c>
      <c r="W20" s="3">
        <v>128.16</v>
      </c>
      <c r="X20" s="178">
        <v>2303099.2799999998</v>
      </c>
      <c r="Y20" s="31">
        <v>699.54</v>
      </c>
      <c r="Z20" s="177">
        <v>2969673.2171999998</v>
      </c>
      <c r="AA20" s="177">
        <f t="shared" si="5"/>
        <v>5272772.4971999992</v>
      </c>
      <c r="AB20" s="102">
        <f t="shared" si="6"/>
        <v>363.0885895331221</v>
      </c>
      <c r="AC20" s="196">
        <v>0</v>
      </c>
      <c r="AD20" s="3">
        <v>0</v>
      </c>
      <c r="AE20" s="3">
        <v>84.346320000000205</v>
      </c>
      <c r="AF20" s="3">
        <v>0</v>
      </c>
      <c r="AG20" s="3">
        <f t="shared" si="7"/>
        <v>84.346320000000205</v>
      </c>
      <c r="AH20" s="178">
        <f t="shared" si="8"/>
        <v>1631257.828800004</v>
      </c>
      <c r="AI20" s="40">
        <f t="shared" si="9"/>
        <v>112.33010802919735</v>
      </c>
      <c r="AJ20" s="111">
        <v>323.79999999998847</v>
      </c>
      <c r="AK20" s="178">
        <v>3885599.9999998617</v>
      </c>
      <c r="AL20" s="36">
        <f t="shared" si="10"/>
        <v>267.56645090207007</v>
      </c>
      <c r="AM20" s="7"/>
    </row>
    <row r="21" spans="1:39" ht="15" x14ac:dyDescent="0.25">
      <c r="A21" s="33"/>
      <c r="B21" s="52">
        <v>10</v>
      </c>
      <c r="C21" s="174">
        <v>22</v>
      </c>
      <c r="D21" s="175">
        <v>245</v>
      </c>
      <c r="E21" s="181">
        <v>12000</v>
      </c>
      <c r="F21" s="178">
        <v>12429360</v>
      </c>
      <c r="G21" s="178">
        <v>2559.9999999999454</v>
      </c>
      <c r="H21" s="178">
        <v>3977395.1999999154</v>
      </c>
      <c r="I21" s="182">
        <f t="shared" si="0"/>
        <v>16406755.199999915</v>
      </c>
      <c r="J21" s="181">
        <v>1259.9999999999909</v>
      </c>
      <c r="K21" s="178">
        <v>1305082.7999999905</v>
      </c>
      <c r="L21" s="183">
        <v>380.00000000002387</v>
      </c>
      <c r="M21" s="183">
        <v>590394.60000003711</v>
      </c>
      <c r="N21" s="182">
        <f t="shared" si="1"/>
        <v>1895477.4000000276</v>
      </c>
      <c r="O21" s="179">
        <f t="shared" si="2"/>
        <v>18302232.599999942</v>
      </c>
      <c r="P21" s="180">
        <f t="shared" si="3"/>
        <v>16199.99999999996</v>
      </c>
      <c r="Q21" s="144"/>
      <c r="R21" s="155"/>
      <c r="S21" s="164"/>
      <c r="T21" s="163"/>
      <c r="U21" s="162">
        <v>0</v>
      </c>
      <c r="V21" s="142">
        <f t="shared" si="4"/>
        <v>807.23</v>
      </c>
      <c r="W21" s="3">
        <v>126.38</v>
      </c>
      <c r="X21" s="178">
        <v>2271111.79</v>
      </c>
      <c r="Y21" s="31">
        <v>680.85</v>
      </c>
      <c r="Z21" s="177">
        <v>2890330.8030000003</v>
      </c>
      <c r="AA21" s="177">
        <f t="shared" si="5"/>
        <v>5161442.5930000003</v>
      </c>
      <c r="AB21" s="102">
        <f t="shared" si="6"/>
        <v>355.42229672221458</v>
      </c>
      <c r="AC21" s="196">
        <v>0</v>
      </c>
      <c r="AD21" s="3">
        <v>0</v>
      </c>
      <c r="AE21" s="3">
        <v>112.34091999999947</v>
      </c>
      <c r="AF21" s="3">
        <v>0</v>
      </c>
      <c r="AG21" s="3">
        <f t="shared" si="7"/>
        <v>112.34091999999947</v>
      </c>
      <c r="AH21" s="178">
        <f t="shared" si="8"/>
        <v>2172673.3927999898</v>
      </c>
      <c r="AI21" s="40">
        <f t="shared" si="9"/>
        <v>149.61254598540074</v>
      </c>
      <c r="AJ21" s="111">
        <v>305.25</v>
      </c>
      <c r="AK21" s="178">
        <v>3663000</v>
      </c>
      <c r="AL21" s="36">
        <f t="shared" si="10"/>
        <v>252.23798374879493</v>
      </c>
      <c r="AM21" s="7"/>
    </row>
    <row r="22" spans="1:39" ht="15" x14ac:dyDescent="0.25">
      <c r="A22" s="33"/>
      <c r="B22" s="52">
        <v>11</v>
      </c>
      <c r="C22" s="174">
        <v>25</v>
      </c>
      <c r="D22" s="175">
        <v>188</v>
      </c>
      <c r="E22" s="181">
        <v>11960.000000000036</v>
      </c>
      <c r="F22" s="178">
        <v>12387928.800000038</v>
      </c>
      <c r="G22" s="178">
        <v>2440.0000000000546</v>
      </c>
      <c r="H22" s="178">
        <v>3790954.800000085</v>
      </c>
      <c r="I22" s="182">
        <f t="shared" si="0"/>
        <v>16178883.600000123</v>
      </c>
      <c r="J22" s="181">
        <v>1379.9999999999955</v>
      </c>
      <c r="K22" s="178">
        <v>1429376.3999999953</v>
      </c>
      <c r="L22" s="183">
        <v>379.99999999999545</v>
      </c>
      <c r="M22" s="183">
        <v>590394.59999999299</v>
      </c>
      <c r="N22" s="182">
        <f t="shared" si="1"/>
        <v>2019770.9999999884</v>
      </c>
      <c r="O22" s="179">
        <f t="shared" si="2"/>
        <v>18198654.60000011</v>
      </c>
      <c r="P22" s="180">
        <f t="shared" si="3"/>
        <v>16160.000000000084</v>
      </c>
      <c r="Q22" s="144"/>
      <c r="R22" s="155"/>
      <c r="S22" s="164"/>
      <c r="T22" s="163"/>
      <c r="U22" s="162">
        <v>0</v>
      </c>
      <c r="V22" s="142">
        <f t="shared" si="4"/>
        <v>820.58</v>
      </c>
      <c r="W22" s="3">
        <v>126.38</v>
      </c>
      <c r="X22" s="178">
        <v>2271111.79</v>
      </c>
      <c r="Y22" s="31">
        <v>694.2</v>
      </c>
      <c r="Z22" s="177">
        <v>2947003.9560000002</v>
      </c>
      <c r="AA22" s="177">
        <f t="shared" si="5"/>
        <v>5218115.7460000003</v>
      </c>
      <c r="AB22" s="102">
        <f t="shared" si="6"/>
        <v>359.32486888858284</v>
      </c>
      <c r="AC22" s="196">
        <v>0</v>
      </c>
      <c r="AD22" s="3">
        <v>0</v>
      </c>
      <c r="AE22" s="3">
        <v>111.05196000000065</v>
      </c>
      <c r="AF22" s="3">
        <v>0</v>
      </c>
      <c r="AG22" s="3">
        <f t="shared" si="7"/>
        <v>111.05196000000065</v>
      </c>
      <c r="AH22" s="178">
        <f t="shared" si="8"/>
        <v>2147744.9064000123</v>
      </c>
      <c r="AI22" s="40">
        <f t="shared" si="9"/>
        <v>147.89594452554829</v>
      </c>
      <c r="AJ22" s="111">
        <v>95.259999999999991</v>
      </c>
      <c r="AK22" s="178">
        <v>1143120</v>
      </c>
      <c r="AL22" s="36">
        <f t="shared" si="10"/>
        <v>78.716430243768073</v>
      </c>
      <c r="AM22" s="7"/>
    </row>
    <row r="23" spans="1:39" ht="15" x14ac:dyDescent="0.25">
      <c r="A23" s="33"/>
      <c r="B23" s="52">
        <v>12</v>
      </c>
      <c r="C23" s="174">
        <v>21</v>
      </c>
      <c r="D23" s="175">
        <v>294</v>
      </c>
      <c r="E23" s="181">
        <v>12280.000000000655</v>
      </c>
      <c r="F23" s="178">
        <v>12719378.400000678</v>
      </c>
      <c r="G23" s="178">
        <v>2440.0000000000546</v>
      </c>
      <c r="H23" s="178">
        <v>3790954.800000085</v>
      </c>
      <c r="I23" s="182">
        <f t="shared" si="0"/>
        <v>16510333.200000763</v>
      </c>
      <c r="J23" s="181">
        <v>1419.9999999999591</v>
      </c>
      <c r="K23" s="178">
        <v>1470807.5999999575</v>
      </c>
      <c r="L23" s="183">
        <v>340.00000000000341</v>
      </c>
      <c r="M23" s="183">
        <v>528247.80000000529</v>
      </c>
      <c r="N23" s="182">
        <f t="shared" si="1"/>
        <v>1999055.3999999627</v>
      </c>
      <c r="O23" s="179">
        <f t="shared" si="2"/>
        <v>18509388.600000724</v>
      </c>
      <c r="P23" s="180">
        <f t="shared" si="3"/>
        <v>16480.000000000673</v>
      </c>
      <c r="Q23" s="144"/>
      <c r="R23" s="155"/>
      <c r="S23" s="164"/>
      <c r="T23" s="163"/>
      <c r="U23" s="162">
        <v>0</v>
      </c>
      <c r="V23" s="142">
        <f t="shared" si="4"/>
        <v>778.75</v>
      </c>
      <c r="W23" s="3">
        <v>126.38</v>
      </c>
      <c r="X23" s="178">
        <v>2271111.79</v>
      </c>
      <c r="Y23" s="31">
        <v>652.37</v>
      </c>
      <c r="Z23" s="177">
        <v>2769428.0766000003</v>
      </c>
      <c r="AA23" s="177">
        <f t="shared" si="5"/>
        <v>5040539.8666000003</v>
      </c>
      <c r="AB23" s="102">
        <f t="shared" si="6"/>
        <v>347.09680943396228</v>
      </c>
      <c r="AC23" s="196">
        <v>0</v>
      </c>
      <c r="AD23" s="3">
        <v>0</v>
      </c>
      <c r="AE23" s="3">
        <v>78.948799999999622</v>
      </c>
      <c r="AF23" s="3">
        <v>48</v>
      </c>
      <c r="AG23" s="3">
        <f t="shared" si="7"/>
        <v>126.94879999999962</v>
      </c>
      <c r="AH23" s="178">
        <f t="shared" si="8"/>
        <v>2274869.7919999929</v>
      </c>
      <c r="AI23" s="40">
        <f t="shared" si="9"/>
        <v>156.64989615755357</v>
      </c>
      <c r="AJ23" s="111">
        <v>378.56999999999994</v>
      </c>
      <c r="AK23" s="178">
        <v>4542839.9999999991</v>
      </c>
      <c r="AL23" s="36">
        <f t="shared" si="10"/>
        <v>312.82467979617127</v>
      </c>
      <c r="AM23" s="7"/>
    </row>
    <row r="24" spans="1:39" ht="15" x14ac:dyDescent="0.25">
      <c r="A24" s="33"/>
      <c r="B24" s="52">
        <v>13</v>
      </c>
      <c r="C24" s="174">
        <v>24</v>
      </c>
      <c r="D24" s="175">
        <v>182</v>
      </c>
      <c r="E24" s="181">
        <v>12319.999999999709</v>
      </c>
      <c r="F24" s="178">
        <v>12760809.599999698</v>
      </c>
      <c r="G24" s="178">
        <v>2639.9999999998727</v>
      </c>
      <c r="H24" s="178">
        <v>4101688.7999998024</v>
      </c>
      <c r="I24" s="182">
        <f t="shared" si="0"/>
        <v>16862498.399999499</v>
      </c>
      <c r="J24" s="181">
        <v>1519.9999999999818</v>
      </c>
      <c r="K24" s="178">
        <v>1574385.5999999812</v>
      </c>
      <c r="L24" s="183">
        <v>439.99999999999773</v>
      </c>
      <c r="M24" s="183">
        <v>683614.79999999655</v>
      </c>
      <c r="N24" s="182">
        <f t="shared" si="1"/>
        <v>2258000.399999978</v>
      </c>
      <c r="O24" s="179">
        <f t="shared" si="2"/>
        <v>19120498.799999475</v>
      </c>
      <c r="P24" s="180">
        <f t="shared" si="3"/>
        <v>16919.99999999956</v>
      </c>
      <c r="Q24" s="144"/>
      <c r="R24" s="144"/>
      <c r="S24" s="164"/>
      <c r="T24" s="163"/>
      <c r="U24" s="162">
        <v>0</v>
      </c>
      <c r="V24" s="142">
        <f t="shared" si="4"/>
        <v>759.17000000000007</v>
      </c>
      <c r="W24" s="3">
        <v>129.05000000000001</v>
      </c>
      <c r="X24" s="178">
        <v>2319093.0250000004</v>
      </c>
      <c r="Y24" s="31">
        <v>630.12</v>
      </c>
      <c r="Z24" s="177">
        <v>2674972.8216000004</v>
      </c>
      <c r="AA24" s="177">
        <f t="shared" si="5"/>
        <v>4994065.8466000007</v>
      </c>
      <c r="AB24" s="102">
        <f t="shared" si="6"/>
        <v>343.89656015700319</v>
      </c>
      <c r="AC24" s="196">
        <v>0</v>
      </c>
      <c r="AD24" s="3">
        <v>0</v>
      </c>
      <c r="AE24" s="3">
        <v>95.826119999999847</v>
      </c>
      <c r="AF24" s="3">
        <v>12</v>
      </c>
      <c r="AG24" s="3">
        <f t="shared" si="7"/>
        <v>107.82611999999985</v>
      </c>
      <c r="AH24" s="178">
        <f t="shared" si="8"/>
        <v>2040277.1607999969</v>
      </c>
      <c r="AI24" s="40">
        <f t="shared" si="9"/>
        <v>140.49560396639561</v>
      </c>
      <c r="AJ24" s="111">
        <v>745.95000000001164</v>
      </c>
      <c r="AK24" s="178">
        <v>8951400.0000001397</v>
      </c>
      <c r="AL24" s="36">
        <f t="shared" si="10"/>
        <v>616.4026993527159</v>
      </c>
      <c r="AM24" s="7"/>
    </row>
    <row r="25" spans="1:39" ht="15" x14ac:dyDescent="0.25">
      <c r="A25" s="33"/>
      <c r="B25" s="52">
        <v>14</v>
      </c>
      <c r="C25" s="174">
        <v>31</v>
      </c>
      <c r="D25" s="175">
        <v>226</v>
      </c>
      <c r="E25" s="181">
        <v>12800.000000000182</v>
      </c>
      <c r="F25" s="178">
        <v>13257984.000000188</v>
      </c>
      <c r="G25" s="178">
        <v>2640.0000000001</v>
      </c>
      <c r="H25" s="178">
        <v>4101688.8000001558</v>
      </c>
      <c r="I25" s="182">
        <f t="shared" si="0"/>
        <v>17359672.800000343</v>
      </c>
      <c r="J25" s="181">
        <v>1380.0000000001091</v>
      </c>
      <c r="K25" s="178">
        <v>1429376.4000001131</v>
      </c>
      <c r="L25" s="183">
        <v>340.00000000000341</v>
      </c>
      <c r="M25" s="183">
        <v>528247.80000000529</v>
      </c>
      <c r="N25" s="182">
        <f t="shared" si="1"/>
        <v>1957624.2000001185</v>
      </c>
      <c r="O25" s="179">
        <f t="shared" si="2"/>
        <v>19317297.000000462</v>
      </c>
      <c r="P25" s="180">
        <f t="shared" si="3"/>
        <v>17160.000000000397</v>
      </c>
      <c r="Q25" s="145"/>
      <c r="R25" s="145"/>
      <c r="S25" s="164"/>
      <c r="T25" s="163"/>
      <c r="U25" s="162">
        <v>0</v>
      </c>
      <c r="V25" s="142">
        <f t="shared" si="4"/>
        <v>830.37</v>
      </c>
      <c r="W25" s="3">
        <v>126.38</v>
      </c>
      <c r="X25" s="178">
        <v>2271111.79</v>
      </c>
      <c r="Y25" s="31">
        <v>703.99</v>
      </c>
      <c r="Z25" s="177">
        <v>2988564.2682000003</v>
      </c>
      <c r="AA25" s="177">
        <f t="shared" si="5"/>
        <v>5259676.0581999999</v>
      </c>
      <c r="AB25" s="102">
        <f t="shared" si="6"/>
        <v>362.18675514391958</v>
      </c>
      <c r="AC25" s="196">
        <v>0</v>
      </c>
      <c r="AD25" s="3">
        <v>0</v>
      </c>
      <c r="AE25" s="3">
        <v>95.544159999999181</v>
      </c>
      <c r="AF25" s="3">
        <v>48</v>
      </c>
      <c r="AG25" s="3">
        <f t="shared" si="7"/>
        <v>143.54415999999918</v>
      </c>
      <c r="AH25" s="178">
        <f t="shared" si="8"/>
        <v>2595824.054399984</v>
      </c>
      <c r="AI25" s="40">
        <f t="shared" si="9"/>
        <v>178.75113995317338</v>
      </c>
      <c r="AJ25" s="111">
        <v>407.34999999999991</v>
      </c>
      <c r="AK25" s="178">
        <v>4888199.9999999991</v>
      </c>
      <c r="AL25" s="36">
        <f t="shared" si="10"/>
        <v>336.60652802644256</v>
      </c>
      <c r="AM25" s="7"/>
    </row>
    <row r="26" spans="1:39" ht="15" x14ac:dyDescent="0.25">
      <c r="A26" s="33"/>
      <c r="B26" s="52">
        <v>15</v>
      </c>
      <c r="C26" s="174">
        <v>40</v>
      </c>
      <c r="D26" s="175">
        <v>307</v>
      </c>
      <c r="E26" s="181">
        <v>13319.999999999709</v>
      </c>
      <c r="F26" s="178">
        <v>13796589.599999698</v>
      </c>
      <c r="G26" s="178">
        <v>2880.0000000001091</v>
      </c>
      <c r="H26" s="178">
        <v>4474569.6000001701</v>
      </c>
      <c r="I26" s="182">
        <f t="shared" si="0"/>
        <v>18271159.199999869</v>
      </c>
      <c r="J26" s="181">
        <v>1439.9999999999409</v>
      </c>
      <c r="K26" s="178">
        <v>1491523.1999999387</v>
      </c>
      <c r="L26" s="183">
        <v>399.99999999997726</v>
      </c>
      <c r="M26" s="183">
        <v>621467.99999996473</v>
      </c>
      <c r="N26" s="182">
        <f t="shared" si="1"/>
        <v>2112991.1999999033</v>
      </c>
      <c r="O26" s="179">
        <f t="shared" si="2"/>
        <v>20384150.399999771</v>
      </c>
      <c r="P26" s="180">
        <f t="shared" si="3"/>
        <v>18039.999999999738</v>
      </c>
      <c r="Q26" s="144"/>
      <c r="R26" s="155"/>
      <c r="S26" s="164"/>
      <c r="T26" s="163"/>
      <c r="U26" s="162">
        <v>0</v>
      </c>
      <c r="V26" s="142">
        <f t="shared" si="4"/>
        <v>825.03</v>
      </c>
      <c r="W26" s="3">
        <v>126.38</v>
      </c>
      <c r="X26" s="178">
        <v>2271111.79</v>
      </c>
      <c r="Y26" s="31">
        <v>698.65</v>
      </c>
      <c r="Z26" s="177">
        <v>2965895.0070000002</v>
      </c>
      <c r="AA26" s="177">
        <f t="shared" si="5"/>
        <v>5237006.7970000003</v>
      </c>
      <c r="AB26" s="102">
        <f t="shared" si="6"/>
        <v>360.62572627737228</v>
      </c>
      <c r="AC26" s="196">
        <v>0</v>
      </c>
      <c r="AD26" s="3">
        <v>0</v>
      </c>
      <c r="AE26" s="3">
        <v>103.15708000000051</v>
      </c>
      <c r="AF26" s="3">
        <v>12</v>
      </c>
      <c r="AG26" s="3">
        <f t="shared" si="7"/>
        <v>115.15708000000051</v>
      </c>
      <c r="AH26" s="178">
        <f t="shared" si="8"/>
        <v>2182057.92720001</v>
      </c>
      <c r="AI26" s="40">
        <f t="shared" si="9"/>
        <v>150.2587747693162</v>
      </c>
      <c r="AJ26" s="111">
        <v>343.07999999999993</v>
      </c>
      <c r="AK26" s="178">
        <v>4116959.9999999991</v>
      </c>
      <c r="AL26" s="36">
        <f t="shared" si="10"/>
        <v>283.49814075196247</v>
      </c>
      <c r="AM26" s="7"/>
    </row>
    <row r="27" spans="1:39" ht="15" x14ac:dyDescent="0.25">
      <c r="A27" s="33"/>
      <c r="B27" s="52">
        <v>16</v>
      </c>
      <c r="C27" s="174">
        <v>40</v>
      </c>
      <c r="D27" s="175">
        <v>330</v>
      </c>
      <c r="E27" s="181">
        <v>13279.999999999745</v>
      </c>
      <c r="F27" s="178">
        <v>13755158.399999736</v>
      </c>
      <c r="G27" s="178">
        <v>2719.9999999997999</v>
      </c>
      <c r="H27" s="178">
        <v>4225982.3999996893</v>
      </c>
      <c r="I27" s="182">
        <f t="shared" si="0"/>
        <v>17981140.799999423</v>
      </c>
      <c r="J27" s="181">
        <v>1399.9999999999773</v>
      </c>
      <c r="K27" s="178">
        <v>1450091.9999999765</v>
      </c>
      <c r="L27" s="183">
        <v>340.00000000000341</v>
      </c>
      <c r="M27" s="183">
        <v>528247.80000000529</v>
      </c>
      <c r="N27" s="182">
        <f t="shared" si="1"/>
        <v>1978339.7999999817</v>
      </c>
      <c r="O27" s="179">
        <f t="shared" si="2"/>
        <v>19959480.599999405</v>
      </c>
      <c r="P27" s="180">
        <f t="shared" si="3"/>
        <v>17739.999999999527</v>
      </c>
      <c r="Q27" s="144"/>
      <c r="R27" s="144"/>
      <c r="S27" s="164"/>
      <c r="T27" s="163"/>
      <c r="U27" s="162">
        <v>0</v>
      </c>
      <c r="V27" s="142">
        <f t="shared" si="4"/>
        <v>728.02</v>
      </c>
      <c r="W27" s="3">
        <v>124.60000000000001</v>
      </c>
      <c r="X27" s="178">
        <v>2239124.3000000003</v>
      </c>
      <c r="Y27" s="31">
        <v>603.41999999999996</v>
      </c>
      <c r="Z27" s="177">
        <v>2561626.5156</v>
      </c>
      <c r="AA27" s="177">
        <f t="shared" si="5"/>
        <v>4800750.8156000003</v>
      </c>
      <c r="AB27" s="102">
        <f t="shared" si="6"/>
        <v>330.58468637928661</v>
      </c>
      <c r="AC27" s="196">
        <v>0</v>
      </c>
      <c r="AD27" s="3">
        <v>0</v>
      </c>
      <c r="AE27" s="3">
        <v>95.987239999999701</v>
      </c>
      <c r="AF27" s="3">
        <v>12</v>
      </c>
      <c r="AG27" s="3">
        <f t="shared" si="7"/>
        <v>107.9872399999997</v>
      </c>
      <c r="AH27" s="178">
        <f t="shared" si="8"/>
        <v>2043393.2215999942</v>
      </c>
      <c r="AI27" s="40">
        <f t="shared" si="9"/>
        <v>140.71017914887716</v>
      </c>
      <c r="AJ27" s="111">
        <v>257.02</v>
      </c>
      <c r="AK27" s="178">
        <v>3084240</v>
      </c>
      <c r="AL27" s="36">
        <f t="shared" si="10"/>
        <v>212.38396915025479</v>
      </c>
      <c r="AM27" s="7"/>
    </row>
    <row r="28" spans="1:39" ht="15" x14ac:dyDescent="0.25">
      <c r="A28" s="33"/>
      <c r="B28" s="52">
        <v>17</v>
      </c>
      <c r="C28" s="174">
        <v>35</v>
      </c>
      <c r="D28" s="175">
        <v>303</v>
      </c>
      <c r="E28" s="181">
        <v>13120.0000000008</v>
      </c>
      <c r="F28" s="178">
        <v>13589433.600000829</v>
      </c>
      <c r="G28" s="178">
        <v>3000</v>
      </c>
      <c r="H28" s="178">
        <v>4661010</v>
      </c>
      <c r="I28" s="182">
        <f t="shared" si="0"/>
        <v>18250443.600000829</v>
      </c>
      <c r="J28" s="181">
        <v>1700.0000000000455</v>
      </c>
      <c r="K28" s="178">
        <v>1760826.000000047</v>
      </c>
      <c r="L28" s="183">
        <v>480.00000000001819</v>
      </c>
      <c r="M28" s="183">
        <v>745761.60000002827</v>
      </c>
      <c r="N28" s="182">
        <f t="shared" si="1"/>
        <v>2506587.6000000751</v>
      </c>
      <c r="O28" s="179">
        <f t="shared" si="2"/>
        <v>20757031.200000905</v>
      </c>
      <c r="P28" s="180">
        <f t="shared" si="3"/>
        <v>18300.000000000862</v>
      </c>
      <c r="Q28" s="145"/>
      <c r="R28" s="145"/>
      <c r="S28" s="164"/>
      <c r="T28" s="163"/>
      <c r="U28" s="162">
        <v>0</v>
      </c>
      <c r="V28" s="142">
        <f t="shared" si="4"/>
        <v>729.8</v>
      </c>
      <c r="W28" s="3">
        <v>126.38</v>
      </c>
      <c r="X28" s="178">
        <v>2271111.79</v>
      </c>
      <c r="Y28" s="31">
        <v>603.41999999999996</v>
      </c>
      <c r="Z28" s="177">
        <v>2561626.5156</v>
      </c>
      <c r="AA28" s="177">
        <f t="shared" si="5"/>
        <v>4832738.3056000005</v>
      </c>
      <c r="AB28" s="102">
        <f t="shared" si="6"/>
        <v>332.78737815727862</v>
      </c>
      <c r="AC28" s="196">
        <v>0</v>
      </c>
      <c r="AD28" s="3">
        <v>0</v>
      </c>
      <c r="AE28" s="3">
        <v>125.75416000000101</v>
      </c>
      <c r="AF28" s="3">
        <v>12</v>
      </c>
      <c r="AG28" s="3">
        <f t="shared" si="7"/>
        <v>137.75416000000101</v>
      </c>
      <c r="AH28" s="178">
        <f t="shared" si="8"/>
        <v>2619085.4544000197</v>
      </c>
      <c r="AI28" s="40">
        <f t="shared" si="9"/>
        <v>180.35294411238257</v>
      </c>
      <c r="AJ28" s="111">
        <v>351.15000000000009</v>
      </c>
      <c r="AK28" s="178">
        <v>4213800.0000000009</v>
      </c>
      <c r="AL28" s="36">
        <f t="shared" si="10"/>
        <v>290.16664371298725</v>
      </c>
      <c r="AM28" s="7"/>
    </row>
    <row r="29" spans="1:39" ht="15" x14ac:dyDescent="0.25">
      <c r="A29" s="33"/>
      <c r="B29" s="52">
        <v>18</v>
      </c>
      <c r="C29" s="174">
        <v>27</v>
      </c>
      <c r="D29" s="175">
        <v>223</v>
      </c>
      <c r="E29" s="181">
        <v>12759.999999999309</v>
      </c>
      <c r="F29" s="178">
        <v>13216552.799999284</v>
      </c>
      <c r="G29" s="178">
        <v>2840.0000000001455</v>
      </c>
      <c r="H29" s="178">
        <v>4412422.8000002261</v>
      </c>
      <c r="I29" s="182">
        <f t="shared" si="0"/>
        <v>17628975.59999951</v>
      </c>
      <c r="J29" s="181">
        <v>1879.9999999999955</v>
      </c>
      <c r="K29" s="178">
        <v>1947266.3999999953</v>
      </c>
      <c r="L29" s="183">
        <v>500</v>
      </c>
      <c r="M29" s="183">
        <v>776835</v>
      </c>
      <c r="N29" s="182">
        <f t="shared" si="1"/>
        <v>2724101.3999999953</v>
      </c>
      <c r="O29" s="179">
        <f t="shared" si="2"/>
        <v>20353076.999999505</v>
      </c>
      <c r="P29" s="180">
        <f t="shared" si="3"/>
        <v>17979.999999999451</v>
      </c>
      <c r="Q29" s="145"/>
      <c r="R29" s="145"/>
      <c r="S29" s="164"/>
      <c r="T29" s="163"/>
      <c r="U29" s="162">
        <v>0</v>
      </c>
      <c r="V29" s="142">
        <f t="shared" si="4"/>
        <v>777.86</v>
      </c>
      <c r="W29" s="3">
        <v>126.38</v>
      </c>
      <c r="X29" s="178">
        <v>2271111.79</v>
      </c>
      <c r="Y29" s="31">
        <v>651.48</v>
      </c>
      <c r="Z29" s="177">
        <v>2765649.8664000002</v>
      </c>
      <c r="AA29" s="177">
        <f t="shared" si="5"/>
        <v>5036761.6564000007</v>
      </c>
      <c r="AB29" s="102">
        <f t="shared" si="6"/>
        <v>346.83663795620441</v>
      </c>
      <c r="AC29" s="196">
        <v>0</v>
      </c>
      <c r="AD29" s="3">
        <v>0</v>
      </c>
      <c r="AE29" s="3">
        <v>113.46876000000029</v>
      </c>
      <c r="AF29" s="3">
        <v>36</v>
      </c>
      <c r="AG29" s="3">
        <f t="shared" si="7"/>
        <v>149.46876000000029</v>
      </c>
      <c r="AH29" s="178">
        <f t="shared" si="8"/>
        <v>2755485.8184000053</v>
      </c>
      <c r="AI29" s="40">
        <f t="shared" si="9"/>
        <v>189.74561481889583</v>
      </c>
      <c r="AJ29" s="111">
        <v>366.00000000000045</v>
      </c>
      <c r="AK29" s="178">
        <v>4392000.0000000056</v>
      </c>
      <c r="AL29" s="36">
        <f t="shared" si="10"/>
        <v>302.43768076022627</v>
      </c>
      <c r="AM29" s="7"/>
    </row>
    <row r="30" spans="1:39" ht="15" x14ac:dyDescent="0.25">
      <c r="A30" s="33"/>
      <c r="B30" s="52">
        <v>19</v>
      </c>
      <c r="C30" s="174">
        <v>22</v>
      </c>
      <c r="D30" s="175">
        <v>135</v>
      </c>
      <c r="E30" s="181">
        <v>11840.000000000146</v>
      </c>
      <c r="F30" s="178">
        <v>12263635.20000015</v>
      </c>
      <c r="G30" s="178">
        <v>2399.9999999998636</v>
      </c>
      <c r="H30" s="178">
        <v>3728807.9999997881</v>
      </c>
      <c r="I30" s="182">
        <f t="shared" si="0"/>
        <v>15992443.199999938</v>
      </c>
      <c r="J30" s="181">
        <v>1480.0000000000182</v>
      </c>
      <c r="K30" s="178">
        <v>1532954.4000000188</v>
      </c>
      <c r="L30" s="183">
        <v>479.99999999998977</v>
      </c>
      <c r="M30" s="183">
        <v>745761.59999998414</v>
      </c>
      <c r="N30" s="182">
        <f t="shared" si="1"/>
        <v>2278716.0000000028</v>
      </c>
      <c r="O30" s="179">
        <f t="shared" si="2"/>
        <v>18271159.19999994</v>
      </c>
      <c r="P30" s="180">
        <f t="shared" si="3"/>
        <v>16200.000000000016</v>
      </c>
      <c r="Q30" s="144"/>
      <c r="R30" s="144"/>
      <c r="S30" s="164"/>
      <c r="T30" s="163"/>
      <c r="U30" s="162">
        <v>0</v>
      </c>
      <c r="V30" s="142">
        <f t="shared" si="4"/>
        <v>822.36</v>
      </c>
      <c r="W30" s="3">
        <v>127.27</v>
      </c>
      <c r="X30" s="178">
        <v>2287105.5350000001</v>
      </c>
      <c r="Y30" s="31">
        <v>695.09</v>
      </c>
      <c r="Z30" s="177">
        <v>2950782.1662000003</v>
      </c>
      <c r="AA30" s="177">
        <f t="shared" si="5"/>
        <v>5237887.7012000009</v>
      </c>
      <c r="AB30" s="102">
        <f t="shared" si="6"/>
        <v>360.6863862553368</v>
      </c>
      <c r="AC30" s="196">
        <v>0</v>
      </c>
      <c r="AD30" s="3">
        <v>0</v>
      </c>
      <c r="AE30" s="3">
        <v>122.33035999999954</v>
      </c>
      <c r="AF30" s="3">
        <v>24</v>
      </c>
      <c r="AG30" s="3">
        <f t="shared" si="7"/>
        <v>146.33035999999953</v>
      </c>
      <c r="AH30" s="178">
        <f t="shared" si="8"/>
        <v>2739869.1623999914</v>
      </c>
      <c r="AI30" s="40">
        <f t="shared" si="9"/>
        <v>188.67023567001732</v>
      </c>
      <c r="AJ30" s="111">
        <v>436.78999999999996</v>
      </c>
      <c r="AK30" s="178">
        <v>5241480</v>
      </c>
      <c r="AL30" s="36">
        <f t="shared" si="10"/>
        <v>360.93375568103568</v>
      </c>
      <c r="AM30" s="7"/>
    </row>
    <row r="31" spans="1:39" ht="15" x14ac:dyDescent="0.25">
      <c r="A31" s="33"/>
      <c r="B31" s="52">
        <v>20</v>
      </c>
      <c r="C31" s="174">
        <v>26</v>
      </c>
      <c r="D31" s="175">
        <v>147</v>
      </c>
      <c r="E31" s="181">
        <v>11960.000000000036</v>
      </c>
      <c r="F31" s="178">
        <v>12387928.800000038</v>
      </c>
      <c r="G31" s="178">
        <v>2560.0000000001728</v>
      </c>
      <c r="H31" s="178">
        <v>3977395.2000002689</v>
      </c>
      <c r="I31" s="182">
        <f t="shared" si="0"/>
        <v>16365324.000000307</v>
      </c>
      <c r="J31" s="181">
        <v>1600.0000000000227</v>
      </c>
      <c r="K31" s="178">
        <v>1657248.0000000235</v>
      </c>
      <c r="L31" s="183">
        <v>379.99999999999545</v>
      </c>
      <c r="M31" s="183">
        <v>590394.59999999299</v>
      </c>
      <c r="N31" s="182">
        <f t="shared" si="1"/>
        <v>2247642.6000000164</v>
      </c>
      <c r="O31" s="179">
        <f t="shared" si="2"/>
        <v>18612966.600000322</v>
      </c>
      <c r="P31" s="180">
        <f t="shared" si="3"/>
        <v>16500.000000000229</v>
      </c>
      <c r="Q31" s="145"/>
      <c r="R31" s="145"/>
      <c r="S31" s="164"/>
      <c r="T31" s="163"/>
      <c r="U31" s="162">
        <v>0</v>
      </c>
      <c r="V31" s="142">
        <f t="shared" si="4"/>
        <v>853.51</v>
      </c>
      <c r="W31" s="3">
        <v>125.49</v>
      </c>
      <c r="X31" s="178">
        <v>2255118.0449999999</v>
      </c>
      <c r="Y31" s="31">
        <v>728.02</v>
      </c>
      <c r="Z31" s="177">
        <v>3090575.9436000003</v>
      </c>
      <c r="AA31" s="177">
        <f t="shared" si="5"/>
        <v>5345693.9886000007</v>
      </c>
      <c r="AB31" s="102">
        <f t="shared" si="6"/>
        <v>368.11003915438653</v>
      </c>
      <c r="AC31" s="196">
        <v>0</v>
      </c>
      <c r="AD31" s="3">
        <v>0</v>
      </c>
      <c r="AE31" s="3">
        <v>85.474159999999188</v>
      </c>
      <c r="AF31" s="3">
        <v>12</v>
      </c>
      <c r="AG31" s="3">
        <f t="shared" si="7"/>
        <v>97.474159999999188</v>
      </c>
      <c r="AH31" s="178">
        <f t="shared" si="8"/>
        <v>1840070.2543999844</v>
      </c>
      <c r="AI31" s="40">
        <f t="shared" si="9"/>
        <v>126.70914849194219</v>
      </c>
      <c r="AJ31" s="111">
        <v>378.55999999999949</v>
      </c>
      <c r="AK31" s="178">
        <v>4542719.9999999935</v>
      </c>
      <c r="AL31" s="36">
        <f t="shared" si="10"/>
        <v>312.81641647155993</v>
      </c>
      <c r="AM31" s="7"/>
    </row>
    <row r="32" spans="1:39" ht="15" x14ac:dyDescent="0.25">
      <c r="A32" s="33"/>
      <c r="B32" s="52">
        <v>21</v>
      </c>
      <c r="C32" s="174">
        <v>21</v>
      </c>
      <c r="D32" s="175">
        <v>173</v>
      </c>
      <c r="E32" s="181">
        <v>12600.000000000364</v>
      </c>
      <c r="F32" s="178">
        <v>13050828.000000376</v>
      </c>
      <c r="G32" s="178">
        <v>2879.9999999998818</v>
      </c>
      <c r="H32" s="178">
        <v>4474569.5999998162</v>
      </c>
      <c r="I32" s="182">
        <f t="shared" si="0"/>
        <v>17525397.600000191</v>
      </c>
      <c r="J32" s="181">
        <v>1559.9999999999454</v>
      </c>
      <c r="K32" s="178">
        <v>1615816.7999999435</v>
      </c>
      <c r="L32" s="183">
        <v>460.00000000000796</v>
      </c>
      <c r="M32" s="183">
        <v>714688.20000001241</v>
      </c>
      <c r="N32" s="182">
        <f t="shared" si="1"/>
        <v>2330504.9999999558</v>
      </c>
      <c r="O32" s="179">
        <f t="shared" si="2"/>
        <v>19855902.600000147</v>
      </c>
      <c r="P32" s="180">
        <f t="shared" si="3"/>
        <v>17500.000000000196</v>
      </c>
      <c r="Q32" s="144"/>
      <c r="R32" s="156"/>
      <c r="S32" s="164"/>
      <c r="T32" s="163"/>
      <c r="U32" s="162">
        <v>0</v>
      </c>
      <c r="V32" s="142">
        <f t="shared" si="4"/>
        <v>712.89</v>
      </c>
      <c r="W32" s="3">
        <v>23.14</v>
      </c>
      <c r="X32" s="178">
        <v>415837.37</v>
      </c>
      <c r="Y32" s="31">
        <v>689.75</v>
      </c>
      <c r="Z32" s="177">
        <v>2928112.9050000003</v>
      </c>
      <c r="AA32" s="177">
        <f t="shared" si="5"/>
        <v>3343950.2750000004</v>
      </c>
      <c r="AB32" s="102">
        <f t="shared" si="6"/>
        <v>230.26788837625674</v>
      </c>
      <c r="AC32" s="196">
        <v>0</v>
      </c>
      <c r="AD32" s="3">
        <v>0</v>
      </c>
      <c r="AE32" s="3">
        <v>118.18152000000057</v>
      </c>
      <c r="AF32" s="3">
        <v>0</v>
      </c>
      <c r="AG32" s="3">
        <f t="shared" si="7"/>
        <v>118.18152000000057</v>
      </c>
      <c r="AH32" s="178">
        <f t="shared" si="8"/>
        <v>2285630.5968000111</v>
      </c>
      <c r="AI32" s="40">
        <f t="shared" si="9"/>
        <v>157.39089635036572</v>
      </c>
      <c r="AJ32" s="111">
        <v>349.77999999999975</v>
      </c>
      <c r="AK32" s="178">
        <v>4197359.9999999972</v>
      </c>
      <c r="AL32" s="36">
        <f t="shared" si="10"/>
        <v>289.03456824128887</v>
      </c>
      <c r="AM32" s="7"/>
    </row>
    <row r="33" spans="1:39" ht="15" x14ac:dyDescent="0.25">
      <c r="A33" s="33"/>
      <c r="B33" s="52">
        <v>22</v>
      </c>
      <c r="C33" s="174">
        <v>19</v>
      </c>
      <c r="D33" s="175">
        <v>196</v>
      </c>
      <c r="E33" s="181">
        <v>12840.000000000146</v>
      </c>
      <c r="F33" s="178">
        <v>13299415.20000015</v>
      </c>
      <c r="G33" s="178">
        <v>2799.9999999999545</v>
      </c>
      <c r="H33" s="178">
        <v>4350275.9999999292</v>
      </c>
      <c r="I33" s="182">
        <f t="shared" si="0"/>
        <v>17649691.200000077</v>
      </c>
      <c r="J33" s="181">
        <v>1500</v>
      </c>
      <c r="K33" s="178">
        <v>1553670</v>
      </c>
      <c r="L33" s="183">
        <v>460.00000000000796</v>
      </c>
      <c r="M33" s="183">
        <v>714688.20000001241</v>
      </c>
      <c r="N33" s="182">
        <f t="shared" si="1"/>
        <v>2268358.2000000123</v>
      </c>
      <c r="O33" s="179">
        <f t="shared" si="2"/>
        <v>19918049.400000088</v>
      </c>
      <c r="P33" s="180">
        <f t="shared" si="3"/>
        <v>17600.000000000109</v>
      </c>
      <c r="Q33" s="144"/>
      <c r="R33" s="157"/>
      <c r="S33" s="164"/>
      <c r="T33" s="163"/>
      <c r="U33" s="162">
        <v>0</v>
      </c>
      <c r="V33" s="142">
        <f t="shared" si="4"/>
        <v>825.03000000000009</v>
      </c>
      <c r="W33" s="3">
        <v>124.60000000000001</v>
      </c>
      <c r="X33" s="178">
        <v>2239124.3000000003</v>
      </c>
      <c r="Y33" s="31">
        <v>700.43000000000006</v>
      </c>
      <c r="Z33" s="177">
        <v>2973451.4274000004</v>
      </c>
      <c r="AA33" s="177">
        <f t="shared" si="5"/>
        <v>5212575.7274000011</v>
      </c>
      <c r="AB33" s="102">
        <f t="shared" si="6"/>
        <v>358.94337745489611</v>
      </c>
      <c r="AC33" s="196">
        <v>0</v>
      </c>
      <c r="AD33" s="3">
        <v>0</v>
      </c>
      <c r="AE33" s="3">
        <v>106.46003999999932</v>
      </c>
      <c r="AF33" s="3">
        <v>24</v>
      </c>
      <c r="AG33" s="3">
        <f t="shared" si="7"/>
        <v>130.46003999999931</v>
      </c>
      <c r="AH33" s="178">
        <f t="shared" si="8"/>
        <v>2432937.1735999868</v>
      </c>
      <c r="AI33" s="40">
        <f t="shared" si="9"/>
        <v>167.53458019556444</v>
      </c>
      <c r="AJ33" s="111">
        <v>380.74000000000069</v>
      </c>
      <c r="AK33" s="178">
        <v>4568880.0000000084</v>
      </c>
      <c r="AL33" s="36">
        <f t="shared" si="10"/>
        <v>314.61782123674482</v>
      </c>
      <c r="AM33" s="7"/>
    </row>
    <row r="34" spans="1:39" ht="15" x14ac:dyDescent="0.25">
      <c r="A34" s="33"/>
      <c r="B34" s="52">
        <v>23</v>
      </c>
      <c r="C34" s="174">
        <v>14</v>
      </c>
      <c r="D34" s="175">
        <v>187</v>
      </c>
      <c r="E34" s="181">
        <v>12719.999999999345</v>
      </c>
      <c r="F34" s="178">
        <v>13175121.599999322</v>
      </c>
      <c r="G34" s="178">
        <v>2800.0000000001819</v>
      </c>
      <c r="H34" s="178">
        <v>4350276.0000002831</v>
      </c>
      <c r="I34" s="182">
        <f t="shared" si="0"/>
        <v>17525397.599999607</v>
      </c>
      <c r="J34" s="181">
        <v>1500</v>
      </c>
      <c r="K34" s="178">
        <v>1553670</v>
      </c>
      <c r="L34" s="183">
        <v>479.99999999998977</v>
      </c>
      <c r="M34" s="183">
        <v>745761.59999998414</v>
      </c>
      <c r="N34" s="182">
        <f t="shared" si="1"/>
        <v>2299431.5999999843</v>
      </c>
      <c r="O34" s="179">
        <f t="shared" si="2"/>
        <v>19824829.199999589</v>
      </c>
      <c r="P34" s="180">
        <f t="shared" si="3"/>
        <v>17499.999999999516</v>
      </c>
      <c r="Q34" s="145"/>
      <c r="R34" s="158"/>
      <c r="S34" s="164"/>
      <c r="T34" s="163"/>
      <c r="U34" s="162">
        <v>0</v>
      </c>
      <c r="V34" s="142">
        <f t="shared" si="4"/>
        <v>738.7</v>
      </c>
      <c r="W34" s="3">
        <v>126.38</v>
      </c>
      <c r="X34" s="178">
        <v>2271111.79</v>
      </c>
      <c r="Y34" s="31">
        <v>612.32000000000005</v>
      </c>
      <c r="Z34" s="177">
        <v>2599408.6176000005</v>
      </c>
      <c r="AA34" s="177">
        <f t="shared" si="5"/>
        <v>4870520.4076000005</v>
      </c>
      <c r="AB34" s="102">
        <f t="shared" si="6"/>
        <v>335.3890929348575</v>
      </c>
      <c r="AC34" s="196">
        <v>0</v>
      </c>
      <c r="AD34" s="3">
        <v>0</v>
      </c>
      <c r="AE34" s="3">
        <v>100.74028000000087</v>
      </c>
      <c r="AF34" s="3">
        <v>12</v>
      </c>
      <c r="AG34" s="3">
        <f t="shared" si="7"/>
        <v>112.74028000000087</v>
      </c>
      <c r="AH34" s="178">
        <f t="shared" si="8"/>
        <v>2135317.015200017</v>
      </c>
      <c r="AI34" s="40">
        <f t="shared" si="9"/>
        <v>147.0401470320904</v>
      </c>
      <c r="AJ34" s="111">
        <v>483.75999999999931</v>
      </c>
      <c r="AK34" s="178">
        <v>5805119.9999999916</v>
      </c>
      <c r="AL34" s="36">
        <f t="shared" si="10"/>
        <v>399.74659137859743</v>
      </c>
      <c r="AM34" s="7"/>
    </row>
    <row r="35" spans="1:39" ht="15" x14ac:dyDescent="0.25">
      <c r="A35" s="33"/>
      <c r="B35" s="52">
        <v>24</v>
      </c>
      <c r="C35" s="174">
        <v>10</v>
      </c>
      <c r="D35" s="175">
        <v>185</v>
      </c>
      <c r="E35" s="181">
        <v>12880.000000000109</v>
      </c>
      <c r="F35" s="178">
        <v>13340846.400000112</v>
      </c>
      <c r="G35" s="178">
        <v>2839.9999999999181</v>
      </c>
      <c r="H35" s="178">
        <v>4412422.7999998732</v>
      </c>
      <c r="I35" s="182">
        <f t="shared" si="0"/>
        <v>17753269.199999984</v>
      </c>
      <c r="J35" s="181">
        <v>1940.0000000000546</v>
      </c>
      <c r="K35" s="178">
        <v>2009413.2000000565</v>
      </c>
      <c r="L35" s="183">
        <v>580.00000000001251</v>
      </c>
      <c r="M35" s="183">
        <v>901128.60000001942</v>
      </c>
      <c r="N35" s="182">
        <f t="shared" si="1"/>
        <v>2910541.8000000762</v>
      </c>
      <c r="O35" s="179">
        <f t="shared" si="2"/>
        <v>20663811.00000006</v>
      </c>
      <c r="P35" s="180">
        <f t="shared" si="3"/>
        <v>18240.000000000091</v>
      </c>
      <c r="Q35" s="144"/>
      <c r="R35" s="156"/>
      <c r="S35" s="164"/>
      <c r="T35" s="163"/>
      <c r="U35" s="162">
        <v>0</v>
      </c>
      <c r="V35" s="142">
        <f t="shared" si="4"/>
        <v>673.73</v>
      </c>
      <c r="W35" s="3">
        <v>125.49</v>
      </c>
      <c r="X35" s="178">
        <v>2255118.0449999999</v>
      </c>
      <c r="Y35" s="31">
        <v>548.24</v>
      </c>
      <c r="Z35" s="177">
        <v>2327377.4832000001</v>
      </c>
      <c r="AA35" s="177">
        <f t="shared" si="5"/>
        <v>4582495.5282000005</v>
      </c>
      <c r="AB35" s="102">
        <f t="shared" si="6"/>
        <v>315.55540064729382</v>
      </c>
      <c r="AC35" s="196">
        <v>0</v>
      </c>
      <c r="AD35" s="3">
        <v>0</v>
      </c>
      <c r="AE35" s="3">
        <v>109.15879999999962</v>
      </c>
      <c r="AF35" s="3">
        <v>24</v>
      </c>
      <c r="AG35" s="3">
        <f t="shared" si="7"/>
        <v>133.15879999999962</v>
      </c>
      <c r="AH35" s="178">
        <f t="shared" si="8"/>
        <v>2485131.1919999924</v>
      </c>
      <c r="AI35" s="40">
        <f t="shared" si="9"/>
        <v>171.12871450213416</v>
      </c>
      <c r="AJ35" s="111">
        <v>265.8100000000004</v>
      </c>
      <c r="AK35" s="178">
        <v>3189720.0000000047</v>
      </c>
      <c r="AL35" s="36">
        <f t="shared" si="10"/>
        <v>219.6474314832671</v>
      </c>
      <c r="AM35" s="7"/>
    </row>
    <row r="36" spans="1:39" ht="15" x14ac:dyDescent="0.25">
      <c r="A36" s="33"/>
      <c r="B36" s="52">
        <v>25</v>
      </c>
      <c r="C36" s="174">
        <v>7</v>
      </c>
      <c r="D36" s="175">
        <v>84</v>
      </c>
      <c r="E36" s="181">
        <v>10800.000000000182</v>
      </c>
      <c r="F36" s="178">
        <v>11186424.000000188</v>
      </c>
      <c r="G36" s="178">
        <v>2720.0000000000273</v>
      </c>
      <c r="H36" s="178">
        <v>4225982.4000000423</v>
      </c>
      <c r="I36" s="182">
        <f t="shared" si="0"/>
        <v>15412406.400000229</v>
      </c>
      <c r="J36" s="181">
        <v>1599.9999999999091</v>
      </c>
      <c r="K36" s="178">
        <v>1657247.9999999057</v>
      </c>
      <c r="L36" s="183">
        <v>519.99999999998181</v>
      </c>
      <c r="M36" s="183">
        <v>807908.39999997173</v>
      </c>
      <c r="N36" s="182">
        <f t="shared" si="1"/>
        <v>2465156.3999998774</v>
      </c>
      <c r="O36" s="179">
        <f t="shared" si="2"/>
        <v>17877562.800000109</v>
      </c>
      <c r="P36" s="180">
        <f t="shared" si="3"/>
        <v>15640.0000000001</v>
      </c>
      <c r="Q36" s="144"/>
      <c r="R36" s="156"/>
      <c r="S36" s="164"/>
      <c r="T36" s="163"/>
      <c r="U36" s="162">
        <v>0</v>
      </c>
      <c r="V36" s="142">
        <f t="shared" si="4"/>
        <v>799.22</v>
      </c>
      <c r="W36" s="3">
        <v>124.60000000000001</v>
      </c>
      <c r="X36" s="178">
        <v>2239124.3000000003</v>
      </c>
      <c r="Y36" s="31">
        <v>674.62</v>
      </c>
      <c r="Z36" s="177">
        <v>2863883.3316000002</v>
      </c>
      <c r="AA36" s="177">
        <f t="shared" si="5"/>
        <v>5103007.6316</v>
      </c>
      <c r="AB36" s="102">
        <f t="shared" si="6"/>
        <v>351.39840459991734</v>
      </c>
      <c r="AC36" s="196">
        <v>136.99228000003751</v>
      </c>
      <c r="AD36" s="3">
        <v>0</v>
      </c>
      <c r="AE36" s="3">
        <v>99.165332000000561</v>
      </c>
      <c r="AF36" s="3">
        <v>24</v>
      </c>
      <c r="AG36" s="3">
        <f t="shared" si="7"/>
        <v>260.15761200003806</v>
      </c>
      <c r="AH36" s="178">
        <f t="shared" si="8"/>
        <v>10222949.403774502</v>
      </c>
      <c r="AI36" s="40">
        <f t="shared" si="9"/>
        <v>703.96291170462075</v>
      </c>
      <c r="AJ36" s="111">
        <v>4287.1099999999769</v>
      </c>
      <c r="AK36" s="178">
        <v>51445319.999999724</v>
      </c>
      <c r="AL36" s="36">
        <f t="shared" si="10"/>
        <v>3542.5781572785927</v>
      </c>
      <c r="AM36" s="7"/>
    </row>
    <row r="37" spans="1:39" ht="15" x14ac:dyDescent="0.25">
      <c r="A37" s="33"/>
      <c r="B37" s="52">
        <v>26</v>
      </c>
      <c r="C37" s="174">
        <v>10</v>
      </c>
      <c r="D37" s="175">
        <v>120</v>
      </c>
      <c r="E37" s="181">
        <v>12880.000000000109</v>
      </c>
      <c r="F37" s="178">
        <v>13340846.400000112</v>
      </c>
      <c r="G37" s="178">
        <v>3159.9999999998545</v>
      </c>
      <c r="H37" s="178">
        <v>4909597.1999997739</v>
      </c>
      <c r="I37" s="182">
        <f t="shared" si="0"/>
        <v>18250443.599999886</v>
      </c>
      <c r="J37" s="181">
        <v>1700.0000000000455</v>
      </c>
      <c r="K37" s="178">
        <v>1760826.000000047</v>
      </c>
      <c r="L37" s="183">
        <v>460.00000000000796</v>
      </c>
      <c r="M37" s="183">
        <v>714688.20000001241</v>
      </c>
      <c r="N37" s="182">
        <f t="shared" si="1"/>
        <v>2475514.2000000593</v>
      </c>
      <c r="O37" s="179">
        <f t="shared" si="2"/>
        <v>20725957.799999945</v>
      </c>
      <c r="P37" s="180">
        <f t="shared" si="3"/>
        <v>18200.000000000015</v>
      </c>
      <c r="Q37" s="144"/>
      <c r="R37" s="156"/>
      <c r="S37" s="164"/>
      <c r="T37" s="163"/>
      <c r="U37" s="162">
        <v>0</v>
      </c>
      <c r="V37" s="142">
        <f t="shared" si="4"/>
        <v>701.32</v>
      </c>
      <c r="W37" s="3">
        <v>6.23</v>
      </c>
      <c r="X37" s="178">
        <v>111956.21500000001</v>
      </c>
      <c r="Y37" s="31">
        <v>695.09</v>
      </c>
      <c r="Z37" s="177">
        <v>2950782.1662000003</v>
      </c>
      <c r="AA37" s="177">
        <f t="shared" si="5"/>
        <v>3062738.3812000002</v>
      </c>
      <c r="AB37" s="102">
        <f t="shared" si="6"/>
        <v>210.90334535187992</v>
      </c>
      <c r="AC37" s="196">
        <v>137.91871999996246</v>
      </c>
      <c r="AD37" s="3">
        <v>0</v>
      </c>
      <c r="AE37" s="3">
        <v>121.51267599999964</v>
      </c>
      <c r="AF37" s="3">
        <v>0</v>
      </c>
      <c r="AG37" s="3">
        <f t="shared" si="7"/>
        <v>259.43139599996209</v>
      </c>
      <c r="AH37" s="178">
        <f t="shared" si="8"/>
        <v>10334782.7654295</v>
      </c>
      <c r="AI37" s="40">
        <f t="shared" si="9"/>
        <v>711.66387311868198</v>
      </c>
      <c r="AJ37" s="111">
        <v>353.34999999999945</v>
      </c>
      <c r="AK37" s="178">
        <v>4240199.9999999935</v>
      </c>
      <c r="AL37" s="36">
        <f t="shared" si="10"/>
        <v>291.98457512739247</v>
      </c>
      <c r="AM37" s="7"/>
    </row>
    <row r="38" spans="1:39" ht="15" x14ac:dyDescent="0.25">
      <c r="A38" s="33"/>
      <c r="B38" s="52">
        <v>27</v>
      </c>
      <c r="C38" s="174">
        <v>17</v>
      </c>
      <c r="D38" s="175">
        <v>132</v>
      </c>
      <c r="E38" s="181">
        <v>14319.999999999709</v>
      </c>
      <c r="F38" s="178">
        <v>14832369.599999698</v>
      </c>
      <c r="G38" s="178">
        <v>3280.0000000002001</v>
      </c>
      <c r="H38" s="178">
        <v>5096037.6000003107</v>
      </c>
      <c r="I38" s="182">
        <f t="shared" si="0"/>
        <v>19928407.20000001</v>
      </c>
      <c r="J38" s="181">
        <v>1620.0000000000045</v>
      </c>
      <c r="K38" s="178">
        <v>1677963.6000000047</v>
      </c>
      <c r="L38" s="183">
        <v>359.99999999998522</v>
      </c>
      <c r="M38" s="183">
        <v>559321.19999997702</v>
      </c>
      <c r="N38" s="182">
        <f t="shared" si="1"/>
        <v>2237284.7999999817</v>
      </c>
      <c r="O38" s="179">
        <f t="shared" si="2"/>
        <v>22165691.999999993</v>
      </c>
      <c r="P38" s="180">
        <f t="shared" si="3"/>
        <v>19579.999999999898</v>
      </c>
      <c r="Q38" s="144"/>
      <c r="R38" s="156"/>
      <c r="S38" s="164"/>
      <c r="T38" s="163"/>
      <c r="U38" s="162">
        <v>0</v>
      </c>
      <c r="V38" s="142">
        <f t="shared" si="4"/>
        <v>776.08</v>
      </c>
      <c r="W38" s="3">
        <v>94.34</v>
      </c>
      <c r="X38" s="178">
        <v>1695336.97</v>
      </c>
      <c r="Y38" s="31">
        <v>681.74</v>
      </c>
      <c r="Z38" s="177">
        <v>2894109.0132000004</v>
      </c>
      <c r="AA38" s="177">
        <f t="shared" si="5"/>
        <v>4589445.9832000006</v>
      </c>
      <c r="AB38" s="102">
        <f t="shared" si="6"/>
        <v>316.03401619611628</v>
      </c>
      <c r="AC38" s="196">
        <v>165.67164000001873</v>
      </c>
      <c r="AD38" s="3">
        <v>0</v>
      </c>
      <c r="AE38" s="3">
        <v>107.5757959999995</v>
      </c>
      <c r="AF38" s="3">
        <v>12</v>
      </c>
      <c r="AG38" s="3">
        <f t="shared" si="7"/>
        <v>285.24743600001824</v>
      </c>
      <c r="AH38" s="178">
        <f t="shared" si="8"/>
        <v>11858983.379009232</v>
      </c>
      <c r="AI38" s="40">
        <f t="shared" si="9"/>
        <v>816.62191013698055</v>
      </c>
      <c r="AJ38" s="111">
        <v>374.47000000000025</v>
      </c>
      <c r="AK38" s="178">
        <v>4493640.0000000028</v>
      </c>
      <c r="AL38" s="36">
        <f t="shared" si="10"/>
        <v>309.43671670568813</v>
      </c>
      <c r="AM38" s="7"/>
    </row>
    <row r="39" spans="1:39" ht="15" x14ac:dyDescent="0.25">
      <c r="A39" s="33"/>
      <c r="B39" s="52">
        <v>28</v>
      </c>
      <c r="C39" s="174">
        <v>27</v>
      </c>
      <c r="D39" s="175">
        <v>183</v>
      </c>
      <c r="E39" s="181">
        <v>15239.999999999782</v>
      </c>
      <c r="F39" s="178">
        <v>15785287.199999774</v>
      </c>
      <c r="G39" s="178">
        <v>3119.9999999998909</v>
      </c>
      <c r="H39" s="178">
        <v>4847450.3999998309</v>
      </c>
      <c r="I39" s="182">
        <f t="shared" si="0"/>
        <v>20632737.599999607</v>
      </c>
      <c r="J39" s="181">
        <v>1519.9999999999818</v>
      </c>
      <c r="K39" s="178">
        <v>1574385.5999999812</v>
      </c>
      <c r="L39" s="183">
        <v>340.00000000000341</v>
      </c>
      <c r="M39" s="183">
        <v>528247.80000000529</v>
      </c>
      <c r="N39" s="182">
        <f t="shared" si="1"/>
        <v>2102633.3999999864</v>
      </c>
      <c r="O39" s="179">
        <f t="shared" si="2"/>
        <v>22735370.999999594</v>
      </c>
      <c r="P39" s="180">
        <f t="shared" si="3"/>
        <v>20219.999999999658</v>
      </c>
      <c r="Q39" s="144"/>
      <c r="R39" s="159"/>
      <c r="S39" s="164"/>
      <c r="T39" s="163"/>
      <c r="U39" s="162">
        <v>0</v>
      </c>
      <c r="V39" s="142">
        <f t="shared" si="4"/>
        <v>881.99</v>
      </c>
      <c r="W39" s="3">
        <v>107.69</v>
      </c>
      <c r="X39" s="178">
        <v>1935243.145</v>
      </c>
      <c r="Y39" s="31">
        <v>774.30000000000007</v>
      </c>
      <c r="Z39" s="177">
        <v>3287042.8740000003</v>
      </c>
      <c r="AA39" s="177">
        <f t="shared" si="5"/>
        <v>5222286.0190000003</v>
      </c>
      <c r="AB39" s="102">
        <f t="shared" si="6"/>
        <v>359.61203821787637</v>
      </c>
      <c r="AC39" s="196">
        <v>528.75556000001632</v>
      </c>
      <c r="AD39" s="3">
        <v>0</v>
      </c>
      <c r="AE39" s="3">
        <v>79.134088000000745</v>
      </c>
      <c r="AF39" s="3">
        <v>0</v>
      </c>
      <c r="AG39" s="3">
        <f t="shared" si="7"/>
        <v>607.88964800001702</v>
      </c>
      <c r="AH39" s="178">
        <f t="shared" si="8"/>
        <v>32142462.420029595</v>
      </c>
      <c r="AI39" s="40">
        <f t="shared" si="9"/>
        <v>2213.3633397624017</v>
      </c>
      <c r="AJ39" s="111">
        <v>317.19999999999982</v>
      </c>
      <c r="AK39" s="178">
        <v>3806399.9999999977</v>
      </c>
      <c r="AL39" s="36">
        <f t="shared" si="10"/>
        <v>262.11265665886225</v>
      </c>
      <c r="AM39" s="7"/>
    </row>
    <row r="40" spans="1:39" ht="15" x14ac:dyDescent="0.25">
      <c r="A40" s="33"/>
      <c r="B40" s="52">
        <v>29</v>
      </c>
      <c r="C40" s="174">
        <v>39</v>
      </c>
      <c r="D40" s="175">
        <v>265</v>
      </c>
      <c r="E40" s="181">
        <v>14920.000000000073</v>
      </c>
      <c r="F40" s="178">
        <v>15453837.600000074</v>
      </c>
      <c r="G40" s="178">
        <v>3759.9999999999909</v>
      </c>
      <c r="H40" s="178">
        <v>5841799.1999999862</v>
      </c>
      <c r="I40" s="182">
        <f t="shared" si="0"/>
        <v>21295636.80000006</v>
      </c>
      <c r="J40" s="181">
        <v>1440.0000000000546</v>
      </c>
      <c r="K40" s="178">
        <v>1491523.2000000565</v>
      </c>
      <c r="L40" s="183">
        <v>480.00000000001819</v>
      </c>
      <c r="M40" s="183">
        <v>745761.60000002827</v>
      </c>
      <c r="N40" s="182">
        <f t="shared" si="1"/>
        <v>2237284.8000000846</v>
      </c>
      <c r="O40" s="179">
        <f t="shared" si="2"/>
        <v>23532921.600000143</v>
      </c>
      <c r="P40" s="180">
        <f t="shared" si="3"/>
        <v>20600.000000000138</v>
      </c>
      <c r="Q40" s="145"/>
      <c r="R40" s="160"/>
      <c r="S40" s="164"/>
      <c r="T40" s="163"/>
      <c r="U40" s="162">
        <v>0</v>
      </c>
      <c r="V40" s="142">
        <f t="shared" si="4"/>
        <v>798.33</v>
      </c>
      <c r="W40" s="3">
        <v>96.12</v>
      </c>
      <c r="X40" s="178">
        <v>1727324.4600000002</v>
      </c>
      <c r="Y40" s="31">
        <v>702.21</v>
      </c>
      <c r="Z40" s="177">
        <v>2981007.8478000006</v>
      </c>
      <c r="AA40" s="177">
        <f t="shared" si="5"/>
        <v>4708332.3078000005</v>
      </c>
      <c r="AB40" s="102">
        <f t="shared" si="6"/>
        <v>324.22065196253965</v>
      </c>
      <c r="AC40" s="196">
        <v>543.6994399999835</v>
      </c>
      <c r="AD40" s="3">
        <v>0</v>
      </c>
      <c r="AE40" s="3">
        <v>71.940079999998673</v>
      </c>
      <c r="AF40" s="3">
        <v>0</v>
      </c>
      <c r="AG40" s="3">
        <f t="shared" si="7"/>
        <v>615.63951999998221</v>
      </c>
      <c r="AH40" s="178">
        <f t="shared" si="8"/>
        <v>32868497.929110374</v>
      </c>
      <c r="AI40" s="40">
        <f t="shared" si="9"/>
        <v>2263.3588988507349</v>
      </c>
      <c r="AJ40" s="111">
        <v>336.52000000000044</v>
      </c>
      <c r="AK40" s="178">
        <v>4038240.0000000051</v>
      </c>
      <c r="AL40" s="36">
        <f t="shared" si="10"/>
        <v>278.07739980718947</v>
      </c>
      <c r="AM40" s="7"/>
    </row>
    <row r="41" spans="1:39" ht="17.25" customHeight="1" x14ac:dyDescent="0.25">
      <c r="A41" s="33"/>
      <c r="B41" s="52">
        <v>30</v>
      </c>
      <c r="C41" s="174">
        <v>53</v>
      </c>
      <c r="D41" s="175">
        <v>358</v>
      </c>
      <c r="E41" s="181">
        <v>15440.000000000509</v>
      </c>
      <c r="F41" s="178">
        <v>15992443.200000526</v>
      </c>
      <c r="G41" s="178">
        <v>3400.0000000000909</v>
      </c>
      <c r="H41" s="178">
        <v>5282478.0000001416</v>
      </c>
      <c r="I41" s="182">
        <f t="shared" si="0"/>
        <v>21274921.200000666</v>
      </c>
      <c r="J41" s="181">
        <v>1899.9999999999773</v>
      </c>
      <c r="K41" s="178">
        <v>1967981.9999999765</v>
      </c>
      <c r="L41" s="183">
        <v>479.99999999998977</v>
      </c>
      <c r="M41" s="183">
        <v>745761.59999998414</v>
      </c>
      <c r="N41" s="182">
        <f t="shared" si="1"/>
        <v>2713743.5999999605</v>
      </c>
      <c r="O41" s="179">
        <f t="shared" si="2"/>
        <v>23988664.800000627</v>
      </c>
      <c r="P41" s="180">
        <f t="shared" si="3"/>
        <v>21220.000000000568</v>
      </c>
      <c r="Q41" s="144"/>
      <c r="R41" s="161"/>
      <c r="S41" s="164"/>
      <c r="T41" s="163"/>
      <c r="U41" s="162">
        <v>0</v>
      </c>
      <c r="V41" s="142">
        <f t="shared" si="4"/>
        <v>794.77</v>
      </c>
      <c r="W41" s="3">
        <v>129.05000000000001</v>
      </c>
      <c r="X41" s="178">
        <v>2319093.0250000004</v>
      </c>
      <c r="Y41" s="31">
        <v>665.72</v>
      </c>
      <c r="Z41" s="177">
        <v>2826101.2296000002</v>
      </c>
      <c r="AA41" s="177">
        <f t="shared" si="5"/>
        <v>5145194.2546000006</v>
      </c>
      <c r="AB41" s="102">
        <f t="shared" si="6"/>
        <v>354.30341926731859</v>
      </c>
      <c r="AC41" s="196">
        <v>544.9078399999953</v>
      </c>
      <c r="AD41" s="3">
        <v>0</v>
      </c>
      <c r="AE41" s="3">
        <v>87.66942000000131</v>
      </c>
      <c r="AF41" s="3">
        <v>60</v>
      </c>
      <c r="AG41" s="3">
        <f t="shared" si="7"/>
        <v>692.57725999999661</v>
      </c>
      <c r="AH41" s="178">
        <f t="shared" si="8"/>
        <v>34177663.010840714</v>
      </c>
      <c r="AI41" s="40">
        <f t="shared" si="9"/>
        <v>2353.5093658477285</v>
      </c>
      <c r="AJ41" s="111">
        <v>339.70999999998821</v>
      </c>
      <c r="AK41" s="178">
        <v>4076519.9999998584</v>
      </c>
      <c r="AL41" s="36">
        <f t="shared" si="10"/>
        <v>280.71340035806764</v>
      </c>
      <c r="AM41" s="7"/>
    </row>
    <row r="42" spans="1:39" s="8" customFormat="1" ht="13.5" customHeight="1" x14ac:dyDescent="0.25">
      <c r="A42" s="15"/>
      <c r="B42" s="95"/>
      <c r="C42" s="96"/>
      <c r="D42" s="96"/>
      <c r="E42" s="184"/>
      <c r="F42" s="185"/>
      <c r="G42" s="186"/>
      <c r="H42" s="185"/>
      <c r="I42" s="186"/>
      <c r="J42" s="186"/>
      <c r="K42" s="186"/>
      <c r="L42" s="185"/>
      <c r="M42" s="187"/>
      <c r="N42" s="187"/>
      <c r="O42" s="15"/>
      <c r="P42" s="60"/>
      <c r="Q42" s="15"/>
      <c r="R42" s="79"/>
      <c r="S42" s="7"/>
      <c r="T42" s="15"/>
      <c r="U42" s="32"/>
      <c r="V42" s="103"/>
      <c r="W42" s="15"/>
      <c r="X42" s="15"/>
      <c r="Y42" s="15"/>
      <c r="Z42" s="15"/>
      <c r="AA42" s="15"/>
      <c r="AB42" s="32"/>
      <c r="AC42" s="15"/>
      <c r="AD42" s="7"/>
      <c r="AE42" s="15"/>
      <c r="AF42" s="15"/>
      <c r="AG42" s="15"/>
      <c r="AH42" s="15"/>
      <c r="AI42" s="15"/>
      <c r="AJ42" s="79"/>
      <c r="AK42" s="15"/>
      <c r="AL42" s="32"/>
      <c r="AM42" s="15"/>
    </row>
    <row r="43" spans="1:39" s="8" customFormat="1" ht="6" customHeight="1" x14ac:dyDescent="0.25">
      <c r="A43" s="15"/>
      <c r="B43" s="95"/>
      <c r="C43" s="96"/>
      <c r="D43" s="96"/>
      <c r="E43" s="94"/>
      <c r="F43" s="7"/>
      <c r="G43" s="15"/>
      <c r="H43" s="7"/>
      <c r="I43" s="15"/>
      <c r="J43" s="15"/>
      <c r="K43" s="15"/>
      <c r="L43" s="7"/>
      <c r="M43" s="56"/>
      <c r="N43" s="60"/>
      <c r="O43" s="15"/>
      <c r="P43" s="60"/>
      <c r="Q43" s="15"/>
      <c r="R43" s="79"/>
      <c r="S43" s="16"/>
      <c r="T43" s="16"/>
      <c r="U43" s="32"/>
      <c r="V43" s="103"/>
      <c r="W43" s="15"/>
      <c r="X43" s="15"/>
      <c r="Y43" s="15"/>
      <c r="Z43" s="15"/>
      <c r="AA43" s="15"/>
      <c r="AB43" s="104"/>
      <c r="AC43" s="15"/>
      <c r="AD43" s="7"/>
      <c r="AE43" s="15"/>
      <c r="AF43" s="15"/>
      <c r="AG43" s="15"/>
      <c r="AH43" s="7"/>
      <c r="AI43" s="15"/>
      <c r="AJ43" s="81"/>
      <c r="AK43" s="5"/>
      <c r="AL43" s="37"/>
      <c r="AM43" s="15"/>
    </row>
    <row r="44" spans="1:39" s="8" customFormat="1" ht="16.5" thickBot="1" x14ac:dyDescent="0.3">
      <c r="A44" s="15"/>
      <c r="B44" s="97"/>
      <c r="C44" s="98"/>
      <c r="D44" s="98"/>
      <c r="E44" s="99"/>
      <c r="F44" s="66"/>
      <c r="G44" s="65"/>
      <c r="H44" s="66"/>
      <c r="I44" s="65"/>
      <c r="J44" s="65"/>
      <c r="K44" s="65"/>
      <c r="L44" s="66"/>
      <c r="M44" s="67"/>
      <c r="N44" s="68"/>
      <c r="O44" s="65"/>
      <c r="P44" s="68"/>
      <c r="Q44" s="65"/>
      <c r="R44" s="80"/>
      <c r="S44" s="69"/>
      <c r="T44" s="65"/>
      <c r="U44" s="143"/>
      <c r="V44" s="105"/>
      <c r="W44" s="71"/>
      <c r="X44" s="65"/>
      <c r="Y44" s="65"/>
      <c r="Z44" s="65"/>
      <c r="AA44" s="65"/>
      <c r="AB44" s="70"/>
      <c r="AC44" s="72"/>
      <c r="AD44" s="66"/>
      <c r="AE44" s="72"/>
      <c r="AF44" s="72"/>
      <c r="AG44" s="72"/>
      <c r="AH44" s="66"/>
      <c r="AI44" s="65"/>
      <c r="AJ44" s="112"/>
      <c r="AK44" s="73"/>
      <c r="AL44" s="74"/>
      <c r="AM44" s="15"/>
    </row>
    <row r="45" spans="1:39" ht="17.25" thickTop="1" thickBot="1" x14ac:dyDescent="0.3">
      <c r="A45" s="24"/>
      <c r="B45" s="63"/>
      <c r="C45" s="64">
        <f>SUM(C12:C41)</f>
        <v>684</v>
      </c>
      <c r="D45" s="64">
        <f>SUM(D12:D41)</f>
        <v>5707</v>
      </c>
      <c r="E45" s="188">
        <f>SUM(E12:E41)</f>
        <v>374680.00000000029</v>
      </c>
      <c r="F45" s="188">
        <f>SUM(F12:F41)</f>
        <v>388086050.40000027</v>
      </c>
      <c r="G45" s="188">
        <f>SUM(G12:G41)</f>
        <v>80960.000000000044</v>
      </c>
      <c r="H45" s="188">
        <f>SUM(H12:H41)</f>
        <v>125785123.20000005</v>
      </c>
      <c r="I45" s="188">
        <f>SUM(I12:I41)</f>
        <v>513871173.60000026</v>
      </c>
      <c r="J45" s="188">
        <f>SUM(J12:J41)</f>
        <v>43980.000000000022</v>
      </c>
      <c r="K45" s="188">
        <f>SUM(K12:K41)</f>
        <v>45553604.400000013</v>
      </c>
      <c r="L45" s="188">
        <f>SUM(L12:L41)</f>
        <v>12080.000000000011</v>
      </c>
      <c r="M45" s="188">
        <f>SUM(M12:M41)</f>
        <v>18768333.60000002</v>
      </c>
      <c r="N45" s="188">
        <f>SUM(N12:N41)</f>
        <v>64321938.000000045</v>
      </c>
      <c r="O45" s="244">
        <f>SUM(O12:O41)</f>
        <v>578193111.6000005</v>
      </c>
      <c r="P45" s="189">
        <f>SUM(P12:P41)</f>
        <v>511700.00000000041</v>
      </c>
      <c r="Q45" s="190"/>
      <c r="R45" s="191"/>
      <c r="S45" s="192"/>
      <c r="T45" s="192"/>
      <c r="U45" s="193"/>
      <c r="V45" s="194">
        <f>SUM(V12:V41)</f>
        <v>23466.630000000008</v>
      </c>
      <c r="W45" s="195">
        <f>SUM(W12:W41)</f>
        <v>3489.69</v>
      </c>
      <c r="X45" s="195">
        <f>SUM(X12:X41)</f>
        <v>62711474.144999988</v>
      </c>
      <c r="Y45" s="195">
        <f>SUM(Y12:Y41)</f>
        <v>19976.940000000002</v>
      </c>
      <c r="Z45" s="195">
        <f>SUM(Z12:Z41)</f>
        <v>84805706.149200007</v>
      </c>
      <c r="AA45" s="194">
        <f>SUM(AA12:AA41)</f>
        <v>147517180.29419997</v>
      </c>
      <c r="AB45" s="195">
        <f>SUM(AB12:AB41)</f>
        <v>10158.186220506817</v>
      </c>
      <c r="AC45" s="198">
        <f>SUM(AC12:AC41)</f>
        <v>2057.945480000014</v>
      </c>
      <c r="AD45" s="199">
        <f>SUM(AD12:AD41)</f>
        <v>0</v>
      </c>
      <c r="AE45" s="198">
        <f>SUM(AE12:AE41)</f>
        <v>2977.8520640000006</v>
      </c>
      <c r="AF45" s="198">
        <f>SUM(AF12:AF41)</f>
        <v>492</v>
      </c>
      <c r="AG45" s="246">
        <f>SUM(AG12:AG41)</f>
        <v>5527.7975440000155</v>
      </c>
      <c r="AH45" s="247">
        <f>SUM(AH12:AH41)</f>
        <v>184402268.26467392</v>
      </c>
      <c r="AI45" s="248">
        <f>AH45/$AL$46</f>
        <v>14210.927040786086</v>
      </c>
      <c r="AJ45" s="245">
        <f>SUM(AJ12:AJ41)</f>
        <v>14449.849999999966</v>
      </c>
      <c r="AK45" s="245">
        <f>SUM(AK12:AK41)</f>
        <v>173398199.99999958</v>
      </c>
      <c r="AL45" s="200">
        <f>AK45/AL46</f>
        <v>13362.900534752733</v>
      </c>
      <c r="AM45" s="24"/>
    </row>
    <row r="46" spans="1:39" s="1" customFormat="1" x14ac:dyDescent="0.25">
      <c r="A46" s="24"/>
      <c r="B46" s="24"/>
      <c r="C46" s="5"/>
      <c r="D46" s="11"/>
      <c r="E46" s="5"/>
      <c r="F46" s="5"/>
      <c r="G46" s="11"/>
      <c r="H46" s="5"/>
      <c r="I46" s="9"/>
      <c r="J46" s="9"/>
      <c r="K46" s="9"/>
      <c r="L46" s="17"/>
      <c r="M46" s="57"/>
      <c r="N46" s="61"/>
      <c r="O46" s="10"/>
      <c r="P46" s="61"/>
      <c r="Q46" s="10"/>
      <c r="R46" s="93"/>
      <c r="S46" s="14"/>
      <c r="T46" s="75" t="s">
        <v>29</v>
      </c>
      <c r="U46" s="114" t="e">
        <f>U45/S45</f>
        <v>#DIV/0!</v>
      </c>
      <c r="V46" s="146" t="s">
        <v>51</v>
      </c>
      <c r="W46" s="11"/>
      <c r="X46" s="11"/>
      <c r="Y46" s="108"/>
      <c r="Z46" s="11"/>
      <c r="AA46" s="11"/>
      <c r="AB46" s="11"/>
      <c r="AC46" s="16"/>
      <c r="AD46" s="7"/>
      <c r="AE46" s="16"/>
      <c r="AF46" s="16"/>
      <c r="AG46" s="7"/>
      <c r="AH46" s="167"/>
      <c r="AI46" s="11"/>
      <c r="AJ46" s="81"/>
      <c r="AK46" s="11"/>
      <c r="AL46" s="113">
        <v>12976.09</v>
      </c>
      <c r="AM46" s="24"/>
    </row>
    <row r="47" spans="1:39" s="1" customFormat="1" x14ac:dyDescent="0.25">
      <c r="A47" s="24"/>
      <c r="B47" s="24"/>
      <c r="C47" s="5"/>
      <c r="D47" s="11"/>
      <c r="E47" s="5"/>
      <c r="F47" s="5"/>
      <c r="G47" s="11"/>
      <c r="H47" s="5"/>
      <c r="I47" s="9"/>
      <c r="J47" s="9"/>
      <c r="K47" s="9"/>
      <c r="L47" s="17"/>
      <c r="M47" s="57"/>
      <c r="N47" s="61"/>
      <c r="O47" s="10"/>
      <c r="P47" s="61">
        <f>O45/P45</f>
        <v>1129.9454985342975</v>
      </c>
      <c r="Q47" s="10"/>
      <c r="R47" s="93"/>
      <c r="S47" s="14"/>
      <c r="T47" s="168"/>
      <c r="U47" s="114"/>
      <c r="V47" s="146"/>
      <c r="W47" s="166"/>
      <c r="X47" s="166"/>
      <c r="Y47" s="108"/>
      <c r="Z47" s="166"/>
      <c r="AA47" s="11">
        <f>AA45/V45</f>
        <v>6286.2533007168022</v>
      </c>
      <c r="AB47" s="11"/>
      <c r="AC47" s="16"/>
      <c r="AD47" s="7"/>
      <c r="AE47" s="16"/>
      <c r="AF47" s="16"/>
      <c r="AG47" s="7"/>
      <c r="AH47" s="167"/>
      <c r="AI47" s="11"/>
      <c r="AJ47" s="81"/>
      <c r="AK47" s="11"/>
      <c r="AL47" s="113"/>
      <c r="AM47" s="24"/>
    </row>
    <row r="48" spans="1:39" s="1" customFormat="1" x14ac:dyDescent="0.25">
      <c r="A48" s="24"/>
      <c r="B48" s="24"/>
      <c r="C48" s="5"/>
      <c r="D48" s="11"/>
      <c r="E48" s="5"/>
      <c r="F48" s="5"/>
      <c r="G48" s="11"/>
      <c r="H48" s="5"/>
      <c r="I48" s="9"/>
      <c r="J48" s="9"/>
      <c r="K48" s="9"/>
      <c r="L48" s="17"/>
      <c r="M48" s="57"/>
      <c r="N48" s="61"/>
      <c r="O48" s="10"/>
      <c r="P48" s="61"/>
      <c r="Q48" s="10"/>
      <c r="R48" s="93"/>
      <c r="S48" s="14"/>
      <c r="T48" s="75"/>
      <c r="U48" s="114"/>
      <c r="V48" s="146"/>
      <c r="W48" s="11"/>
      <c r="X48" s="11"/>
      <c r="Y48" s="108"/>
      <c r="Z48" s="166"/>
      <c r="AA48" s="11"/>
      <c r="AB48" s="11"/>
      <c r="AC48" s="16"/>
      <c r="AD48" s="7"/>
      <c r="AE48" s="16"/>
      <c r="AF48" s="16"/>
      <c r="AG48" s="172"/>
      <c r="AH48" s="167"/>
      <c r="AI48" s="11"/>
      <c r="AJ48" s="81"/>
      <c r="AK48" s="11"/>
      <c r="AL48" s="113"/>
      <c r="AM48" s="24"/>
    </row>
    <row r="49" spans="1:39" s="149" customFormat="1" x14ac:dyDescent="0.25">
      <c r="A49" s="147"/>
      <c r="B49" s="147"/>
      <c r="C49" s="148"/>
      <c r="E49" s="148"/>
      <c r="F49" s="148"/>
      <c r="H49" s="148"/>
      <c r="L49" s="148"/>
      <c r="M49" s="150"/>
      <c r="N49" s="151"/>
      <c r="P49" s="151"/>
      <c r="R49" s="152"/>
      <c r="T49" s="165"/>
      <c r="Y49" s="171"/>
      <c r="AD49" s="148"/>
      <c r="AG49" s="165"/>
      <c r="AH49" s="148"/>
      <c r="AJ49" s="152"/>
      <c r="AL49" s="153"/>
      <c r="AM49" s="147"/>
    </row>
    <row r="50" spans="1:39" s="149" customFormat="1" x14ac:dyDescent="0.25">
      <c r="A50" s="147"/>
      <c r="B50" s="147"/>
      <c r="C50" s="148"/>
      <c r="E50" s="148"/>
      <c r="F50" s="148"/>
      <c r="H50" s="148"/>
      <c r="L50" s="148"/>
      <c r="M50" s="150"/>
      <c r="N50" s="151"/>
      <c r="P50" s="151"/>
      <c r="R50" s="152"/>
      <c r="S50" s="165"/>
      <c r="T50" s="165"/>
      <c r="Z50" s="165"/>
      <c r="AD50" s="148"/>
      <c r="AH50" s="148"/>
      <c r="AJ50" s="152"/>
      <c r="AL50" s="153"/>
      <c r="AM50" s="147"/>
    </row>
    <row r="51" spans="1:39" s="149" customFormat="1" x14ac:dyDescent="0.25">
      <c r="A51" s="147"/>
      <c r="B51" s="147"/>
      <c r="C51" s="148"/>
      <c r="E51" s="148"/>
      <c r="F51" s="148"/>
      <c r="H51" s="148"/>
      <c r="L51" s="148"/>
      <c r="M51" s="150"/>
      <c r="N51" s="151"/>
      <c r="P51" s="151"/>
      <c r="R51" s="152"/>
      <c r="X51" s="165"/>
      <c r="AD51" s="148"/>
      <c r="AH51" s="148"/>
      <c r="AJ51" s="152"/>
      <c r="AL51" s="153"/>
      <c r="AM51" s="147"/>
    </row>
    <row r="52" spans="1:39" s="149" customFormat="1" x14ac:dyDescent="0.25">
      <c r="A52" s="147"/>
      <c r="B52" s="147"/>
      <c r="C52" s="148"/>
      <c r="E52" s="148"/>
      <c r="F52" s="148"/>
      <c r="H52" s="148"/>
      <c r="L52" s="148"/>
      <c r="M52" s="150"/>
      <c r="N52" s="151"/>
      <c r="P52" s="151"/>
      <c r="R52" s="152"/>
      <c r="S52" s="165"/>
      <c r="AD52" s="148"/>
      <c r="AH52" s="148"/>
      <c r="AJ52" s="152"/>
      <c r="AL52" s="153"/>
      <c r="AM52" s="147"/>
    </row>
    <row r="53" spans="1:39" s="149" customFormat="1" x14ac:dyDescent="0.25">
      <c r="A53" s="147"/>
      <c r="B53" s="147"/>
      <c r="C53" s="148"/>
      <c r="E53" s="148"/>
      <c r="F53" s="148"/>
      <c r="H53" s="148"/>
      <c r="L53" s="148"/>
      <c r="M53" s="150"/>
      <c r="N53" s="151"/>
      <c r="P53" s="151"/>
      <c r="R53" s="152"/>
      <c r="T53" s="165"/>
      <c r="AD53" s="148"/>
      <c r="AH53" s="148"/>
      <c r="AJ53" s="152"/>
      <c r="AL53" s="153"/>
      <c r="AM53" s="147"/>
    </row>
    <row r="54" spans="1:39" s="149" customFormat="1" x14ac:dyDescent="0.25">
      <c r="A54" s="147"/>
      <c r="B54" s="147"/>
      <c r="C54" s="148"/>
      <c r="E54" s="148"/>
      <c r="F54" s="148"/>
      <c r="H54" s="148"/>
      <c r="L54" s="148"/>
      <c r="M54" s="150"/>
      <c r="N54" s="151"/>
      <c r="P54" s="151"/>
      <c r="R54" s="152"/>
      <c r="AD54" s="148"/>
      <c r="AH54" s="148"/>
      <c r="AJ54" s="152"/>
      <c r="AL54" s="153"/>
      <c r="AM54" s="147"/>
    </row>
    <row r="55" spans="1:39" s="149" customFormat="1" x14ac:dyDescent="0.25">
      <c r="A55" s="147"/>
      <c r="B55" s="147"/>
      <c r="C55" s="148"/>
      <c r="E55" s="148"/>
      <c r="F55" s="148"/>
      <c r="H55" s="148"/>
      <c r="L55" s="148"/>
      <c r="M55" s="150"/>
      <c r="N55" s="151"/>
      <c r="P55" s="151"/>
      <c r="R55" s="152"/>
      <c r="AD55" s="148"/>
      <c r="AH55" s="148"/>
      <c r="AJ55" s="152"/>
      <c r="AL55" s="153"/>
      <c r="AM55" s="147"/>
    </row>
    <row r="56" spans="1:39" s="149" customFormat="1" x14ac:dyDescent="0.25">
      <c r="A56" s="147"/>
      <c r="B56" s="147"/>
      <c r="C56" s="148"/>
      <c r="E56" s="148"/>
      <c r="F56" s="148"/>
      <c r="H56" s="148"/>
      <c r="L56" s="148"/>
      <c r="M56" s="150"/>
      <c r="N56" s="151"/>
      <c r="P56" s="151"/>
      <c r="R56" s="152"/>
      <c r="AD56" s="148"/>
      <c r="AH56" s="148"/>
      <c r="AJ56" s="152"/>
      <c r="AL56" s="153"/>
      <c r="AM56" s="147"/>
    </row>
    <row r="57" spans="1:39" s="149" customFormat="1" x14ac:dyDescent="0.25">
      <c r="A57" s="147"/>
      <c r="B57" s="147"/>
      <c r="C57" s="148"/>
      <c r="E57" s="148"/>
      <c r="F57" s="148"/>
      <c r="H57" s="148"/>
      <c r="L57" s="148"/>
      <c r="M57" s="150"/>
      <c r="N57" s="151"/>
      <c r="P57" s="151"/>
      <c r="R57" s="152"/>
      <c r="AD57" s="148"/>
      <c r="AH57" s="148"/>
      <c r="AJ57" s="152"/>
      <c r="AL57" s="153"/>
      <c r="AM57" s="147"/>
    </row>
    <row r="58" spans="1:39" s="149" customFormat="1" x14ac:dyDescent="0.25">
      <c r="A58" s="147"/>
      <c r="B58" s="147"/>
      <c r="C58" s="148"/>
      <c r="E58" s="148"/>
      <c r="F58" s="148"/>
      <c r="H58" s="148"/>
      <c r="L58" s="148"/>
      <c r="M58" s="150"/>
      <c r="N58" s="151"/>
      <c r="P58" s="151"/>
      <c r="R58" s="152"/>
      <c r="AD58" s="148"/>
      <c r="AH58" s="148"/>
      <c r="AJ58" s="152"/>
      <c r="AL58" s="153"/>
      <c r="AM58" s="147"/>
    </row>
    <row r="59" spans="1:39" s="149" customFormat="1" x14ac:dyDescent="0.25">
      <c r="A59" s="147"/>
      <c r="B59" s="147"/>
      <c r="C59" s="148"/>
      <c r="E59" s="148"/>
      <c r="F59" s="148"/>
      <c r="H59" s="148"/>
      <c r="L59" s="148"/>
      <c r="M59" s="150"/>
      <c r="N59" s="151"/>
      <c r="P59" s="151"/>
      <c r="R59" s="152"/>
      <c r="AD59" s="148"/>
      <c r="AH59" s="148"/>
      <c r="AJ59" s="152"/>
      <c r="AL59" s="153"/>
      <c r="AM59" s="147"/>
    </row>
    <row r="60" spans="1:39" s="149" customFormat="1" x14ac:dyDescent="0.25">
      <c r="A60" s="147"/>
      <c r="B60" s="147"/>
      <c r="C60" s="148"/>
      <c r="E60" s="148"/>
      <c r="F60" s="148"/>
      <c r="H60" s="148"/>
      <c r="L60" s="148"/>
      <c r="M60" s="150"/>
      <c r="N60" s="151"/>
      <c r="P60" s="151"/>
      <c r="R60" s="152"/>
      <c r="AD60" s="148"/>
      <c r="AH60" s="148"/>
      <c r="AJ60" s="152"/>
      <c r="AL60" s="153"/>
      <c r="AM60" s="147"/>
    </row>
    <row r="61" spans="1:39" s="149" customFormat="1" x14ac:dyDescent="0.25">
      <c r="A61" s="147"/>
      <c r="B61" s="147"/>
      <c r="C61" s="148"/>
      <c r="E61" s="148"/>
      <c r="F61" s="148"/>
      <c r="H61" s="148"/>
      <c r="I61" s="148"/>
      <c r="J61" s="148"/>
      <c r="L61" s="148"/>
      <c r="M61" s="150"/>
      <c r="N61" s="151"/>
      <c r="P61" s="151"/>
      <c r="R61" s="152"/>
      <c r="AD61" s="148"/>
      <c r="AH61" s="148"/>
      <c r="AJ61" s="152"/>
      <c r="AL61" s="153"/>
      <c r="AM61" s="147"/>
    </row>
    <row r="62" spans="1:39" s="149" customFormat="1" x14ac:dyDescent="0.25">
      <c r="A62" s="147"/>
      <c r="B62" s="147"/>
      <c r="C62" s="148"/>
      <c r="E62" s="148"/>
      <c r="F62" s="148"/>
      <c r="H62" s="148"/>
      <c r="L62" s="148"/>
      <c r="M62" s="150"/>
      <c r="N62" s="151"/>
      <c r="P62" s="151"/>
      <c r="R62" s="152"/>
      <c r="AD62" s="148"/>
      <c r="AH62" s="148"/>
      <c r="AJ62" s="152"/>
      <c r="AL62" s="153"/>
      <c r="AM62" s="147"/>
    </row>
    <row r="63" spans="1:39" s="149" customFormat="1" x14ac:dyDescent="0.25">
      <c r="A63" s="147"/>
      <c r="B63" s="147"/>
      <c r="C63" s="148"/>
      <c r="E63" s="148"/>
      <c r="F63" s="148"/>
      <c r="H63" s="148"/>
      <c r="L63" s="148"/>
      <c r="M63" s="150"/>
      <c r="N63" s="151"/>
      <c r="P63" s="151"/>
      <c r="R63" s="152"/>
      <c r="AD63" s="148"/>
      <c r="AH63" s="148"/>
      <c r="AJ63" s="152"/>
      <c r="AL63" s="153"/>
      <c r="AM63" s="147"/>
    </row>
    <row r="64" spans="1:39" s="149" customFormat="1" x14ac:dyDescent="0.25">
      <c r="A64" s="147"/>
      <c r="B64" s="147"/>
      <c r="C64" s="148"/>
      <c r="E64" s="148"/>
      <c r="F64" s="148"/>
      <c r="H64" s="148"/>
      <c r="L64" s="148"/>
      <c r="M64" s="150"/>
      <c r="N64" s="151"/>
      <c r="P64" s="151"/>
      <c r="R64" s="152"/>
      <c r="AD64" s="148"/>
      <c r="AH64" s="148"/>
      <c r="AJ64" s="152"/>
      <c r="AL64" s="153"/>
      <c r="AM64" s="147"/>
    </row>
    <row r="65" spans="1:39" s="149" customFormat="1" x14ac:dyDescent="0.25">
      <c r="A65" s="147"/>
      <c r="B65" s="147"/>
      <c r="C65" s="148"/>
      <c r="E65" s="148"/>
      <c r="F65" s="148"/>
      <c r="H65" s="148"/>
      <c r="L65" s="148"/>
      <c r="M65" s="150"/>
      <c r="N65" s="151"/>
      <c r="P65" s="151"/>
      <c r="R65" s="152"/>
      <c r="AD65" s="148"/>
      <c r="AH65" s="148"/>
      <c r="AJ65" s="152"/>
      <c r="AL65" s="153"/>
      <c r="AM65" s="147"/>
    </row>
    <row r="66" spans="1:39" s="149" customFormat="1" x14ac:dyDescent="0.25">
      <c r="A66" s="147"/>
      <c r="B66" s="147"/>
      <c r="C66" s="148"/>
      <c r="E66" s="148"/>
      <c r="F66" s="148"/>
      <c r="H66" s="148"/>
      <c r="L66" s="148"/>
      <c r="M66" s="150"/>
      <c r="N66" s="151"/>
      <c r="P66" s="151"/>
      <c r="R66" s="152"/>
      <c r="AD66" s="148"/>
      <c r="AH66" s="148"/>
      <c r="AJ66" s="152"/>
      <c r="AL66" s="153"/>
      <c r="AM66" s="147"/>
    </row>
    <row r="67" spans="1:39" s="149" customFormat="1" x14ac:dyDescent="0.25">
      <c r="A67" s="147"/>
      <c r="B67" s="147"/>
      <c r="C67" s="148"/>
      <c r="E67" s="148"/>
      <c r="F67" s="148"/>
      <c r="H67" s="148"/>
      <c r="L67" s="148"/>
      <c r="M67" s="150"/>
      <c r="N67" s="151"/>
      <c r="P67" s="151"/>
      <c r="R67" s="152"/>
      <c r="AD67" s="148"/>
      <c r="AH67" s="148"/>
      <c r="AJ67" s="152"/>
      <c r="AL67" s="153"/>
      <c r="AM67" s="147"/>
    </row>
    <row r="68" spans="1:39" s="149" customFormat="1" x14ac:dyDescent="0.25">
      <c r="A68" s="147"/>
      <c r="B68" s="147"/>
      <c r="C68" s="148"/>
      <c r="E68" s="148"/>
      <c r="F68" s="148"/>
      <c r="H68" s="148"/>
      <c r="L68" s="148"/>
      <c r="M68" s="150"/>
      <c r="N68" s="151"/>
      <c r="P68" s="151"/>
      <c r="R68" s="152"/>
      <c r="AD68" s="148"/>
      <c r="AH68" s="148"/>
      <c r="AJ68" s="152"/>
      <c r="AL68" s="153"/>
      <c r="AM68" s="147"/>
    </row>
  </sheetData>
  <mergeCells count="18"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AJ9:AL9"/>
    <mergeCell ref="R9:R10"/>
    <mergeCell ref="S9:S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K14" sqref="K14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5" t="s">
        <v>28</v>
      </c>
    </row>
    <row r="2" spans="1:3" ht="18" x14ac:dyDescent="0.35">
      <c r="A2" s="240">
        <v>44621</v>
      </c>
      <c r="B2" s="241"/>
      <c r="C2" s="241"/>
    </row>
    <row r="3" spans="1:3" x14ac:dyDescent="0.25">
      <c r="A3" s="243" t="s">
        <v>1</v>
      </c>
      <c r="B3" s="242" t="s">
        <v>2</v>
      </c>
      <c r="C3" s="242" t="s">
        <v>3</v>
      </c>
    </row>
    <row r="4" spans="1:3" x14ac:dyDescent="0.25">
      <c r="A4" s="243"/>
      <c r="B4" s="242"/>
      <c r="C4" s="242"/>
    </row>
    <row r="5" spans="1:3" x14ac:dyDescent="0.25">
      <c r="A5" s="243"/>
      <c r="B5" s="242"/>
      <c r="C5" s="242"/>
    </row>
    <row r="6" spans="1:3" x14ac:dyDescent="0.25">
      <c r="A6" s="2">
        <v>1</v>
      </c>
      <c r="B6" s="174">
        <v>19</v>
      </c>
      <c r="C6" s="175">
        <v>121</v>
      </c>
    </row>
    <row r="7" spans="1:3" x14ac:dyDescent="0.25">
      <c r="A7" s="2">
        <v>2</v>
      </c>
      <c r="B7" s="174">
        <v>13</v>
      </c>
      <c r="C7" s="175">
        <v>144</v>
      </c>
    </row>
    <row r="8" spans="1:3" x14ac:dyDescent="0.25">
      <c r="A8" s="2">
        <f>A7+1</f>
        <v>3</v>
      </c>
      <c r="B8" s="174">
        <v>14</v>
      </c>
      <c r="C8" s="175">
        <v>152</v>
      </c>
    </row>
    <row r="9" spans="1:3" x14ac:dyDescent="0.25">
      <c r="A9" s="2">
        <f>A8+1</f>
        <v>4</v>
      </c>
      <c r="B9" s="174">
        <v>12</v>
      </c>
      <c r="C9" s="175">
        <v>107</v>
      </c>
    </row>
    <row r="10" spans="1:3" x14ac:dyDescent="0.25">
      <c r="A10" s="2">
        <f t="shared" ref="A10:A35" si="0">A9+1</f>
        <v>5</v>
      </c>
      <c r="B10" s="174">
        <v>15</v>
      </c>
      <c r="C10" s="175">
        <v>105</v>
      </c>
    </row>
    <row r="11" spans="1:3" x14ac:dyDescent="0.25">
      <c r="A11" s="2">
        <f t="shared" si="0"/>
        <v>6</v>
      </c>
      <c r="B11" s="174">
        <v>16</v>
      </c>
      <c r="C11" s="175">
        <v>123</v>
      </c>
    </row>
    <row r="12" spans="1:3" x14ac:dyDescent="0.25">
      <c r="A12" s="2">
        <f t="shared" si="0"/>
        <v>7</v>
      </c>
      <c r="B12" s="174">
        <v>19</v>
      </c>
      <c r="C12" s="175">
        <v>95</v>
      </c>
    </row>
    <row r="13" spans="1:3" x14ac:dyDescent="0.25">
      <c r="A13" s="2">
        <f t="shared" si="0"/>
        <v>8</v>
      </c>
      <c r="B13" s="174">
        <v>24</v>
      </c>
      <c r="C13" s="175">
        <v>190</v>
      </c>
    </row>
    <row r="14" spans="1:3" x14ac:dyDescent="0.25">
      <c r="A14" s="2">
        <f t="shared" si="0"/>
        <v>9</v>
      </c>
      <c r="B14" s="174">
        <v>22</v>
      </c>
      <c r="C14" s="175">
        <v>207</v>
      </c>
    </row>
    <row r="15" spans="1:3" x14ac:dyDescent="0.25">
      <c r="A15" s="2">
        <f t="shared" si="0"/>
        <v>10</v>
      </c>
      <c r="B15" s="174">
        <v>22</v>
      </c>
      <c r="C15" s="175">
        <v>245</v>
      </c>
    </row>
    <row r="16" spans="1:3" x14ac:dyDescent="0.25">
      <c r="A16" s="2">
        <f t="shared" si="0"/>
        <v>11</v>
      </c>
      <c r="B16" s="174">
        <v>25</v>
      </c>
      <c r="C16" s="175">
        <v>188</v>
      </c>
    </row>
    <row r="17" spans="1:3" x14ac:dyDescent="0.25">
      <c r="A17" s="2">
        <f t="shared" si="0"/>
        <v>12</v>
      </c>
      <c r="B17" s="174">
        <v>21</v>
      </c>
      <c r="C17" s="175">
        <v>294</v>
      </c>
    </row>
    <row r="18" spans="1:3" x14ac:dyDescent="0.25">
      <c r="A18" s="2">
        <f t="shared" si="0"/>
        <v>13</v>
      </c>
      <c r="B18" s="174">
        <v>24</v>
      </c>
      <c r="C18" s="175">
        <v>182</v>
      </c>
    </row>
    <row r="19" spans="1:3" x14ac:dyDescent="0.25">
      <c r="A19" s="2">
        <f t="shared" si="0"/>
        <v>14</v>
      </c>
      <c r="B19" s="174">
        <v>31</v>
      </c>
      <c r="C19" s="175">
        <v>226</v>
      </c>
    </row>
    <row r="20" spans="1:3" x14ac:dyDescent="0.25">
      <c r="A20" s="2">
        <f t="shared" si="0"/>
        <v>15</v>
      </c>
      <c r="B20" s="174">
        <v>40</v>
      </c>
      <c r="C20" s="175">
        <v>307</v>
      </c>
    </row>
    <row r="21" spans="1:3" x14ac:dyDescent="0.25">
      <c r="A21" s="2">
        <f t="shared" si="0"/>
        <v>16</v>
      </c>
      <c r="B21" s="174">
        <v>40</v>
      </c>
      <c r="C21" s="175">
        <v>330</v>
      </c>
    </row>
    <row r="22" spans="1:3" x14ac:dyDescent="0.25">
      <c r="A22" s="2">
        <f t="shared" si="0"/>
        <v>17</v>
      </c>
      <c r="B22" s="174">
        <v>35</v>
      </c>
      <c r="C22" s="175">
        <v>303</v>
      </c>
    </row>
    <row r="23" spans="1:3" x14ac:dyDescent="0.25">
      <c r="A23" s="2">
        <f t="shared" si="0"/>
        <v>18</v>
      </c>
      <c r="B23" s="174">
        <v>27</v>
      </c>
      <c r="C23" s="175">
        <v>223</v>
      </c>
    </row>
    <row r="24" spans="1:3" x14ac:dyDescent="0.25">
      <c r="A24" s="2">
        <f t="shared" si="0"/>
        <v>19</v>
      </c>
      <c r="B24" s="174">
        <v>22</v>
      </c>
      <c r="C24" s="175">
        <v>135</v>
      </c>
    </row>
    <row r="25" spans="1:3" x14ac:dyDescent="0.25">
      <c r="A25" s="2">
        <f t="shared" si="0"/>
        <v>20</v>
      </c>
      <c r="B25" s="174">
        <v>26</v>
      </c>
      <c r="C25" s="175">
        <v>147</v>
      </c>
    </row>
    <row r="26" spans="1:3" x14ac:dyDescent="0.25">
      <c r="A26" s="2">
        <f t="shared" si="0"/>
        <v>21</v>
      </c>
      <c r="B26" s="174">
        <v>21</v>
      </c>
      <c r="C26" s="175">
        <v>173</v>
      </c>
    </row>
    <row r="27" spans="1:3" x14ac:dyDescent="0.25">
      <c r="A27" s="2">
        <f t="shared" si="0"/>
        <v>22</v>
      </c>
      <c r="B27" s="174">
        <v>19</v>
      </c>
      <c r="C27" s="175">
        <v>196</v>
      </c>
    </row>
    <row r="28" spans="1:3" x14ac:dyDescent="0.25">
      <c r="A28" s="2">
        <f t="shared" si="0"/>
        <v>23</v>
      </c>
      <c r="B28" s="174">
        <v>14</v>
      </c>
      <c r="C28" s="175">
        <v>187</v>
      </c>
    </row>
    <row r="29" spans="1:3" x14ac:dyDescent="0.25">
      <c r="A29" s="2">
        <f t="shared" si="0"/>
        <v>24</v>
      </c>
      <c r="B29" s="174">
        <v>10</v>
      </c>
      <c r="C29" s="175">
        <v>185</v>
      </c>
    </row>
    <row r="30" spans="1:3" x14ac:dyDescent="0.25">
      <c r="A30" s="2">
        <f t="shared" si="0"/>
        <v>25</v>
      </c>
      <c r="B30" s="174">
        <v>7</v>
      </c>
      <c r="C30" s="175">
        <v>84</v>
      </c>
    </row>
    <row r="31" spans="1:3" x14ac:dyDescent="0.25">
      <c r="A31" s="2">
        <f t="shared" si="0"/>
        <v>26</v>
      </c>
      <c r="B31" s="174">
        <v>10</v>
      </c>
      <c r="C31" s="175">
        <v>120</v>
      </c>
    </row>
    <row r="32" spans="1:3" x14ac:dyDescent="0.25">
      <c r="A32" s="2">
        <f t="shared" si="0"/>
        <v>27</v>
      </c>
      <c r="B32" s="174">
        <v>17</v>
      </c>
      <c r="C32" s="175">
        <v>132</v>
      </c>
    </row>
    <row r="33" spans="1:3" x14ac:dyDescent="0.25">
      <c r="A33" s="2">
        <f t="shared" si="0"/>
        <v>28</v>
      </c>
      <c r="B33" s="174">
        <v>27</v>
      </c>
      <c r="C33" s="175">
        <v>183</v>
      </c>
    </row>
    <row r="34" spans="1:3" x14ac:dyDescent="0.25">
      <c r="A34" s="2">
        <f t="shared" si="0"/>
        <v>29</v>
      </c>
      <c r="B34" s="174">
        <v>39</v>
      </c>
      <c r="C34" s="175">
        <v>265</v>
      </c>
    </row>
    <row r="35" spans="1:3" x14ac:dyDescent="0.25">
      <c r="A35" s="2">
        <f t="shared" si="0"/>
        <v>30</v>
      </c>
      <c r="B35" s="174">
        <v>53</v>
      </c>
      <c r="C35" s="175">
        <v>358</v>
      </c>
    </row>
    <row r="36" spans="1:3" x14ac:dyDescent="0.25">
      <c r="B36" s="6">
        <f>SUM(B6:B35)</f>
        <v>684</v>
      </c>
      <c r="C36" s="6">
        <f>SUM(C6:C35)</f>
        <v>5707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ed2f2222-2bff-489f-89bb-9539c67e7b9c"/>
    <ds:schemaRef ds:uri="77842aba-bda6-4832-96cd-e75cb5324294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April 2022</vt:lpstr>
      <vt:lpstr>RNs &amp; Covers April 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Tjokorda Gde Sparsa Krisyana Krisyana</cp:lastModifiedBy>
  <cp:lastPrinted>2020-11-17T04:34:44Z</cp:lastPrinted>
  <dcterms:created xsi:type="dcterms:W3CDTF">2020-09-16T08:52:25Z</dcterms:created>
  <dcterms:modified xsi:type="dcterms:W3CDTF">2022-05-05T04:22:02Z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