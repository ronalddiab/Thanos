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1\11 November\"/>
    </mc:Choice>
  </mc:AlternateContent>
  <bookViews>
    <workbookView xWindow="0" yWindow="0" windowWidth="28800" windowHeight="12435" tabRatio="193"/>
  </bookViews>
  <sheets>
    <sheet name="Doha new" sheetId="1" r:id="rId1"/>
    <sheet name="Sheet" sheetId="2" r:id="rId2"/>
  </sheets>
  <calcPr calcId="152511"/>
</workbook>
</file>

<file path=xl/calcChain.xml><?xml version="1.0" encoding="utf-8"?>
<calcChain xmlns="http://schemas.openxmlformats.org/spreadsheetml/2006/main">
  <c r="Q13" i="1" l="1"/>
  <c r="O13" i="1"/>
  <c r="Q12" i="1"/>
  <c r="O12" i="1"/>
  <c r="Q11" i="1"/>
  <c r="O11" i="1"/>
  <c r="Q10" i="1"/>
  <c r="O10" i="1"/>
  <c r="Q9" i="1"/>
  <c r="O9" i="1"/>
  <c r="Q8" i="1"/>
  <c r="O8" i="1"/>
  <c r="Q7" i="1"/>
  <c r="O7" i="1"/>
  <c r="Q6" i="1"/>
  <c r="O6" i="1"/>
  <c r="Q5" i="1"/>
  <c r="O5" i="1"/>
  <c r="Q4" i="1"/>
  <c r="O4" i="1"/>
  <c r="Q3" i="1"/>
  <c r="O3" i="1"/>
  <c r="Q2" i="1"/>
  <c r="O2" i="1"/>
  <c r="M9" i="1" l="1"/>
  <c r="M6" i="1"/>
  <c r="M2" i="1"/>
  <c r="M12" i="1"/>
  <c r="M5" i="1"/>
  <c r="M11" i="1"/>
  <c r="M7" i="1"/>
  <c r="M4" i="1"/>
  <c r="M10" i="1"/>
  <c r="M8" i="1"/>
  <c r="M3" i="1"/>
  <c r="M13" i="1"/>
</calcChain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<sst xmlns="http://schemas.openxmlformats.org/spreadsheetml/2006/main" count="31" uniqueCount="20">
  <si>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</si>
  <si>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</si>
  <si>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</si>
  <si>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Purchased Electricity Kwh</t>
  </si>
  <si>
    <t>Purchased Electricity Tariff ($/Kwh)</t>
  </si>
  <si>
    <t>Fixed Fees Cost ($)</t>
  </si>
  <si>
    <t>Water Utility Supply (m3) m3</t>
  </si>
  <si>
    <t>Water Utility Supply (m3) $/m3</t>
  </si>
  <si>
    <t xml:space="preserve">Room Nights </t>
  </si>
  <si>
    <t xml:space="preserve">Total Guests </t>
  </si>
  <si>
    <t>Doha</t>
  </si>
  <si>
    <t>LPG Kitchen $/Kg</t>
  </si>
  <si>
    <t xml:space="preserve">Electricity Total Budgeted </t>
  </si>
  <si>
    <t xml:space="preserve">Electricity Total Budgeted Cost ($) </t>
  </si>
  <si>
    <t xml:space="preserve">LPG Total Budgeted </t>
  </si>
  <si>
    <t xml:space="preserve">LPG Total Budgeted Cost ($) </t>
  </si>
  <si>
    <t>Water Total Budgeted</t>
  </si>
  <si>
    <t>Water Total Budgeted Cost ($)</t>
  </si>
  <si>
    <t xml:space="preserve"> </t>
  </si>
  <si>
    <t>LPG Kitchen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</si>
</sst>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"/>
    <numFmt numFmtId="165" formatCode="0.000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" fontId="4" fillId="0" borderId="0" xfId="0" applyNumberFormat="1" applyFont="1"/>
    <xf numFmtId="43" fontId="4" fillId="0" borderId="0" xfId="1" applyFont="1"/>
    <xf numFmtId="43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Font="1"/>
    <xf numFmtId="164" fontId="0" fillId="0" borderId="0" xfId="0" applyNumberFormat="1" applyFont="1"/>
    <xf numFmtId="165" fontId="0" fillId="0" borderId="0" xfId="0" applyNumberFormat="1" applyFont="1"/>
    <xf numFmtId="2" fontId="0" fillId="0" borderId="0" xfId="0" applyNumberFormat="1" applyFont="1"/>
    <xf numFmtId="0" fontId="0" fillId="0" borderId="0" xfId="0" applyFont="1"/>
    <xf numFmtId="1" fontId="0" fillId="0" borderId="0" xfId="1" applyNumberFormat="1" applyFont="1"/>
    <xf numFmtId="164" fontId="4" fillId="0" borderId="0" xfId="0" applyNumberFormat="1" applyFont="1"/>
    <xf numFmtId="165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3"/>
  <sheetViews>
    <sheetView tabSelected="1" zoomScale="80" zoomScaleNormal="80" workbookViewId="0">
      <pane ySplit="1" topLeftCell="A2" activePane="bottomLeft" state="frozen"/>
      <selection activeCell="T1" sqref="T1"/>
      <selection pane="bottomLeft" activeCell="F23" sqref="F23"/>
    </sheetView>
  </sheetViews>
  <sheetFormatPr defaultColWidth="11.5703125" defaultRowHeight="12.75" x14ac:dyDescent="0.2"/>
  <cols>
    <col min="1" max="1" width="14.42578125" style="3" bestFit="1" customWidth="1"/>
    <col min="2" max="2" width="11.5703125" style="3"/>
    <col min="3" max="3" width="13.42578125" style="3" customWidth="1"/>
    <col min="4" max="5" width="12.5703125" customWidth="1"/>
    <col min="9" max="9" width="12.7109375" bestFit="1" customWidth="1"/>
    <col min="13" max="13" width="11.5703125" style="14"/>
    <col min="14" max="14" width="13.140625" style="14" bestFit="1" customWidth="1"/>
    <col min="15" max="15" width="12.85546875" style="14" bestFit="1" customWidth="1"/>
    <col min="16" max="18" width="11.5703125" style="14"/>
  </cols>
  <sheetData>
    <row r="1" spans="1:18" s="2" customFormat="1" ht="51" x14ac:dyDescent="0.2">
      <c r="A1" s="4" t="s">
        <v>0</v>
      </c>
      <c r="B1" s="4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8" t="s">
        <v>19</v>
      </c>
      <c r="H1" s="9" t="s">
        <v>11</v>
      </c>
      <c r="I1" s="8" t="s">
        <v>6</v>
      </c>
      <c r="J1" s="8" t="s">
        <v>7</v>
      </c>
      <c r="K1" s="8" t="s">
        <v>8</v>
      </c>
      <c r="L1" s="8" t="s">
        <v>9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spans="1:18" s="2" customFormat="1" x14ac:dyDescent="0.2">
      <c r="A2" s="6" t="s">
        <v>10</v>
      </c>
      <c r="B2" s="7">
        <v>1</v>
      </c>
      <c r="C2" s="7">
        <v>2021</v>
      </c>
      <c r="D2" s="17">
        <v>1416330</v>
      </c>
      <c r="E2" s="18">
        <v>4.1000000000000002E-2</v>
      </c>
      <c r="F2" s="17"/>
      <c r="G2" s="17">
        <v>22151</v>
      </c>
      <c r="H2" s="19">
        <v>0.29399999999999998</v>
      </c>
      <c r="I2" s="17">
        <v>6942.25</v>
      </c>
      <c r="J2" s="20">
        <v>1.5571912601017661</v>
      </c>
      <c r="K2" s="21">
        <v>2711</v>
      </c>
      <c r="L2" s="21">
        <v>4525</v>
      </c>
      <c r="M2" s="17">
        <f>N2/0.041</f>
        <v>966743.67652449675</v>
      </c>
      <c r="N2" s="17">
        <v>39636.490737504369</v>
      </c>
      <c r="O2" s="22">
        <f>P2/0.294</f>
        <v>69153.061224489793</v>
      </c>
      <c r="P2" s="17">
        <v>20331</v>
      </c>
      <c r="Q2" s="22">
        <f>R2/1.557</f>
        <v>17930.635838150291</v>
      </c>
      <c r="R2" s="17">
        <v>27918.000000000004</v>
      </c>
    </row>
    <row r="3" spans="1:18" s="2" customFormat="1" x14ac:dyDescent="0.2">
      <c r="A3" s="6" t="s">
        <v>10</v>
      </c>
      <c r="B3" s="7">
        <v>2</v>
      </c>
      <c r="C3" s="7">
        <v>2021</v>
      </c>
      <c r="D3" s="17">
        <v>1313964</v>
      </c>
      <c r="E3" s="18">
        <v>4.1000000000000002E-2</v>
      </c>
      <c r="F3" s="17"/>
      <c r="G3" s="17">
        <v>19961</v>
      </c>
      <c r="H3" s="19">
        <v>0.29399999999999998</v>
      </c>
      <c r="I3" s="17">
        <v>13023.5</v>
      </c>
      <c r="J3" s="20">
        <v>1.5571912601017661</v>
      </c>
      <c r="K3" s="21">
        <v>3932</v>
      </c>
      <c r="L3" s="21">
        <v>5173</v>
      </c>
      <c r="M3" s="17">
        <f t="shared" ref="M3:M13" si="0">N3/0.041</f>
        <v>932217.11664862197</v>
      </c>
      <c r="N3" s="17">
        <v>38220.901782593501</v>
      </c>
      <c r="O3" s="22">
        <f t="shared" ref="O3:O13" si="1">P3/0.294</f>
        <v>66857.142857142855</v>
      </c>
      <c r="P3" s="17">
        <v>19656</v>
      </c>
      <c r="Q3" s="22">
        <f t="shared" ref="Q3:Q13" si="2">R3/1.557</f>
        <v>18815.028901734106</v>
      </c>
      <c r="R3" s="17">
        <v>29295.000000000004</v>
      </c>
    </row>
    <row r="4" spans="1:18" s="2" customFormat="1" x14ac:dyDescent="0.2">
      <c r="A4" s="6" t="s">
        <v>10</v>
      </c>
      <c r="B4" s="7">
        <v>3</v>
      </c>
      <c r="C4" s="7">
        <v>2021</v>
      </c>
      <c r="D4" s="17">
        <v>1491301</v>
      </c>
      <c r="E4" s="18">
        <v>4.1000000000000002E-2</v>
      </c>
      <c r="F4" s="17"/>
      <c r="G4" s="17">
        <v>21256</v>
      </c>
      <c r="H4" s="19">
        <v>0.29399999999999998</v>
      </c>
      <c r="I4" s="17">
        <v>7580.5</v>
      </c>
      <c r="J4" s="20">
        <v>1.5571912601017661</v>
      </c>
      <c r="K4" s="21">
        <v>4038</v>
      </c>
      <c r="L4" s="21">
        <v>6672</v>
      </c>
      <c r="M4" s="17">
        <f t="shared" si="0"/>
        <v>903444.98341872613</v>
      </c>
      <c r="N4" s="17">
        <v>37041.244320167774</v>
      </c>
      <c r="O4" s="22">
        <f t="shared" si="1"/>
        <v>73653.061224489793</v>
      </c>
      <c r="P4" s="17">
        <v>21654</v>
      </c>
      <c r="Q4" s="22">
        <f t="shared" si="2"/>
        <v>16387.283236994219</v>
      </c>
      <c r="R4" s="17">
        <v>25515</v>
      </c>
    </row>
    <row r="5" spans="1:18" s="2" customFormat="1" x14ac:dyDescent="0.2">
      <c r="A5" s="6" t="s">
        <v>10</v>
      </c>
      <c r="B5" s="7">
        <v>4</v>
      </c>
      <c r="C5" s="7">
        <v>2021</v>
      </c>
      <c r="D5" s="17">
        <v>1492339</v>
      </c>
      <c r="E5" s="18">
        <v>4.1000000000000002E-2</v>
      </c>
      <c r="F5" s="17"/>
      <c r="G5" s="17">
        <v>16856</v>
      </c>
      <c r="H5" s="19">
        <v>0.29399999999999998</v>
      </c>
      <c r="I5" s="17">
        <v>4061.25</v>
      </c>
      <c r="J5" s="20">
        <v>1.5571912601017661</v>
      </c>
      <c r="K5" s="21">
        <v>1872</v>
      </c>
      <c r="L5" s="21">
        <v>3108</v>
      </c>
      <c r="M5" s="17">
        <f t="shared" si="0"/>
        <v>920708.26335666364</v>
      </c>
      <c r="N5" s="17">
        <v>37749.038797623209</v>
      </c>
      <c r="O5" s="22">
        <f t="shared" si="1"/>
        <v>55102.040816326538</v>
      </c>
      <c r="P5" s="17">
        <v>16200.000000000002</v>
      </c>
      <c r="Q5" s="22">
        <f t="shared" si="2"/>
        <v>17219.653179190751</v>
      </c>
      <c r="R5" s="17">
        <v>26811</v>
      </c>
    </row>
    <row r="6" spans="1:18" s="2" customFormat="1" x14ac:dyDescent="0.2">
      <c r="A6" s="6" t="s">
        <v>10</v>
      </c>
      <c r="B6" s="7">
        <v>5</v>
      </c>
      <c r="C6" s="7">
        <v>2021</v>
      </c>
      <c r="D6" s="17">
        <v>1797310.5</v>
      </c>
      <c r="E6" s="18">
        <v>4.1000000000000002E-2</v>
      </c>
      <c r="F6" s="17"/>
      <c r="G6" s="17">
        <v>16856</v>
      </c>
      <c r="H6" s="19">
        <v>0.29399999999999998</v>
      </c>
      <c r="I6" s="17">
        <v>6108.5</v>
      </c>
      <c r="J6" s="20">
        <v>1.5571912601017661</v>
      </c>
      <c r="K6" s="21">
        <v>1755</v>
      </c>
      <c r="L6" s="21">
        <v>7111</v>
      </c>
      <c r="M6" s="17">
        <f t="shared" si="0"/>
        <v>903444.98341872613</v>
      </c>
      <c r="N6" s="17">
        <v>37041.244320167774</v>
      </c>
      <c r="O6" s="22">
        <f t="shared" si="1"/>
        <v>69061.224489795917</v>
      </c>
      <c r="P6" s="17">
        <v>20304</v>
      </c>
      <c r="Q6" s="22">
        <f t="shared" si="2"/>
        <v>17080.924855491328</v>
      </c>
      <c r="R6" s="17">
        <v>26595</v>
      </c>
    </row>
    <row r="7" spans="1:18" s="2" customFormat="1" x14ac:dyDescent="0.2">
      <c r="A7" s="6" t="s">
        <v>10</v>
      </c>
      <c r="B7" s="7">
        <v>6</v>
      </c>
      <c r="C7" s="7">
        <v>2021</v>
      </c>
      <c r="D7" s="17">
        <v>2304087.25</v>
      </c>
      <c r="E7" s="18">
        <v>4.1000000000000002E-2</v>
      </c>
      <c r="F7" s="17"/>
      <c r="G7" s="17">
        <v>14906</v>
      </c>
      <c r="H7" s="19">
        <v>0.29399999999999998</v>
      </c>
      <c r="I7" s="17">
        <v>9107</v>
      </c>
      <c r="J7" s="20">
        <v>1.5571912601017661</v>
      </c>
      <c r="K7" s="21">
        <v>4003</v>
      </c>
      <c r="L7" s="21">
        <v>7861</v>
      </c>
      <c r="M7" s="17">
        <f t="shared" si="0"/>
        <v>874672.8501888304</v>
      </c>
      <c r="N7" s="17">
        <v>35861.586857742048</v>
      </c>
      <c r="O7" s="22">
        <f t="shared" si="1"/>
        <v>55377.551020408173</v>
      </c>
      <c r="P7" s="17">
        <v>16281.000000000002</v>
      </c>
      <c r="Q7" s="22">
        <f t="shared" si="2"/>
        <v>16508.670520231215</v>
      </c>
      <c r="R7" s="17">
        <v>25704</v>
      </c>
    </row>
    <row r="8" spans="1:18" s="2" customFormat="1" x14ac:dyDescent="0.2">
      <c r="A8" s="6" t="s">
        <v>10</v>
      </c>
      <c r="B8" s="7">
        <v>7</v>
      </c>
      <c r="C8" s="7">
        <v>2021</v>
      </c>
      <c r="D8" s="17">
        <v>2748934</v>
      </c>
      <c r="E8" s="18">
        <v>4.1000000000000002E-2</v>
      </c>
      <c r="F8" s="17"/>
      <c r="G8" s="17">
        <v>15024</v>
      </c>
      <c r="H8" s="19">
        <v>0.29399999999999998</v>
      </c>
      <c r="I8" s="17">
        <v>8699.75</v>
      </c>
      <c r="J8" s="20">
        <v>1.5571912601017661</v>
      </c>
      <c r="K8" s="21">
        <v>4465</v>
      </c>
      <c r="L8" s="21">
        <v>9532</v>
      </c>
      <c r="M8" s="17">
        <f t="shared" si="0"/>
        <v>863163.99689687218</v>
      </c>
      <c r="N8" s="17">
        <v>35389.723872771763</v>
      </c>
      <c r="O8" s="22">
        <f t="shared" si="1"/>
        <v>48352.040816326538</v>
      </c>
      <c r="P8" s="17">
        <v>14215.500000000002</v>
      </c>
      <c r="Q8" s="22">
        <f t="shared" si="2"/>
        <v>14358.381502890174</v>
      </c>
      <c r="R8" s="17">
        <v>22356</v>
      </c>
    </row>
    <row r="9" spans="1:18" s="2" customFormat="1" x14ac:dyDescent="0.2">
      <c r="A9" s="6" t="s">
        <v>10</v>
      </c>
      <c r="B9" s="7">
        <v>8</v>
      </c>
      <c r="C9" s="7">
        <v>2021</v>
      </c>
      <c r="D9" s="17">
        <v>2804849.5</v>
      </c>
      <c r="E9" s="18">
        <v>4.1000000000000002E-2</v>
      </c>
      <c r="F9" s="17"/>
      <c r="G9" s="17">
        <v>15850</v>
      </c>
      <c r="H9" s="19">
        <v>0.29399999999999998</v>
      </c>
      <c r="I9" s="17">
        <v>10322.5</v>
      </c>
      <c r="J9" s="20">
        <v>1.5571912601017661</v>
      </c>
      <c r="K9" s="21">
        <v>4476</v>
      </c>
      <c r="L9" s="21">
        <v>8835</v>
      </c>
      <c r="M9" s="17">
        <f t="shared" si="0"/>
        <v>845900.71695893467</v>
      </c>
      <c r="N9" s="17">
        <v>34681.929395316321</v>
      </c>
      <c r="O9" s="22">
        <f t="shared" si="1"/>
        <v>48673.469387755111</v>
      </c>
      <c r="P9" s="17">
        <v>14310.000000000002</v>
      </c>
      <c r="Q9" s="22">
        <f t="shared" si="2"/>
        <v>13820.809248554913</v>
      </c>
      <c r="R9" s="17">
        <v>21519</v>
      </c>
    </row>
    <row r="10" spans="1:18" s="2" customFormat="1" x14ac:dyDescent="0.2">
      <c r="A10" s="6" t="s">
        <v>10</v>
      </c>
      <c r="B10" s="7">
        <v>9</v>
      </c>
      <c r="C10" s="7">
        <v>2021</v>
      </c>
      <c r="D10" s="17">
        <v>2450381.5</v>
      </c>
      <c r="E10" s="18">
        <v>4.1000000000000002E-2</v>
      </c>
      <c r="F10" s="17"/>
      <c r="G10" s="17">
        <v>14472</v>
      </c>
      <c r="H10" s="19">
        <v>0.29399999999999998</v>
      </c>
      <c r="I10" s="17">
        <v>14533.75</v>
      </c>
      <c r="J10" s="20">
        <v>1.5571912601017661</v>
      </c>
      <c r="K10" s="21">
        <v>4092</v>
      </c>
      <c r="L10" s="21">
        <v>6307</v>
      </c>
      <c r="M10" s="17">
        <f t="shared" si="0"/>
        <v>868918.42354285135</v>
      </c>
      <c r="N10" s="17">
        <v>35625.655365256905</v>
      </c>
      <c r="O10" s="22">
        <f t="shared" si="1"/>
        <v>57857.142857142862</v>
      </c>
      <c r="P10" s="17">
        <v>17010</v>
      </c>
      <c r="Q10" s="22">
        <f t="shared" si="2"/>
        <v>16647.398843930638</v>
      </c>
      <c r="R10" s="17">
        <v>25920</v>
      </c>
    </row>
    <row r="11" spans="1:18" s="2" customFormat="1" x14ac:dyDescent="0.2">
      <c r="A11" s="6" t="s">
        <v>10</v>
      </c>
      <c r="B11" s="7">
        <v>10</v>
      </c>
      <c r="C11" s="7">
        <v>2021</v>
      </c>
      <c r="D11" s="17">
        <v>2374759.25</v>
      </c>
      <c r="E11" s="18">
        <v>4.1000000000000002E-2</v>
      </c>
      <c r="F11" s="17"/>
      <c r="G11" s="17">
        <v>15726</v>
      </c>
      <c r="H11" s="19">
        <v>0.29399999999999998</v>
      </c>
      <c r="I11" s="17">
        <v>14920.5</v>
      </c>
      <c r="J11" s="20">
        <v>1.5571912601017661</v>
      </c>
      <c r="K11" s="21">
        <v>4347</v>
      </c>
      <c r="L11" s="21">
        <v>7164</v>
      </c>
      <c r="M11" s="17">
        <f t="shared" si="0"/>
        <v>926462.6900026428</v>
      </c>
      <c r="N11" s="17">
        <v>37984.970290108358</v>
      </c>
      <c r="O11" s="22">
        <f t="shared" si="1"/>
        <v>62724.489795918373</v>
      </c>
      <c r="P11" s="17">
        <v>18441</v>
      </c>
      <c r="Q11" s="22">
        <f t="shared" si="2"/>
        <v>18173.410404624279</v>
      </c>
      <c r="R11" s="17">
        <v>28296.000000000004</v>
      </c>
    </row>
    <row r="12" spans="1:18" s="2" customFormat="1" x14ac:dyDescent="0.2">
      <c r="A12" s="15" t="s">
        <v>10</v>
      </c>
      <c r="B12" s="16">
        <v>11</v>
      </c>
      <c r="C12" s="16">
        <v>2021</v>
      </c>
      <c r="D12" s="11">
        <v>1932297.5</v>
      </c>
      <c r="E12" s="23">
        <v>4.1000000000000002E-2</v>
      </c>
      <c r="F12" s="11"/>
      <c r="G12" s="11">
        <v>17105.599999999999</v>
      </c>
      <c r="H12" s="24">
        <v>0.29399999999999998</v>
      </c>
      <c r="I12" s="11">
        <v>14296.25</v>
      </c>
      <c r="J12" s="20">
        <v>1.5571912601017661</v>
      </c>
      <c r="K12" s="14">
        <v>4308</v>
      </c>
      <c r="L12" s="14">
        <v>6362</v>
      </c>
      <c r="M12" s="17">
        <f t="shared" si="0"/>
        <v>949480.39658655936</v>
      </c>
      <c r="N12" s="17">
        <v>38928.696260048935</v>
      </c>
      <c r="O12" s="22">
        <f t="shared" si="1"/>
        <v>66857.142857142855</v>
      </c>
      <c r="P12" s="17">
        <v>19656</v>
      </c>
      <c r="Q12" s="22">
        <f t="shared" si="2"/>
        <v>17852.601156069366</v>
      </c>
      <c r="R12" s="17">
        <v>27796.500000000004</v>
      </c>
    </row>
    <row r="13" spans="1:18" s="2" customFormat="1" x14ac:dyDescent="0.2">
      <c r="A13" s="6" t="s">
        <v>10</v>
      </c>
      <c r="B13" s="7">
        <v>12</v>
      </c>
      <c r="C13" s="7">
        <v>2021</v>
      </c>
      <c r="D13" s="1"/>
      <c r="E13" s="1"/>
      <c r="F13" s="1"/>
      <c r="G13" s="1"/>
      <c r="H13" s="1"/>
      <c r="I13" s="1"/>
      <c r="J13" s="1"/>
      <c r="K13"/>
      <c r="L13"/>
      <c r="M13" s="17">
        <f t="shared" si="0"/>
        <v>960989.2498785177</v>
      </c>
      <c r="N13" s="17">
        <v>39400.559245019227</v>
      </c>
      <c r="O13" s="22">
        <f t="shared" si="1"/>
        <v>69704.081632653062</v>
      </c>
      <c r="P13" s="17">
        <v>20493</v>
      </c>
      <c r="Q13" s="22">
        <f t="shared" si="2"/>
        <v>17904.624277456649</v>
      </c>
      <c r="R13" s="17">
        <v>27877.500000000004</v>
      </c>
    </row>
    <row r="14" spans="1:18" x14ac:dyDescent="0.2">
      <c r="B14" s="5"/>
      <c r="C14" s="5"/>
      <c r="D14" s="1"/>
      <c r="E14" s="1"/>
      <c r="F14" s="1"/>
      <c r="G14" s="1"/>
      <c r="H14" s="1" t="s">
        <v>18</v>
      </c>
      <c r="I14" s="1"/>
      <c r="J14" s="1"/>
      <c r="M14" s="11"/>
      <c r="N14" s="12"/>
      <c r="O14" s="12"/>
      <c r="P14" s="12"/>
      <c r="Q14" s="12"/>
      <c r="R14" s="12"/>
    </row>
    <row r="15" spans="1:18" x14ac:dyDescent="0.2">
      <c r="B15" s="5"/>
      <c r="C15" s="5"/>
      <c r="D15" s="1"/>
      <c r="E15" s="1"/>
      <c r="F15" s="1"/>
      <c r="G15" s="1"/>
      <c r="H15" s="1"/>
      <c r="I15" s="1"/>
      <c r="J15" s="1"/>
      <c r="M15" s="11"/>
      <c r="N15" s="13"/>
      <c r="O15" s="13"/>
      <c r="P15" s="13"/>
      <c r="Q15" s="12"/>
      <c r="R15" s="13"/>
    </row>
    <row r="16" spans="1:18" x14ac:dyDescent="0.2">
      <c r="B16" s="5"/>
      <c r="C16" s="5"/>
      <c r="D16" s="1"/>
      <c r="E16" s="1"/>
      <c r="F16" s="1"/>
      <c r="G16" s="1"/>
      <c r="H16" s="1"/>
      <c r="I16" s="1"/>
      <c r="J16" s="1"/>
      <c r="M16" s="11"/>
      <c r="N16" s="11"/>
      <c r="O16" s="11"/>
      <c r="P16" s="11"/>
      <c r="Q16" s="11"/>
    </row>
    <row r="17" spans="2:17" x14ac:dyDescent="0.2">
      <c r="B17" s="5"/>
      <c r="C17" s="5"/>
      <c r="D17" s="1"/>
      <c r="E17" s="1"/>
      <c r="F17" s="1"/>
      <c r="G17" s="1"/>
      <c r="H17" s="1"/>
      <c r="I17" s="1"/>
      <c r="J17" s="1"/>
      <c r="M17" s="11"/>
      <c r="N17" s="11"/>
      <c r="O17" s="11"/>
      <c r="P17" s="11"/>
      <c r="Q17" s="11"/>
    </row>
    <row r="18" spans="2:17" x14ac:dyDescent="0.2">
      <c r="B18" s="5"/>
      <c r="C18" s="5"/>
      <c r="D18" s="1"/>
      <c r="E18" s="1"/>
      <c r="F18" s="1"/>
      <c r="G18" s="1"/>
      <c r="H18" s="1"/>
      <c r="I18" s="1"/>
      <c r="J18" s="1"/>
      <c r="M18" s="11"/>
      <c r="N18" s="11"/>
      <c r="O18" s="11"/>
      <c r="P18" s="11"/>
      <c r="Q18" s="11"/>
    </row>
    <row r="19" spans="2:17" x14ac:dyDescent="0.2">
      <c r="B19" s="5"/>
      <c r="C19" s="5"/>
      <c r="D19" s="1"/>
      <c r="E19" s="1"/>
      <c r="F19" s="1"/>
      <c r="G19" s="1"/>
      <c r="H19" s="1"/>
      <c r="I19" s="1"/>
      <c r="J19" s="1"/>
      <c r="M19" s="11"/>
      <c r="N19" s="11"/>
      <c r="O19" s="11"/>
      <c r="P19" s="11"/>
      <c r="Q19" s="11"/>
    </row>
    <row r="20" spans="2:17" x14ac:dyDescent="0.2">
      <c r="B20" s="5"/>
      <c r="C20" s="5"/>
      <c r="D20" s="1"/>
      <c r="E20" s="1"/>
      <c r="F20" s="1"/>
      <c r="G20" s="1"/>
      <c r="H20" s="1"/>
      <c r="I20" s="1"/>
      <c r="J20" s="1"/>
      <c r="M20" s="11"/>
      <c r="N20" s="11"/>
      <c r="O20" s="11"/>
      <c r="P20" s="11"/>
      <c r="Q20" s="11"/>
    </row>
    <row r="21" spans="2:17" x14ac:dyDescent="0.2">
      <c r="B21" s="5"/>
      <c r="C21" s="5"/>
      <c r="D21" s="1"/>
      <c r="E21" s="1"/>
      <c r="F21" s="1"/>
      <c r="G21" s="1"/>
      <c r="H21" s="1"/>
      <c r="I21" s="1"/>
      <c r="J21" s="1"/>
      <c r="M21" s="11"/>
      <c r="N21" s="11"/>
      <c r="O21" s="11"/>
      <c r="P21" s="11"/>
      <c r="Q21" s="11"/>
    </row>
    <row r="22" spans="2:17" x14ac:dyDescent="0.2">
      <c r="B22" s="5"/>
      <c r="C22" s="5"/>
      <c r="D22" s="1"/>
      <c r="E22" s="1"/>
      <c r="F22" s="1"/>
      <c r="G22" s="1"/>
      <c r="H22" s="1"/>
      <c r="I22" s="1"/>
      <c r="J22" s="1"/>
      <c r="M22" s="11"/>
      <c r="N22" s="11"/>
      <c r="O22" s="11"/>
      <c r="P22" s="11"/>
      <c r="Q22" s="11"/>
    </row>
    <row r="23" spans="2:17" x14ac:dyDescent="0.2">
      <c r="B23" s="5"/>
      <c r="C23" s="5"/>
      <c r="D23" s="1"/>
      <c r="E23" s="1"/>
      <c r="F23" s="1"/>
      <c r="G23" s="1"/>
      <c r="H23" s="1"/>
      <c r="I23" s="1"/>
      <c r="J23" s="1"/>
      <c r="M23" s="11"/>
      <c r="N23" s="11"/>
      <c r="O23" s="11"/>
      <c r="P23" s="11"/>
      <c r="Q23" s="11"/>
    </row>
    <row r="24" spans="2:17" x14ac:dyDescent="0.2">
      <c r="B24" s="5"/>
      <c r="C24" s="5"/>
      <c r="D24" s="1"/>
      <c r="E24" s="1"/>
      <c r="F24" s="1"/>
      <c r="G24" s="1"/>
      <c r="H24" s="1"/>
      <c r="I24" s="1"/>
      <c r="J24" s="1"/>
      <c r="M24" s="11"/>
      <c r="N24" s="11"/>
      <c r="O24" s="11"/>
      <c r="P24" s="11"/>
      <c r="Q24" s="11"/>
    </row>
    <row r="25" spans="2:17" x14ac:dyDescent="0.2">
      <c r="B25" s="5"/>
      <c r="C25" s="5"/>
      <c r="D25" s="1"/>
      <c r="E25" s="1"/>
      <c r="F25" s="1"/>
      <c r="G25" s="1"/>
      <c r="H25" s="1"/>
      <c r="I25" s="1"/>
      <c r="J25" s="1"/>
      <c r="M25" s="11"/>
      <c r="N25" s="11"/>
      <c r="O25" s="11"/>
      <c r="P25" s="11"/>
      <c r="Q25" s="11"/>
    </row>
    <row r="26" spans="2:17" x14ac:dyDescent="0.2">
      <c r="B26" s="5"/>
      <c r="C26" s="5"/>
      <c r="D26" s="1"/>
      <c r="E26" s="1"/>
      <c r="F26" s="1"/>
      <c r="G26" s="1"/>
      <c r="H26" s="1"/>
      <c r="I26" s="1"/>
      <c r="J26" s="1"/>
      <c r="M26" s="11"/>
      <c r="P26" s="11"/>
      <c r="Q26" s="11"/>
    </row>
    <row r="27" spans="2:17" x14ac:dyDescent="0.2">
      <c r="B27" s="5"/>
      <c r="C27" s="5"/>
      <c r="D27" s="1"/>
      <c r="E27" s="1"/>
      <c r="F27" s="1"/>
      <c r="G27" s="1"/>
      <c r="H27" s="1"/>
      <c r="I27" s="1"/>
      <c r="J27" s="1"/>
      <c r="M27" s="11"/>
      <c r="P27" s="11"/>
      <c r="Q27" s="11"/>
    </row>
    <row r="28" spans="2:17" x14ac:dyDescent="0.2">
      <c r="B28" s="5"/>
      <c r="C28" s="5"/>
      <c r="D28" s="1"/>
      <c r="E28" s="1"/>
      <c r="F28" s="1"/>
      <c r="G28" s="1"/>
      <c r="H28" s="1"/>
      <c r="I28" s="1"/>
      <c r="J28" s="1"/>
      <c r="M28" s="11"/>
      <c r="P28" s="11"/>
      <c r="Q28" s="11"/>
    </row>
    <row r="29" spans="2:17" x14ac:dyDescent="0.2">
      <c r="B29" s="5"/>
      <c r="C29" s="5"/>
      <c r="D29" s="1"/>
      <c r="E29" s="1"/>
      <c r="F29" s="1"/>
      <c r="G29" s="1"/>
      <c r="H29" s="1"/>
      <c r="I29" s="1"/>
      <c r="J29" s="1"/>
      <c r="M29" s="11"/>
      <c r="P29" s="11"/>
      <c r="Q29" s="11"/>
    </row>
    <row r="30" spans="2:17" x14ac:dyDescent="0.2">
      <c r="B30" s="5"/>
      <c r="C30" s="5"/>
      <c r="D30" s="1"/>
      <c r="E30" s="1"/>
      <c r="F30" s="1"/>
      <c r="G30" s="1"/>
      <c r="H30" s="1"/>
      <c r="I30" s="1"/>
      <c r="J30" s="1"/>
      <c r="M30" s="11"/>
      <c r="P30" s="11"/>
      <c r="Q30" s="11"/>
    </row>
    <row r="31" spans="2:17" x14ac:dyDescent="0.2">
      <c r="B31" s="5"/>
      <c r="C31" s="5"/>
      <c r="D31" s="1"/>
      <c r="E31" s="1"/>
      <c r="F31" s="1"/>
      <c r="G31" s="1"/>
      <c r="H31" s="1"/>
      <c r="I31" s="1"/>
      <c r="J31" s="1"/>
      <c r="M31" s="11"/>
      <c r="P31" s="11"/>
      <c r="Q31" s="11"/>
    </row>
    <row r="32" spans="2:17" x14ac:dyDescent="0.2">
      <c r="B32" s="5"/>
      <c r="C32" s="5"/>
      <c r="D32" s="1"/>
      <c r="E32" s="1"/>
      <c r="F32" s="1"/>
      <c r="G32" s="1"/>
      <c r="H32" s="1"/>
      <c r="I32" s="1"/>
      <c r="J32" s="1"/>
      <c r="M32" s="11"/>
      <c r="P32" s="11"/>
      <c r="Q32" s="11"/>
    </row>
    <row r="33" spans="2:17" x14ac:dyDescent="0.2">
      <c r="B33" s="5"/>
      <c r="C33" s="5"/>
      <c r="D33" s="1"/>
      <c r="E33" s="1"/>
      <c r="F33" s="1"/>
      <c r="G33" s="1"/>
      <c r="H33" s="1"/>
      <c r="I33" s="1"/>
      <c r="J33" s="1"/>
      <c r="M33" s="11"/>
      <c r="P33" s="11"/>
      <c r="Q33" s="11"/>
    </row>
    <row r="34" spans="2:17" x14ac:dyDescent="0.2">
      <c r="B34" s="5"/>
      <c r="C34" s="5"/>
      <c r="D34" s="1"/>
      <c r="E34" s="1"/>
      <c r="F34" s="1"/>
      <c r="G34" s="1"/>
      <c r="H34" s="1"/>
      <c r="I34" s="1"/>
      <c r="J34" s="1"/>
      <c r="M34" s="11"/>
      <c r="N34" s="11"/>
      <c r="O34" s="11"/>
      <c r="P34" s="11"/>
      <c r="Q34" s="11"/>
    </row>
    <row r="35" spans="2:17" x14ac:dyDescent="0.2">
      <c r="B35" s="5"/>
      <c r="C35" s="5"/>
      <c r="D35" s="1"/>
      <c r="E35" s="1"/>
      <c r="F35" s="1"/>
      <c r="G35" s="1"/>
      <c r="H35" s="1"/>
      <c r="I35" s="1"/>
      <c r="J35" s="1"/>
      <c r="M35" s="11"/>
      <c r="N35" s="11"/>
      <c r="O35" s="11"/>
      <c r="P35" s="11"/>
      <c r="Q35" s="11"/>
    </row>
    <row r="36" spans="2:17" x14ac:dyDescent="0.2">
      <c r="B36" s="5"/>
      <c r="C36" s="5"/>
      <c r="D36" s="1"/>
      <c r="E36" s="1"/>
      <c r="F36" s="1"/>
      <c r="G36" s="1"/>
      <c r="H36" s="1"/>
      <c r="I36" s="1"/>
      <c r="J36" s="1"/>
      <c r="M36" s="11"/>
      <c r="N36" s="11"/>
      <c r="O36" s="11"/>
      <c r="P36" s="11"/>
      <c r="Q36" s="11"/>
    </row>
    <row r="37" spans="2:17" x14ac:dyDescent="0.2">
      <c r="B37" s="5"/>
      <c r="C37" s="5"/>
      <c r="D37" s="1"/>
      <c r="E37" s="1"/>
      <c r="F37" s="1"/>
      <c r="G37" s="1"/>
      <c r="H37" s="1"/>
      <c r="I37" s="1"/>
      <c r="J37" s="1"/>
      <c r="M37" s="11"/>
      <c r="N37" s="11"/>
      <c r="O37" s="11"/>
      <c r="P37" s="11"/>
      <c r="Q37" s="11"/>
    </row>
    <row r="38" spans="2:17" x14ac:dyDescent="0.2">
      <c r="B38" s="5"/>
      <c r="C38" s="5"/>
      <c r="D38" s="1"/>
      <c r="E38" s="1"/>
      <c r="F38" s="1"/>
      <c r="G38" s="1"/>
      <c r="H38" s="1"/>
      <c r="I38" s="1"/>
      <c r="J38" s="1"/>
      <c r="M38" s="11"/>
      <c r="N38" s="11"/>
      <c r="O38" s="11"/>
      <c r="P38" s="11"/>
      <c r="Q38" s="11"/>
    </row>
    <row r="39" spans="2:17" x14ac:dyDescent="0.2">
      <c r="B39" s="5"/>
      <c r="C39" s="5"/>
      <c r="D39" s="1"/>
      <c r="E39" s="1"/>
      <c r="F39" s="1"/>
      <c r="G39" s="1"/>
      <c r="H39" s="1"/>
      <c r="I39" s="1"/>
      <c r="J39" s="1"/>
      <c r="M39" s="11"/>
      <c r="N39" s="11"/>
      <c r="O39" s="11"/>
      <c r="P39" s="11"/>
      <c r="Q39" s="11"/>
    </row>
    <row r="40" spans="2:17" x14ac:dyDescent="0.2">
      <c r="B40" s="5"/>
      <c r="C40" s="5"/>
      <c r="D40" s="1"/>
      <c r="E40" s="1"/>
      <c r="F40" s="1"/>
      <c r="G40" s="1"/>
      <c r="H40" s="1"/>
      <c r="I40" s="1"/>
      <c r="J40" s="1"/>
      <c r="M40" s="11"/>
      <c r="N40" s="11"/>
      <c r="O40" s="11"/>
      <c r="P40" s="11"/>
      <c r="Q40" s="11"/>
    </row>
    <row r="41" spans="2:17" x14ac:dyDescent="0.2">
      <c r="B41" s="5"/>
      <c r="C41" s="5"/>
      <c r="D41" s="1"/>
      <c r="E41" s="1"/>
      <c r="F41" s="1"/>
      <c r="G41" s="1"/>
      <c r="H41" s="1"/>
      <c r="I41" s="1"/>
      <c r="J41" s="1"/>
      <c r="M41" s="11"/>
      <c r="N41" s="11"/>
      <c r="O41" s="11"/>
      <c r="P41" s="11"/>
      <c r="Q41" s="11"/>
    </row>
    <row r="42" spans="2:17" x14ac:dyDescent="0.2">
      <c r="B42" s="5"/>
      <c r="C42" s="5"/>
      <c r="D42" s="1"/>
      <c r="E42" s="1"/>
      <c r="F42" s="1"/>
      <c r="G42" s="1"/>
      <c r="H42" s="1"/>
      <c r="I42" s="1"/>
      <c r="J42" s="1"/>
      <c r="M42" s="11"/>
      <c r="N42" s="11"/>
      <c r="O42" s="11"/>
      <c r="P42" s="11"/>
      <c r="Q42" s="11"/>
    </row>
    <row r="43" spans="2:17" x14ac:dyDescent="0.2">
      <c r="B43" s="5"/>
      <c r="C43" s="5"/>
      <c r="D43" s="1"/>
      <c r="E43" s="1"/>
      <c r="F43" s="1"/>
      <c r="G43" s="1"/>
      <c r="H43" s="1"/>
      <c r="I43" s="1"/>
      <c r="J43" s="1"/>
      <c r="M43" s="11"/>
      <c r="N43" s="11"/>
      <c r="O43" s="11"/>
      <c r="P43" s="11"/>
      <c r="Q43" s="11"/>
    </row>
    <row r="44" spans="2:17" x14ac:dyDescent="0.2">
      <c r="B44" s="5"/>
      <c r="C44" s="5"/>
      <c r="D44" s="1"/>
      <c r="E44" s="1"/>
      <c r="F44" s="1"/>
      <c r="G44" s="1"/>
      <c r="H44" s="1"/>
      <c r="I44" s="1"/>
      <c r="J44" s="1"/>
      <c r="M44" s="11"/>
      <c r="N44" s="11"/>
      <c r="O44" s="11"/>
      <c r="P44" s="11"/>
      <c r="Q44" s="11"/>
    </row>
    <row r="45" spans="2:17" x14ac:dyDescent="0.2">
      <c r="B45" s="5"/>
      <c r="C45" s="5"/>
      <c r="D45" s="1"/>
      <c r="E45" s="1"/>
      <c r="F45" s="1"/>
      <c r="G45" s="1"/>
      <c r="H45" s="1"/>
      <c r="I45" s="1"/>
      <c r="J45" s="1"/>
      <c r="M45" s="11"/>
      <c r="N45" s="11"/>
      <c r="O45" s="11"/>
      <c r="P45" s="11"/>
      <c r="Q45" s="11"/>
    </row>
    <row r="46" spans="2:17" x14ac:dyDescent="0.2">
      <c r="B46" s="5"/>
      <c r="C46" s="5"/>
      <c r="D46" s="1"/>
      <c r="E46" s="1"/>
      <c r="F46" s="1"/>
      <c r="G46" s="1"/>
      <c r="H46" s="1"/>
      <c r="I46" s="1"/>
      <c r="J46" s="1"/>
      <c r="M46" s="11"/>
      <c r="N46" s="11"/>
      <c r="O46" s="11"/>
      <c r="P46" s="11"/>
      <c r="Q46" s="11"/>
    </row>
    <row r="47" spans="2:17" x14ac:dyDescent="0.2">
      <c r="B47" s="5"/>
      <c r="C47" s="5"/>
      <c r="D47" s="1"/>
      <c r="E47" s="1"/>
      <c r="F47" s="1"/>
      <c r="G47" s="1"/>
      <c r="H47" s="1"/>
      <c r="I47" s="1"/>
      <c r="J47" s="1"/>
      <c r="M47" s="11"/>
      <c r="N47" s="11"/>
      <c r="O47" s="11"/>
      <c r="P47" s="11"/>
      <c r="Q47" s="11"/>
    </row>
    <row r="48" spans="2:17" x14ac:dyDescent="0.2">
      <c r="B48" s="5"/>
      <c r="C48" s="5"/>
      <c r="D48" s="1"/>
      <c r="E48" s="1"/>
      <c r="F48" s="1"/>
      <c r="G48" s="1"/>
      <c r="H48" s="1"/>
      <c r="I48" s="1"/>
      <c r="J48" s="1"/>
      <c r="M48" s="11"/>
      <c r="N48" s="11"/>
      <c r="O48" s="11"/>
      <c r="P48" s="11"/>
      <c r="Q48" s="11"/>
    </row>
    <row r="49" spans="2:17" x14ac:dyDescent="0.2">
      <c r="B49" s="5"/>
      <c r="C49" s="5"/>
      <c r="D49" s="1"/>
      <c r="E49" s="1"/>
      <c r="F49" s="1"/>
      <c r="G49" s="1"/>
      <c r="H49" s="1"/>
      <c r="I49" s="1"/>
      <c r="J49" s="1"/>
      <c r="M49" s="11"/>
      <c r="N49" s="11"/>
      <c r="O49" s="11"/>
      <c r="P49" s="11"/>
      <c r="Q49" s="11"/>
    </row>
    <row r="50" spans="2:17" x14ac:dyDescent="0.2">
      <c r="B50" s="5"/>
      <c r="C50" s="5"/>
      <c r="D50" s="1"/>
      <c r="E50" s="1"/>
      <c r="F50" s="1"/>
      <c r="G50" s="1"/>
      <c r="H50" s="1"/>
      <c r="I50" s="1"/>
      <c r="J50" s="1"/>
      <c r="M50" s="11"/>
      <c r="N50" s="11"/>
      <c r="O50" s="11"/>
      <c r="P50" s="11"/>
      <c r="Q50" s="11"/>
    </row>
    <row r="51" spans="2:17" x14ac:dyDescent="0.2">
      <c r="B51" s="5"/>
      <c r="C51" s="5"/>
      <c r="D51" s="1"/>
      <c r="E51" s="1"/>
      <c r="F51" s="1"/>
      <c r="G51" s="1"/>
      <c r="H51" s="1"/>
      <c r="I51" s="1"/>
      <c r="J51" s="1"/>
      <c r="M51" s="11"/>
      <c r="N51" s="11"/>
      <c r="O51" s="11"/>
      <c r="P51" s="11"/>
      <c r="Q51" s="11"/>
    </row>
    <row r="52" spans="2:17" x14ac:dyDescent="0.2">
      <c r="B52" s="5"/>
      <c r="C52" s="5"/>
      <c r="D52" s="1"/>
      <c r="E52" s="1"/>
      <c r="F52" s="1"/>
      <c r="G52" s="1"/>
      <c r="H52" s="1"/>
      <c r="I52" s="1"/>
      <c r="J52" s="1"/>
      <c r="M52" s="11"/>
      <c r="N52" s="11"/>
      <c r="O52" s="11"/>
      <c r="P52" s="11"/>
      <c r="Q52" s="11"/>
    </row>
    <row r="53" spans="2:17" x14ac:dyDescent="0.2">
      <c r="B53" s="5"/>
      <c r="C53" s="5"/>
      <c r="D53" s="1"/>
      <c r="E53" s="1"/>
      <c r="F53" s="1"/>
      <c r="G53" s="1"/>
      <c r="H53" s="1"/>
      <c r="I53" s="1"/>
      <c r="J53" s="1"/>
      <c r="M53" s="11"/>
      <c r="N53" s="11"/>
      <c r="O53" s="11"/>
      <c r="P53" s="11"/>
      <c r="Q53" s="11"/>
    </row>
    <row r="54" spans="2:17" x14ac:dyDescent="0.2">
      <c r="B54" s="5"/>
      <c r="C54" s="5"/>
      <c r="D54" s="1"/>
      <c r="E54" s="1"/>
      <c r="F54" s="1"/>
      <c r="G54" s="1"/>
      <c r="H54" s="1"/>
      <c r="I54" s="1"/>
      <c r="J54" s="1"/>
      <c r="M54" s="11"/>
      <c r="N54" s="11"/>
      <c r="O54" s="11"/>
      <c r="P54" s="11"/>
      <c r="Q54" s="11"/>
    </row>
    <row r="55" spans="2:17" x14ac:dyDescent="0.2">
      <c r="B55" s="5"/>
      <c r="C55" s="5"/>
      <c r="D55" s="1"/>
      <c r="E55" s="1"/>
      <c r="F55" s="1"/>
      <c r="G55" s="1"/>
      <c r="H55" s="1"/>
      <c r="I55" s="1"/>
      <c r="J55" s="1"/>
      <c r="M55" s="11"/>
      <c r="N55" s="11"/>
      <c r="O55" s="11"/>
      <c r="P55" s="11"/>
      <c r="Q55" s="11"/>
    </row>
    <row r="56" spans="2:17" x14ac:dyDescent="0.2">
      <c r="B56" s="5"/>
      <c r="C56" s="5"/>
      <c r="D56" s="1"/>
      <c r="E56" s="1"/>
      <c r="F56" s="1"/>
      <c r="G56" s="1"/>
      <c r="H56" s="1"/>
      <c r="I56" s="1"/>
      <c r="J56" s="1"/>
      <c r="M56" s="11"/>
      <c r="N56" s="11"/>
      <c r="O56" s="11"/>
      <c r="P56" s="11"/>
      <c r="Q56" s="11"/>
    </row>
    <row r="57" spans="2:17" x14ac:dyDescent="0.2">
      <c r="B57" s="5"/>
      <c r="C57" s="5"/>
      <c r="D57" s="1"/>
      <c r="E57" s="1"/>
      <c r="F57" s="1"/>
      <c r="G57" s="1"/>
      <c r="H57" s="1"/>
      <c r="I57" s="1"/>
      <c r="J57" s="1"/>
      <c r="M57" s="11"/>
      <c r="N57" s="11"/>
      <c r="O57" s="11"/>
      <c r="P57" s="11"/>
      <c r="Q57" s="11"/>
    </row>
    <row r="58" spans="2:17" x14ac:dyDescent="0.2">
      <c r="B58" s="5"/>
      <c r="C58" s="5"/>
      <c r="D58" s="1"/>
      <c r="E58" s="1"/>
      <c r="F58" s="1"/>
      <c r="G58" s="1"/>
      <c r="H58" s="1"/>
      <c r="I58" s="1"/>
      <c r="J58" s="1"/>
      <c r="M58" s="11"/>
      <c r="N58" s="11"/>
      <c r="O58" s="11"/>
      <c r="P58" s="11"/>
      <c r="Q58" s="11"/>
    </row>
    <row r="59" spans="2:17" x14ac:dyDescent="0.2">
      <c r="B59" s="5"/>
      <c r="C59" s="5"/>
      <c r="D59" s="1"/>
      <c r="E59" s="1"/>
      <c r="F59" s="1"/>
      <c r="G59" s="1"/>
      <c r="H59" s="1"/>
      <c r="I59" s="1"/>
      <c r="J59" s="1"/>
      <c r="M59" s="11"/>
      <c r="N59" s="11"/>
      <c r="O59" s="11"/>
      <c r="P59" s="11"/>
      <c r="Q59" s="11"/>
    </row>
    <row r="60" spans="2:17" x14ac:dyDescent="0.2">
      <c r="B60" s="5"/>
      <c r="C60" s="5"/>
      <c r="D60" s="1"/>
      <c r="E60" s="1"/>
      <c r="F60" s="1"/>
      <c r="G60" s="1"/>
      <c r="H60" s="1"/>
      <c r="I60" s="1"/>
      <c r="J60" s="1"/>
      <c r="M60" s="11"/>
      <c r="N60" s="11"/>
      <c r="O60" s="11"/>
      <c r="P60" s="11"/>
      <c r="Q60" s="11"/>
    </row>
    <row r="61" spans="2:17" x14ac:dyDescent="0.2">
      <c r="B61" s="5"/>
      <c r="C61" s="5"/>
      <c r="D61" s="1"/>
      <c r="E61" s="1"/>
      <c r="F61" s="1"/>
      <c r="G61" s="1"/>
      <c r="H61" s="1"/>
      <c r="I61" s="1"/>
      <c r="J61" s="1"/>
      <c r="M61" s="11"/>
      <c r="N61" s="11"/>
      <c r="O61" s="11"/>
      <c r="P61" s="11"/>
      <c r="Q61" s="11"/>
    </row>
    <row r="62" spans="2:17" x14ac:dyDescent="0.2">
      <c r="B62" s="5"/>
      <c r="C62" s="5"/>
      <c r="D62" s="1"/>
      <c r="E62" s="1"/>
      <c r="F62" s="1"/>
      <c r="G62" s="1"/>
      <c r="H62" s="1"/>
      <c r="I62" s="1"/>
      <c r="J62" s="1"/>
      <c r="M62" s="11"/>
      <c r="N62" s="11"/>
      <c r="O62" s="11"/>
      <c r="P62" s="11"/>
      <c r="Q62" s="11"/>
    </row>
    <row r="63" spans="2:17" x14ac:dyDescent="0.2">
      <c r="B63" s="5"/>
      <c r="C63" s="5"/>
      <c r="D63" s="1"/>
      <c r="E63" s="1"/>
      <c r="F63" s="1"/>
      <c r="G63" s="1"/>
      <c r="H63" s="1"/>
      <c r="I63" s="1"/>
      <c r="J63" s="1"/>
      <c r="M63" s="11"/>
      <c r="N63" s="11"/>
      <c r="O63" s="11"/>
      <c r="P63" s="11"/>
      <c r="Q63" s="11"/>
    </row>
    <row r="64" spans="2:17" x14ac:dyDescent="0.2">
      <c r="B64" s="5"/>
      <c r="C64" s="5"/>
      <c r="D64" s="1"/>
      <c r="E64" s="1"/>
      <c r="F64" s="1"/>
      <c r="G64" s="1"/>
      <c r="H64" s="1"/>
      <c r="I64" s="1"/>
      <c r="J64" s="1"/>
      <c r="M64" s="11"/>
      <c r="N64" s="11"/>
      <c r="O64" s="11"/>
      <c r="P64" s="11"/>
      <c r="Q64" s="11"/>
    </row>
    <row r="65" spans="2:17" x14ac:dyDescent="0.2">
      <c r="B65" s="5"/>
      <c r="C65" s="5"/>
      <c r="D65" s="1"/>
      <c r="E65" s="1"/>
      <c r="F65" s="1"/>
      <c r="G65" s="1"/>
      <c r="H65" s="1"/>
      <c r="I65" s="1"/>
      <c r="J65" s="1"/>
      <c r="M65" s="11"/>
      <c r="N65" s="11"/>
      <c r="O65" s="11"/>
      <c r="P65" s="11"/>
      <c r="Q65" s="11"/>
    </row>
    <row r="66" spans="2:17" x14ac:dyDescent="0.2">
      <c r="B66" s="5"/>
      <c r="C66" s="5"/>
      <c r="D66" s="1"/>
      <c r="E66" s="1"/>
      <c r="F66" s="1"/>
      <c r="G66" s="1"/>
      <c r="H66" s="1"/>
      <c r="I66" s="1"/>
      <c r="J66" s="1"/>
      <c r="M66" s="11"/>
      <c r="N66" s="11"/>
      <c r="O66" s="11"/>
      <c r="P66" s="11"/>
      <c r="Q66" s="11"/>
    </row>
    <row r="67" spans="2:17" x14ac:dyDescent="0.2">
      <c r="B67" s="5"/>
      <c r="C67" s="5"/>
      <c r="D67" s="1"/>
      <c r="E67" s="1"/>
      <c r="F67" s="1"/>
      <c r="G67" s="1"/>
      <c r="H67" s="1"/>
      <c r="I67" s="1"/>
      <c r="J67" s="1"/>
      <c r="M67" s="11"/>
      <c r="N67" s="11"/>
      <c r="O67" s="11"/>
      <c r="P67" s="11"/>
      <c r="Q67" s="11"/>
    </row>
    <row r="68" spans="2:17" x14ac:dyDescent="0.2">
      <c r="B68" s="5"/>
      <c r="C68" s="5"/>
      <c r="D68" s="1"/>
      <c r="E68" s="1"/>
      <c r="F68" s="1"/>
      <c r="G68" s="1"/>
      <c r="H68" s="1"/>
      <c r="I68" s="1"/>
      <c r="J68" s="1"/>
      <c r="M68" s="11"/>
      <c r="N68" s="11"/>
      <c r="O68" s="11"/>
      <c r="P68" s="11"/>
      <c r="Q68" s="11"/>
    </row>
    <row r="69" spans="2:17" x14ac:dyDescent="0.2">
      <c r="B69" s="5"/>
      <c r="C69" s="5"/>
      <c r="D69" s="1"/>
      <c r="E69" s="1"/>
      <c r="F69" s="1"/>
      <c r="G69" s="1"/>
      <c r="H69" s="1"/>
      <c r="I69" s="1"/>
      <c r="J69" s="1"/>
      <c r="M69" s="11"/>
      <c r="N69" s="11"/>
      <c r="O69" s="11"/>
      <c r="P69" s="11"/>
      <c r="Q69" s="11"/>
    </row>
    <row r="70" spans="2:17" x14ac:dyDescent="0.2">
      <c r="B70" s="5"/>
      <c r="C70" s="5"/>
      <c r="D70" s="1"/>
      <c r="E70" s="1"/>
      <c r="F70" s="1"/>
      <c r="G70" s="1"/>
      <c r="H70" s="1"/>
      <c r="I70" s="1"/>
      <c r="J70" s="1"/>
      <c r="M70" s="11"/>
      <c r="N70" s="11"/>
      <c r="O70" s="11"/>
      <c r="P70" s="11"/>
      <c r="Q70" s="11"/>
    </row>
    <row r="71" spans="2:17" x14ac:dyDescent="0.2">
      <c r="B71" s="5"/>
      <c r="C71" s="5"/>
      <c r="D71" s="1"/>
      <c r="E71" s="1"/>
      <c r="F71" s="1"/>
      <c r="G71" s="1"/>
      <c r="H71" s="1"/>
      <c r="I71" s="1"/>
      <c r="J71" s="1"/>
      <c r="M71" s="11"/>
      <c r="N71" s="11"/>
      <c r="O71" s="11"/>
      <c r="P71" s="11"/>
      <c r="Q71" s="11"/>
    </row>
    <row r="72" spans="2:17" x14ac:dyDescent="0.2">
      <c r="B72" s="5"/>
      <c r="C72" s="5"/>
      <c r="D72" s="1"/>
      <c r="E72" s="1"/>
      <c r="F72" s="1"/>
      <c r="G72" s="1"/>
      <c r="H72" s="1"/>
      <c r="I72" s="1"/>
      <c r="J72" s="1"/>
      <c r="M72" s="11"/>
      <c r="N72" s="11"/>
      <c r="O72" s="11"/>
      <c r="P72" s="11"/>
      <c r="Q72" s="11"/>
    </row>
    <row r="73" spans="2:17" x14ac:dyDescent="0.2">
      <c r="B73" s="5"/>
      <c r="C73" s="5"/>
      <c r="D73" s="1"/>
      <c r="E73" s="1"/>
      <c r="F73" s="1"/>
      <c r="G73" s="1"/>
      <c r="H73" s="1"/>
      <c r="I73" s="1"/>
      <c r="J73" s="1"/>
      <c r="M73" s="11"/>
      <c r="N73" s="11"/>
      <c r="O73" s="11"/>
      <c r="P73" s="11"/>
      <c r="Q73" s="11"/>
    </row>
    <row r="74" spans="2:17" x14ac:dyDescent="0.2">
      <c r="B74" s="5"/>
      <c r="C74" s="5"/>
      <c r="D74" s="1"/>
      <c r="E74" s="1"/>
      <c r="F74" s="1"/>
      <c r="G74" s="1"/>
      <c r="H74" s="1"/>
      <c r="I74" s="1"/>
      <c r="J74" s="1"/>
      <c r="M74" s="11"/>
      <c r="N74" s="11"/>
      <c r="O74" s="11"/>
      <c r="P74" s="11"/>
      <c r="Q74" s="11"/>
    </row>
    <row r="75" spans="2:17" x14ac:dyDescent="0.2">
      <c r="B75" s="5"/>
      <c r="C75" s="5"/>
      <c r="D75" s="1"/>
      <c r="E75" s="1"/>
      <c r="F75" s="1"/>
      <c r="G75" s="1"/>
      <c r="H75" s="1"/>
      <c r="I75" s="1"/>
      <c r="J75" s="1"/>
      <c r="M75" s="11"/>
      <c r="N75" s="11"/>
      <c r="O75" s="11"/>
      <c r="P75" s="11"/>
      <c r="Q75" s="11"/>
    </row>
    <row r="76" spans="2:17" x14ac:dyDescent="0.2">
      <c r="B76" s="5"/>
      <c r="C76" s="5"/>
      <c r="D76" s="1"/>
      <c r="E76" s="1"/>
      <c r="F76" s="1"/>
      <c r="G76" s="1"/>
      <c r="H76" s="1"/>
      <c r="I76" s="1"/>
      <c r="J76" s="1"/>
      <c r="M76" s="11"/>
      <c r="N76" s="11"/>
      <c r="O76" s="11"/>
      <c r="P76" s="11"/>
      <c r="Q76" s="11"/>
    </row>
    <row r="77" spans="2:17" x14ac:dyDescent="0.2">
      <c r="B77" s="5"/>
      <c r="C77" s="5"/>
      <c r="D77" s="1"/>
      <c r="E77" s="1"/>
      <c r="F77" s="1"/>
      <c r="G77" s="1"/>
      <c r="H77" s="1"/>
      <c r="I77" s="1"/>
      <c r="J77" s="1"/>
      <c r="M77" s="11"/>
      <c r="N77" s="11"/>
      <c r="O77" s="11"/>
      <c r="P77" s="11"/>
      <c r="Q77" s="11"/>
    </row>
    <row r="78" spans="2:17" x14ac:dyDescent="0.2">
      <c r="B78" s="5"/>
      <c r="C78" s="5"/>
      <c r="D78" s="1"/>
      <c r="E78" s="1"/>
      <c r="F78" s="1"/>
      <c r="G78" s="1"/>
      <c r="H78" s="1"/>
      <c r="I78" s="1"/>
      <c r="J78" s="1"/>
      <c r="M78" s="11"/>
      <c r="N78" s="11"/>
      <c r="O78" s="11"/>
      <c r="P78" s="11"/>
      <c r="Q78" s="11"/>
    </row>
    <row r="79" spans="2:17" x14ac:dyDescent="0.2">
      <c r="B79" s="5"/>
      <c r="C79" s="5"/>
      <c r="D79" s="1"/>
      <c r="E79" s="1"/>
      <c r="F79" s="1"/>
      <c r="G79" s="1"/>
      <c r="H79" s="1"/>
      <c r="I79" s="1"/>
      <c r="J79" s="1"/>
      <c r="M79" s="11"/>
      <c r="N79" s="11"/>
      <c r="O79" s="11"/>
      <c r="P79" s="11"/>
      <c r="Q79" s="11"/>
    </row>
    <row r="80" spans="2:17" x14ac:dyDescent="0.2">
      <c r="B80" s="5"/>
      <c r="C80" s="5"/>
      <c r="D80" s="1"/>
      <c r="E80" s="1"/>
      <c r="F80" s="1"/>
      <c r="G80" s="1"/>
      <c r="H80" s="1"/>
      <c r="I80" s="1"/>
      <c r="J80" s="1"/>
      <c r="M80" s="11"/>
      <c r="N80" s="11"/>
      <c r="O80" s="11"/>
      <c r="P80" s="11"/>
      <c r="Q80" s="11"/>
    </row>
    <row r="81" spans="2:17" x14ac:dyDescent="0.2">
      <c r="B81" s="5"/>
      <c r="C81" s="5"/>
      <c r="D81" s="1"/>
      <c r="E81" s="1"/>
      <c r="F81" s="1"/>
      <c r="G81" s="1"/>
      <c r="H81" s="1"/>
      <c r="I81" s="1"/>
      <c r="J81" s="1"/>
      <c r="M81" s="11"/>
      <c r="N81" s="11"/>
      <c r="O81" s="11"/>
      <c r="P81" s="11"/>
      <c r="Q81" s="11"/>
    </row>
    <row r="82" spans="2:17" x14ac:dyDescent="0.2">
      <c r="B82" s="5"/>
      <c r="C82" s="5"/>
      <c r="D82" s="1"/>
      <c r="E82" s="1"/>
      <c r="F82" s="1"/>
      <c r="G82" s="1"/>
      <c r="H82" s="1"/>
      <c r="I82" s="1"/>
      <c r="J82" s="1"/>
      <c r="M82" s="11"/>
      <c r="N82" s="11"/>
      <c r="O82" s="11"/>
      <c r="P82" s="11"/>
      <c r="Q82" s="11"/>
    </row>
    <row r="83" spans="2:17" x14ac:dyDescent="0.2">
      <c r="B83" s="5"/>
      <c r="C83" s="5"/>
      <c r="D83" s="1"/>
      <c r="E83" s="1"/>
      <c r="F83" s="1"/>
      <c r="G83" s="1"/>
      <c r="H83" s="1"/>
      <c r="I83" s="1"/>
      <c r="J83" s="1"/>
      <c r="M83" s="11"/>
      <c r="N83" s="11"/>
      <c r="O83" s="11"/>
      <c r="P83" s="11"/>
      <c r="Q83" s="11"/>
    </row>
    <row r="84" spans="2:17" x14ac:dyDescent="0.2">
      <c r="B84" s="5"/>
      <c r="C84" s="5"/>
      <c r="D84" s="1"/>
      <c r="E84" s="1"/>
      <c r="F84" s="1"/>
      <c r="G84" s="1"/>
      <c r="H84" s="1"/>
      <c r="I84" s="1"/>
      <c r="J84" s="1"/>
      <c r="M84" s="11"/>
      <c r="N84" s="11"/>
      <c r="O84" s="11"/>
      <c r="P84" s="11"/>
      <c r="Q84" s="11"/>
    </row>
    <row r="85" spans="2:17" x14ac:dyDescent="0.2">
      <c r="B85" s="5"/>
      <c r="C85" s="5"/>
      <c r="D85" s="1"/>
      <c r="E85" s="1"/>
      <c r="F85" s="1"/>
      <c r="G85" s="1"/>
      <c r="H85" s="1"/>
      <c r="I85" s="1"/>
      <c r="J85" s="1"/>
      <c r="M85" s="11"/>
      <c r="N85" s="11"/>
      <c r="O85" s="11"/>
      <c r="P85" s="11"/>
      <c r="Q85" s="11"/>
    </row>
    <row r="86" spans="2:17" x14ac:dyDescent="0.2">
      <c r="B86" s="5"/>
      <c r="C86" s="5"/>
      <c r="D86" s="1"/>
      <c r="E86" s="1"/>
      <c r="F86" s="1"/>
      <c r="G86" s="1"/>
      <c r="H86" s="1"/>
      <c r="I86" s="1"/>
      <c r="J86" s="1"/>
      <c r="M86" s="11"/>
      <c r="N86" s="11"/>
      <c r="O86" s="11"/>
      <c r="P86" s="11"/>
      <c r="Q86" s="11"/>
    </row>
    <row r="87" spans="2:17" x14ac:dyDescent="0.2">
      <c r="B87" s="5"/>
      <c r="C87" s="5"/>
      <c r="D87" s="1"/>
      <c r="E87" s="1"/>
      <c r="F87" s="1"/>
      <c r="G87" s="1"/>
      <c r="H87" s="1"/>
      <c r="I87" s="1"/>
      <c r="J87" s="1"/>
      <c r="M87" s="11"/>
      <c r="N87" s="11"/>
      <c r="O87" s="11"/>
      <c r="P87" s="11"/>
      <c r="Q87" s="11"/>
    </row>
    <row r="88" spans="2:17" x14ac:dyDescent="0.2">
      <c r="B88" s="5"/>
      <c r="C88" s="5"/>
      <c r="D88" s="1"/>
      <c r="E88" s="1"/>
      <c r="F88" s="1"/>
      <c r="G88" s="1"/>
      <c r="H88" s="1"/>
      <c r="I88" s="1"/>
      <c r="J88" s="1"/>
      <c r="M88" s="11"/>
      <c r="N88" s="11"/>
      <c r="O88" s="11"/>
      <c r="P88" s="11"/>
      <c r="Q88" s="11"/>
    </row>
    <row r="89" spans="2:17" x14ac:dyDescent="0.2">
      <c r="B89" s="5"/>
      <c r="C89" s="5"/>
      <c r="D89" s="1"/>
      <c r="E89" s="1"/>
      <c r="F89" s="1"/>
      <c r="G89" s="1"/>
      <c r="H89" s="1"/>
      <c r="I89" s="1"/>
      <c r="J89" s="1"/>
      <c r="M89" s="11"/>
      <c r="N89" s="11"/>
      <c r="O89" s="11"/>
      <c r="P89" s="11"/>
      <c r="Q89" s="11"/>
    </row>
    <row r="90" spans="2:17" x14ac:dyDescent="0.2">
      <c r="B90" s="5"/>
      <c r="C90" s="5"/>
      <c r="D90" s="1"/>
      <c r="E90" s="1"/>
      <c r="F90" s="1"/>
      <c r="G90" s="1"/>
      <c r="H90" s="1"/>
      <c r="I90" s="1"/>
      <c r="J90" s="1"/>
      <c r="M90" s="11"/>
      <c r="N90" s="11"/>
      <c r="O90" s="11"/>
      <c r="P90" s="11"/>
      <c r="Q90" s="11"/>
    </row>
    <row r="91" spans="2:17" x14ac:dyDescent="0.2">
      <c r="B91" s="5"/>
      <c r="C91" s="5"/>
      <c r="D91" s="1"/>
      <c r="E91" s="1"/>
      <c r="F91" s="1"/>
      <c r="G91" s="1"/>
      <c r="H91" s="1"/>
      <c r="I91" s="1"/>
      <c r="J91" s="1"/>
      <c r="M91" s="11"/>
      <c r="N91" s="11"/>
      <c r="O91" s="11"/>
      <c r="P91" s="11"/>
      <c r="Q91" s="11"/>
    </row>
    <row r="92" spans="2:17" x14ac:dyDescent="0.2">
      <c r="B92" s="5"/>
      <c r="C92" s="5"/>
      <c r="D92" s="1"/>
      <c r="E92" s="1"/>
      <c r="F92" s="1"/>
      <c r="G92" s="1"/>
      <c r="H92" s="1"/>
      <c r="I92" s="1"/>
      <c r="J92" s="1"/>
      <c r="M92" s="11"/>
      <c r="N92" s="11"/>
      <c r="O92" s="11"/>
      <c r="P92" s="11"/>
      <c r="Q92" s="11"/>
    </row>
    <row r="93" spans="2:17" x14ac:dyDescent="0.2">
      <c r="B93" s="5"/>
      <c r="C93" s="5"/>
      <c r="D93" s="1"/>
      <c r="E93" s="1"/>
      <c r="F93" s="1"/>
      <c r="G93" s="1"/>
      <c r="H93" s="1"/>
      <c r="I93" s="1"/>
      <c r="J93" s="1"/>
      <c r="M93" s="11"/>
      <c r="N93" s="11"/>
      <c r="O93" s="11"/>
      <c r="P93" s="11"/>
      <c r="Q93" s="11"/>
    </row>
    <row r="94" spans="2:17" x14ac:dyDescent="0.2">
      <c r="B94" s="5"/>
      <c r="C94" s="5"/>
      <c r="D94" s="1"/>
      <c r="E94" s="1"/>
      <c r="F94" s="1"/>
      <c r="G94" s="1"/>
      <c r="H94" s="1"/>
      <c r="I94" s="1"/>
      <c r="J94" s="1"/>
      <c r="M94" s="11"/>
      <c r="N94" s="11"/>
      <c r="O94" s="11"/>
      <c r="P94" s="11"/>
      <c r="Q94" s="11"/>
    </row>
    <row r="95" spans="2:17" x14ac:dyDescent="0.2">
      <c r="B95" s="5"/>
      <c r="C95" s="5"/>
      <c r="D95" s="1"/>
      <c r="E95" s="1"/>
      <c r="F95" s="1"/>
      <c r="G95" s="1"/>
      <c r="H95" s="1"/>
      <c r="I95" s="1"/>
      <c r="J95" s="1"/>
      <c r="M95" s="11"/>
      <c r="N95" s="11"/>
      <c r="O95" s="11"/>
      <c r="P95" s="11"/>
      <c r="Q95" s="11"/>
    </row>
    <row r="96" spans="2:17" x14ac:dyDescent="0.2">
      <c r="B96" s="5"/>
      <c r="C96" s="5"/>
      <c r="D96" s="1"/>
      <c r="E96" s="1"/>
      <c r="F96" s="1"/>
      <c r="G96" s="1"/>
      <c r="H96" s="1"/>
      <c r="I96" s="1"/>
      <c r="J96" s="1"/>
      <c r="M96" s="11"/>
      <c r="N96" s="11"/>
      <c r="O96" s="11"/>
      <c r="P96" s="11"/>
      <c r="Q96" s="11"/>
    </row>
    <row r="97" spans="2:17" x14ac:dyDescent="0.2">
      <c r="B97" s="5"/>
      <c r="C97" s="5"/>
      <c r="D97" s="1"/>
      <c r="E97" s="1"/>
      <c r="F97" s="1"/>
      <c r="G97" s="1"/>
      <c r="H97" s="1"/>
      <c r="I97" s="1"/>
      <c r="J97" s="1"/>
      <c r="M97" s="11"/>
      <c r="N97" s="11"/>
      <c r="O97" s="11"/>
      <c r="P97" s="11"/>
      <c r="Q97" s="11"/>
    </row>
    <row r="98" spans="2:17" x14ac:dyDescent="0.2">
      <c r="B98" s="5"/>
      <c r="C98" s="5"/>
      <c r="D98" s="1"/>
      <c r="E98" s="1"/>
      <c r="F98" s="1"/>
      <c r="G98" s="1"/>
      <c r="H98" s="1"/>
      <c r="I98" s="1"/>
      <c r="J98" s="1"/>
      <c r="M98" s="11"/>
      <c r="N98" s="11"/>
      <c r="O98" s="11"/>
      <c r="P98" s="11"/>
      <c r="Q98" s="11"/>
    </row>
    <row r="99" spans="2:17" x14ac:dyDescent="0.2">
      <c r="B99" s="5"/>
      <c r="C99" s="5"/>
      <c r="D99" s="1"/>
      <c r="E99" s="1"/>
      <c r="F99" s="1"/>
      <c r="G99" s="1"/>
      <c r="H99" s="1"/>
      <c r="I99" s="1"/>
      <c r="J99" s="1"/>
      <c r="M99" s="11"/>
      <c r="N99" s="11"/>
      <c r="O99" s="11"/>
      <c r="P99" s="11"/>
      <c r="Q99" s="11"/>
    </row>
    <row r="100" spans="2:17" x14ac:dyDescent="0.2">
      <c r="B100" s="5"/>
      <c r="C100" s="5"/>
      <c r="D100" s="1"/>
      <c r="E100" s="1"/>
      <c r="F100" s="1"/>
      <c r="G100" s="1"/>
      <c r="H100" s="1"/>
      <c r="I100" s="1"/>
      <c r="J100" s="1"/>
      <c r="M100" s="11"/>
      <c r="N100" s="11"/>
      <c r="O100" s="11"/>
      <c r="P100" s="11"/>
      <c r="Q100" s="11"/>
    </row>
    <row r="101" spans="2:17" x14ac:dyDescent="0.2">
      <c r="B101" s="5"/>
      <c r="C101" s="5"/>
      <c r="D101" s="1"/>
      <c r="E101" s="1"/>
      <c r="F101" s="1"/>
      <c r="G101" s="1"/>
      <c r="H101" s="1"/>
      <c r="I101" s="1"/>
      <c r="J101" s="1"/>
      <c r="M101" s="11"/>
      <c r="N101" s="11"/>
      <c r="O101" s="11"/>
      <c r="P101" s="11"/>
      <c r="Q101" s="11"/>
    </row>
    <row r="102" spans="2:17" x14ac:dyDescent="0.2">
      <c r="B102" s="5"/>
      <c r="C102" s="5"/>
      <c r="D102" s="1"/>
      <c r="E102" s="1"/>
      <c r="F102" s="1"/>
      <c r="G102" s="1"/>
      <c r="H102" s="1"/>
      <c r="I102" s="1"/>
      <c r="J102" s="1"/>
      <c r="M102" s="11"/>
      <c r="N102" s="11"/>
      <c r="O102" s="11"/>
      <c r="P102" s="11"/>
      <c r="Q102" s="11"/>
    </row>
    <row r="103" spans="2:17" x14ac:dyDescent="0.2">
      <c r="B103" s="5"/>
      <c r="C103" s="5"/>
      <c r="D103" s="1"/>
      <c r="E103" s="1"/>
      <c r="F103" s="1"/>
      <c r="G103" s="1"/>
      <c r="H103" s="1"/>
      <c r="I103" s="1"/>
      <c r="J103" s="1"/>
      <c r="M103" s="11"/>
      <c r="N103" s="11"/>
      <c r="O103" s="11"/>
      <c r="P103" s="11"/>
      <c r="Q103" s="11"/>
    </row>
    <row r="104" spans="2:17" x14ac:dyDescent="0.2">
      <c r="B104" s="5"/>
      <c r="C104" s="5"/>
      <c r="D104" s="1"/>
      <c r="E104" s="1"/>
      <c r="F104" s="1"/>
      <c r="G104" s="1"/>
      <c r="H104" s="1"/>
      <c r="I104" s="1"/>
      <c r="J104" s="1"/>
      <c r="M104" s="11"/>
      <c r="N104" s="11"/>
      <c r="O104" s="11"/>
      <c r="P104" s="11"/>
      <c r="Q104" s="11"/>
    </row>
    <row r="105" spans="2:17" x14ac:dyDescent="0.2">
      <c r="B105" s="5"/>
      <c r="C105" s="5"/>
      <c r="D105" s="1"/>
      <c r="E105" s="1"/>
      <c r="F105" s="1"/>
      <c r="G105" s="1"/>
      <c r="H105" s="1"/>
      <c r="I105" s="1"/>
      <c r="J105" s="1"/>
      <c r="M105" s="11"/>
      <c r="N105" s="11"/>
      <c r="O105" s="11"/>
      <c r="P105" s="11"/>
      <c r="Q105" s="11"/>
    </row>
    <row r="106" spans="2:17" x14ac:dyDescent="0.2">
      <c r="B106" s="5"/>
      <c r="C106" s="5"/>
      <c r="D106" s="1"/>
      <c r="E106" s="1"/>
      <c r="F106" s="1"/>
      <c r="G106" s="1"/>
      <c r="H106" s="1"/>
      <c r="I106" s="1"/>
      <c r="J106" s="1"/>
      <c r="M106" s="11"/>
      <c r="N106" s="11"/>
      <c r="O106" s="11"/>
      <c r="P106" s="11"/>
      <c r="Q106" s="11"/>
    </row>
    <row r="107" spans="2:17" x14ac:dyDescent="0.2">
      <c r="B107" s="5"/>
      <c r="C107" s="5"/>
      <c r="D107" s="1"/>
      <c r="E107" s="1"/>
      <c r="F107" s="1"/>
      <c r="G107" s="1"/>
      <c r="H107" s="1"/>
      <c r="I107" s="1"/>
      <c r="J107" s="1"/>
      <c r="M107" s="11"/>
      <c r="N107" s="11"/>
      <c r="O107" s="11"/>
      <c r="P107" s="11"/>
      <c r="Q107" s="11"/>
    </row>
    <row r="108" spans="2:17" x14ac:dyDescent="0.2">
      <c r="B108" s="5"/>
      <c r="C108" s="5"/>
      <c r="D108" s="1"/>
      <c r="E108" s="1"/>
      <c r="F108" s="1"/>
      <c r="G108" s="1"/>
      <c r="H108" s="1"/>
      <c r="I108" s="1"/>
      <c r="J108" s="1"/>
      <c r="M108" s="11"/>
      <c r="N108" s="11"/>
      <c r="O108" s="11"/>
      <c r="P108" s="11"/>
      <c r="Q108" s="11"/>
    </row>
    <row r="109" spans="2:17" x14ac:dyDescent="0.2">
      <c r="B109" s="5"/>
      <c r="C109" s="5"/>
      <c r="D109" s="1"/>
      <c r="E109" s="1"/>
      <c r="F109" s="1"/>
      <c r="G109" s="1"/>
      <c r="H109" s="1"/>
      <c r="I109" s="1"/>
      <c r="J109" s="1"/>
      <c r="M109" s="11"/>
      <c r="N109" s="11"/>
      <c r="O109" s="11"/>
      <c r="P109" s="11"/>
      <c r="Q109" s="11"/>
    </row>
    <row r="110" spans="2:17" x14ac:dyDescent="0.2">
      <c r="B110" s="5"/>
      <c r="C110" s="5"/>
      <c r="D110" s="1"/>
      <c r="E110" s="1"/>
      <c r="F110" s="1"/>
      <c r="G110" s="1"/>
      <c r="H110" s="1"/>
      <c r="I110" s="1"/>
      <c r="J110" s="1"/>
      <c r="M110" s="11"/>
      <c r="N110" s="11"/>
      <c r="O110" s="11"/>
      <c r="P110" s="11"/>
      <c r="Q110" s="11"/>
    </row>
    <row r="111" spans="2:17" x14ac:dyDescent="0.2">
      <c r="B111" s="5"/>
      <c r="C111" s="5"/>
      <c r="D111" s="1"/>
      <c r="E111" s="1"/>
      <c r="F111" s="1"/>
      <c r="G111" s="1"/>
      <c r="H111" s="1"/>
      <c r="I111" s="1"/>
      <c r="J111" s="1"/>
      <c r="M111" s="11"/>
      <c r="N111" s="11"/>
      <c r="O111" s="11"/>
      <c r="P111" s="11"/>
      <c r="Q111" s="11"/>
    </row>
    <row r="112" spans="2:17" x14ac:dyDescent="0.2">
      <c r="B112" s="5"/>
      <c r="C112" s="5"/>
      <c r="D112" s="1"/>
      <c r="E112" s="1"/>
      <c r="F112" s="1"/>
      <c r="G112" s="1"/>
      <c r="H112" s="1"/>
      <c r="I112" s="1"/>
      <c r="J112" s="1"/>
      <c r="M112" s="11"/>
      <c r="N112" s="11"/>
      <c r="O112" s="11"/>
      <c r="P112" s="11"/>
      <c r="Q112" s="11"/>
    </row>
    <row r="113" spans="2:17" x14ac:dyDescent="0.2">
      <c r="B113" s="5"/>
      <c r="C113" s="5"/>
      <c r="D113" s="1"/>
      <c r="E113" s="1"/>
      <c r="F113" s="1"/>
      <c r="G113" s="1"/>
      <c r="H113" s="1"/>
      <c r="I113" s="1"/>
      <c r="J113" s="1"/>
      <c r="M113" s="11"/>
      <c r="N113" s="11"/>
      <c r="O113" s="11"/>
      <c r="P113" s="11"/>
      <c r="Q113" s="11"/>
    </row>
    <row r="114" spans="2:17" x14ac:dyDescent="0.2">
      <c r="B114" s="5"/>
      <c r="C114" s="5"/>
      <c r="D114" s="1"/>
      <c r="E114" s="1"/>
      <c r="F114" s="1"/>
      <c r="G114" s="1"/>
      <c r="H114" s="1"/>
      <c r="I114" s="1"/>
      <c r="J114" s="1"/>
      <c r="M114" s="11"/>
      <c r="N114" s="11"/>
      <c r="O114" s="11"/>
      <c r="P114" s="11"/>
      <c r="Q114" s="11"/>
    </row>
    <row r="115" spans="2:17" x14ac:dyDescent="0.2">
      <c r="B115" s="5"/>
      <c r="C115" s="5"/>
      <c r="D115" s="1"/>
      <c r="E115" s="1"/>
      <c r="F115" s="1"/>
      <c r="G115" s="1"/>
      <c r="H115" s="1"/>
      <c r="I115" s="1"/>
      <c r="J115" s="1"/>
      <c r="M115" s="11"/>
      <c r="N115" s="11"/>
      <c r="O115" s="11"/>
      <c r="P115" s="11"/>
      <c r="Q115" s="11"/>
    </row>
    <row r="116" spans="2:17" x14ac:dyDescent="0.2">
      <c r="B116" s="5"/>
      <c r="C116" s="5"/>
      <c r="D116" s="1"/>
      <c r="E116" s="1"/>
      <c r="F116" s="1"/>
      <c r="G116" s="1"/>
      <c r="H116" s="1"/>
      <c r="I116" s="1"/>
      <c r="J116" s="1"/>
      <c r="M116" s="11"/>
      <c r="N116" s="11"/>
      <c r="O116" s="11"/>
      <c r="P116" s="11"/>
      <c r="Q116" s="11"/>
    </row>
    <row r="117" spans="2:17" x14ac:dyDescent="0.2">
      <c r="B117" s="5"/>
      <c r="C117" s="5"/>
      <c r="D117" s="1"/>
      <c r="E117" s="1"/>
      <c r="F117" s="1"/>
      <c r="G117" s="1"/>
      <c r="H117" s="1"/>
      <c r="I117" s="1"/>
      <c r="J117" s="1"/>
      <c r="M117" s="11"/>
      <c r="N117" s="11"/>
      <c r="O117" s="11"/>
      <c r="P117" s="11"/>
      <c r="Q117" s="11"/>
    </row>
    <row r="118" spans="2:17" x14ac:dyDescent="0.2">
      <c r="B118" s="5"/>
      <c r="C118" s="5"/>
      <c r="D118" s="1"/>
      <c r="E118" s="1"/>
      <c r="F118" s="1"/>
      <c r="G118" s="1"/>
      <c r="H118" s="1"/>
      <c r="I118" s="1"/>
      <c r="J118" s="1"/>
      <c r="M118" s="11"/>
      <c r="N118" s="11"/>
      <c r="O118" s="11"/>
      <c r="P118" s="11"/>
      <c r="Q118" s="11"/>
    </row>
    <row r="119" spans="2:17" x14ac:dyDescent="0.2">
      <c r="B119" s="5"/>
      <c r="C119" s="5"/>
      <c r="D119" s="1"/>
      <c r="E119" s="1"/>
      <c r="F119" s="1"/>
      <c r="G119" s="1"/>
      <c r="H119" s="1"/>
      <c r="I119" s="1"/>
      <c r="J119" s="1"/>
      <c r="M119" s="11"/>
      <c r="N119" s="11"/>
      <c r="O119" s="11"/>
      <c r="P119" s="11"/>
      <c r="Q119" s="11"/>
    </row>
    <row r="120" spans="2:17" x14ac:dyDescent="0.2">
      <c r="B120" s="5"/>
      <c r="C120" s="5"/>
      <c r="D120" s="1"/>
      <c r="E120" s="1"/>
      <c r="F120" s="1"/>
      <c r="G120" s="1"/>
      <c r="H120" s="1"/>
      <c r="I120" s="1"/>
      <c r="J120" s="1"/>
      <c r="M120" s="11"/>
      <c r="N120" s="11"/>
      <c r="O120" s="11"/>
      <c r="P120" s="11"/>
      <c r="Q120" s="11"/>
    </row>
    <row r="121" spans="2:17" x14ac:dyDescent="0.2">
      <c r="B121" s="5"/>
      <c r="C121" s="5"/>
      <c r="D121" s="1"/>
      <c r="E121" s="1"/>
      <c r="F121" s="1"/>
      <c r="G121" s="1"/>
      <c r="H121" s="1"/>
      <c r="I121" s="1"/>
      <c r="J121" s="1"/>
      <c r="M121" s="11"/>
      <c r="N121" s="11"/>
      <c r="O121" s="11"/>
      <c r="P121" s="11"/>
      <c r="Q121" s="11"/>
    </row>
    <row r="122" spans="2:17" x14ac:dyDescent="0.2">
      <c r="B122" s="5"/>
      <c r="C122" s="5"/>
      <c r="D122" s="1"/>
      <c r="E122" s="1"/>
      <c r="F122" s="1"/>
      <c r="H122" s="1"/>
      <c r="I122" s="1"/>
      <c r="J122" s="1"/>
      <c r="M122" s="11"/>
      <c r="N122" s="11"/>
      <c r="O122" s="11"/>
      <c r="P122" s="11"/>
      <c r="Q122" s="11"/>
    </row>
    <row r="123" spans="2:17" x14ac:dyDescent="0.2">
      <c r="B123" s="5"/>
      <c r="C123" s="5"/>
      <c r="D123" s="1"/>
      <c r="E123" s="1"/>
      <c r="F123" s="1"/>
      <c r="H123" s="1"/>
      <c r="I123" s="1"/>
      <c r="J123" s="1"/>
      <c r="M123" s="11"/>
      <c r="N123" s="11"/>
      <c r="O123" s="11"/>
      <c r="P123" s="11"/>
      <c r="Q123" s="1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1" sqref="M31"/>
    </sheetView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Doha new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John George</cp:lastModifiedBy>
  <dcterms:created xsi:type="dcterms:W3CDTF">2016-09-19T10:41:46Z</dcterms:created>
  <dcterms:modified xsi:type="dcterms:W3CDTF">2022-01-05T06:37:56Z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