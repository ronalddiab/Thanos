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0" i="2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K34" i="3" s="1"/>
  <c r="J34" i="3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<sst xmlns="http://schemas.openxmlformats.org/spreadsheetml/2006/main" count="442" uniqueCount="149">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</sst>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45699.577780000007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55782.831147999997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52759.105376000007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58501.262596</v>
      </c>
      <c r="F8" s="137">
        <v>1.27</v>
      </c>
      <c r="G8" s="35">
        <f>Gas!C9*0.9147</f>
        <v>2784.3467999999998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7">
        <v>1.27</v>
      </c>
      <c r="G9" s="35">
        <f>Gas!C10*0.9147</f>
        <v>0</v>
      </c>
      <c r="H9" s="138">
        <v>3.65</v>
      </c>
      <c r="I9" s="140">
        <f>Submetering!H9+Submetering!AD9+Submetering!AE9</f>
        <v>-194</v>
      </c>
      <c r="J9" s="140">
        <v>10.029999999999999</v>
      </c>
      <c r="K9" s="35">
        <f>ELECT.!B10</f>
        <v>0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7">
        <v>1.27</v>
      </c>
      <c r="G10" s="35">
        <f>Gas!C11*0.9147</f>
        <v>0</v>
      </c>
      <c r="H10" s="138">
        <v>3.65</v>
      </c>
      <c r="I10" s="140">
        <f>Submetering!H10+Submetering!AD10+Submetering!AE10</f>
        <v>-194</v>
      </c>
      <c r="J10" s="140">
        <v>10.029999999999999</v>
      </c>
      <c r="K10" s="35">
        <f>ELECT.!B11</f>
        <v>0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7">
        <v>1.27</v>
      </c>
      <c r="G11" s="35">
        <f>Gas!C12*0.9147</f>
        <v>0</v>
      </c>
      <c r="H11" s="138">
        <v>3.65</v>
      </c>
      <c r="I11" s="140">
        <f>Submetering!H11+Submetering!AD11+Submetering!AE11</f>
        <v>-194</v>
      </c>
      <c r="J11" s="140">
        <v>10.029999999999999</v>
      </c>
      <c r="K11" s="35">
        <f>ELECT.!B12</f>
        <v>0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7">
        <v>1.27</v>
      </c>
      <c r="G12" s="35">
        <f>Gas!C13*0.9147</f>
        <v>0</v>
      </c>
      <c r="H12" s="138">
        <v>3.65</v>
      </c>
      <c r="I12" s="140">
        <f>Submetering!H12+Submetering!AD12+Submetering!AE12</f>
        <v>-194</v>
      </c>
      <c r="J12" s="140">
        <v>10.029999999999999</v>
      </c>
      <c r="K12" s="35">
        <f>ELECT.!B13</f>
        <v>0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7">
        <v>1.27</v>
      </c>
      <c r="G13" s="35">
        <f>Gas!C14*0.9147</f>
        <v>0</v>
      </c>
      <c r="H13" s="138">
        <v>3.65</v>
      </c>
      <c r="I13" s="140">
        <f>Submetering!H13+Submetering!AD13+Submetering!AE13</f>
        <v>-194</v>
      </c>
      <c r="J13" s="140">
        <v>10.029999999999999</v>
      </c>
      <c r="K13" s="35">
        <f>ELECT.!B14</f>
        <v>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7">
        <v>1.27</v>
      </c>
      <c r="G14" s="35">
        <f>Gas!C15*0.9147</f>
        <v>0</v>
      </c>
      <c r="H14" s="138">
        <v>3.65</v>
      </c>
      <c r="I14" s="140">
        <f>Submetering!H14+Submetering!AD14+Submetering!AE14</f>
        <v>-194</v>
      </c>
      <c r="J14" s="140">
        <v>10.029999999999999</v>
      </c>
      <c r="K14" s="35">
        <f>ELECT.!B15</f>
        <v>0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7">
        <v>1.27</v>
      </c>
      <c r="G15" s="35">
        <f>Gas!C16*0.9147</f>
        <v>0</v>
      </c>
      <c r="H15" s="138">
        <v>3.65</v>
      </c>
      <c r="I15" s="140">
        <f>Submetering!H15+Submetering!AD15+Submetering!AE15</f>
        <v>-194</v>
      </c>
      <c r="J15" s="140">
        <v>10.029999999999999</v>
      </c>
      <c r="K15" s="35">
        <f>ELECT.!B16</f>
        <v>0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7">
        <v>1.27</v>
      </c>
      <c r="G16" s="35">
        <f>Gas!C17*0.9147</f>
        <v>0</v>
      </c>
      <c r="H16" s="138">
        <v>3.65</v>
      </c>
      <c r="I16" s="140">
        <f>Submetering!H16+Submetering!AD16+Submetering!AE16</f>
        <v>-194</v>
      </c>
      <c r="J16" s="140">
        <v>10.029999999999999</v>
      </c>
      <c r="K16" s="35">
        <f>ELECT.!B17</f>
        <v>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7">
        <v>1.27</v>
      </c>
      <c r="G17" s="35">
        <f>Gas!C18*0.9147</f>
        <v>0</v>
      </c>
      <c r="H17" s="138">
        <v>3.65</v>
      </c>
      <c r="I17" s="140">
        <f>Submetering!H17+Submetering!AD17+Submetering!AE17</f>
        <v>-194</v>
      </c>
      <c r="J17" s="140">
        <v>10.029999999999999</v>
      </c>
      <c r="K17" s="35">
        <f>ELECT.!B18</f>
        <v>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7">
        <v>1.27</v>
      </c>
      <c r="G18" s="35">
        <f>Gas!C19*0.9147</f>
        <v>0</v>
      </c>
      <c r="H18" s="138">
        <v>3.65</v>
      </c>
      <c r="I18" s="140">
        <f>Submetering!H18+Submetering!AD18+Submetering!AE18</f>
        <v>-194</v>
      </c>
      <c r="J18" s="140">
        <v>10.029999999999999</v>
      </c>
      <c r="K18" s="35">
        <f>ELECT.!B19</f>
        <v>0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7">
        <v>1.27</v>
      </c>
      <c r="G19" s="35">
        <f>Gas!C20*0.9147</f>
        <v>0</v>
      </c>
      <c r="H19" s="138">
        <v>3.65</v>
      </c>
      <c r="I19" s="140">
        <f>Submetering!H19+Submetering!AD19+Submetering!AE19</f>
        <v>-194</v>
      </c>
      <c r="J19" s="140">
        <v>10.029999999999999</v>
      </c>
      <c r="K19" s="35">
        <f>ELECT.!B20</f>
        <v>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7">
        <v>1.27</v>
      </c>
      <c r="G20" s="35">
        <f>Gas!C21*0.9147</f>
        <v>0</v>
      </c>
      <c r="H20" s="138">
        <v>3.65</v>
      </c>
      <c r="I20" s="140">
        <f>Submetering!H20+Submetering!AD20+Submetering!AE20</f>
        <v>-194</v>
      </c>
      <c r="J20" s="140">
        <v>10.029999999999999</v>
      </c>
      <c r="K20" s="35">
        <f>ELECT.!B21</f>
        <v>0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7">
        <v>1.27</v>
      </c>
      <c r="G21" s="35">
        <f>Gas!C22*0.9147</f>
        <v>0</v>
      </c>
      <c r="H21" s="138">
        <v>3.65</v>
      </c>
      <c r="I21" s="140">
        <f>Submetering!H21+Submetering!AD21+Submetering!AE21</f>
        <v>-194</v>
      </c>
      <c r="J21" s="140">
        <v>10.029999999999999</v>
      </c>
      <c r="K21" s="35">
        <f>ELECT.!B22</f>
        <v>0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7">
        <v>1.27</v>
      </c>
      <c r="G22" s="35">
        <f>Gas!C23*0.9147</f>
        <v>0</v>
      </c>
      <c r="H22" s="138">
        <v>3.65</v>
      </c>
      <c r="I22" s="140">
        <f>Submetering!H22+Submetering!AD22+Submetering!AE22</f>
        <v>-194</v>
      </c>
      <c r="J22" s="140">
        <v>10.029999999999999</v>
      </c>
      <c r="K22" s="35">
        <f>ELECT.!B23</f>
        <v>0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222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209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226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211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0</v>
      </c>
      <c r="F9" s="35">
        <f>Water!E10</f>
        <v>0</v>
      </c>
      <c r="G9" s="35">
        <f>Water!G10</f>
        <v>0</v>
      </c>
      <c r="H9" s="35">
        <f>Water!I10</f>
        <v>0</v>
      </c>
      <c r="I9" s="35" t="str">
        <f>ELECT.!F10</f>
        <v>0</v>
      </c>
      <c r="J9" s="35" t="str">
        <f>ELECT.!H10</f>
        <v>0</v>
      </c>
      <c r="K9" s="35">
        <f>ELECT.!K10</f>
        <v>0</v>
      </c>
      <c r="L9" s="35" t="str">
        <f>ELECT.!M10</f>
        <v>0</v>
      </c>
      <c r="M9" s="35">
        <f>ELECT.!O10</f>
        <v>0</v>
      </c>
      <c r="N9" s="35" t="str">
        <f>ELECT.!Q10</f>
        <v>0</v>
      </c>
      <c r="O9" s="35" t="str">
        <f>ELECT.!S10</f>
        <v>0</v>
      </c>
      <c r="P9" s="35">
        <f>ELECT.!W10*2</f>
        <v>0</v>
      </c>
      <c r="Q9" s="35">
        <f>ELECT.!D10</f>
        <v>0</v>
      </c>
      <c r="R9" s="140" t="str">
        <f>BTU!C10</f>
        <v>0</v>
      </c>
      <c r="S9" s="140" t="str">
        <f>BTU!F10</f>
        <v>0</v>
      </c>
      <c r="T9" s="140" t="str">
        <f>BTU!I10</f>
        <v>0</v>
      </c>
      <c r="U9" s="140" t="str">
        <f>BTU!O10</f>
        <v>0</v>
      </c>
      <c r="V9" s="140" t="str">
        <f>BTU!L10</f>
        <v>0</v>
      </c>
      <c r="W9" s="140" t="str">
        <f>BTU!R10</f>
        <v>0</v>
      </c>
      <c r="X9" s="33">
        <f>ELECT.!B10</f>
        <v>0</v>
      </c>
      <c r="Y9" s="33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3">
        <f t="shared" si="1"/>
        <v>-25.569199999999999</v>
      </c>
      <c r="AE9" s="33">
        <f t="shared" si="2"/>
        <v>-168.4308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0</v>
      </c>
      <c r="F10" s="35">
        <f>Water!E11</f>
        <v>0</v>
      </c>
      <c r="G10" s="35">
        <f>Water!G11</f>
        <v>0</v>
      </c>
      <c r="H10" s="35">
        <f>Water!I11</f>
        <v>0</v>
      </c>
      <c r="I10" s="35">
        <f>ELECT.!F11</f>
        <v>0</v>
      </c>
      <c r="J10" s="35">
        <f>ELECT.!H11</f>
        <v>0</v>
      </c>
      <c r="K10" s="35">
        <f>ELECT.!K11</f>
        <v>0</v>
      </c>
      <c r="L10" s="35">
        <f>ELECT.!M11</f>
        <v>0</v>
      </c>
      <c r="M10" s="35">
        <f>ELECT.!O11</f>
        <v>0</v>
      </c>
      <c r="N10" s="35">
        <f>ELECT.!Q11</f>
        <v>0</v>
      </c>
      <c r="O10" s="35">
        <f>ELECT.!S11</f>
        <v>0</v>
      </c>
      <c r="P10" s="35">
        <f>ELECT.!W11*2</f>
        <v>0</v>
      </c>
      <c r="Q10" s="35">
        <f>ELECT.!D11</f>
        <v>0</v>
      </c>
      <c r="R10" s="140">
        <f>BTU!C11</f>
        <v>0</v>
      </c>
      <c r="S10" s="140">
        <f>BTU!F11</f>
        <v>0</v>
      </c>
      <c r="T10" s="140">
        <f>BTU!I11</f>
        <v>0</v>
      </c>
      <c r="U10" s="140">
        <f>BTU!O11</f>
        <v>0</v>
      </c>
      <c r="V10" s="140">
        <f>BTU!L11</f>
        <v>0</v>
      </c>
      <c r="W10" s="140">
        <f>BTU!R11</f>
        <v>0</v>
      </c>
      <c r="X10" s="33">
        <f>ELECT.!B11</f>
        <v>0</v>
      </c>
      <c r="Y10" s="33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3">
        <f t="shared" si="1"/>
        <v>-25.569199999999999</v>
      </c>
      <c r="AE10" s="33">
        <f t="shared" si="2"/>
        <v>-168.4308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0</v>
      </c>
      <c r="F11" s="35">
        <f>Water!E12</f>
        <v>0</v>
      </c>
      <c r="G11" s="35">
        <f>Water!G12</f>
        <v>0</v>
      </c>
      <c r="H11" s="35">
        <f>Water!I12</f>
        <v>0</v>
      </c>
      <c r="I11" s="35">
        <f>ELECT.!F12</f>
        <v>0</v>
      </c>
      <c r="J11" s="35">
        <f>ELECT.!H12</f>
        <v>0</v>
      </c>
      <c r="K11" s="35">
        <f>ELECT.!K12</f>
        <v>0</v>
      </c>
      <c r="L11" s="35">
        <f>ELECT.!M12</f>
        <v>0</v>
      </c>
      <c r="M11" s="35">
        <f>ELECT.!O12</f>
        <v>0</v>
      </c>
      <c r="N11" s="35">
        <f>ELECT.!Q12</f>
        <v>0</v>
      </c>
      <c r="O11" s="35">
        <f>ELECT.!S12</f>
        <v>0</v>
      </c>
      <c r="P11" s="35">
        <f>ELECT.!W12*2</f>
        <v>0</v>
      </c>
      <c r="Q11" s="35">
        <f>ELECT.!D12</f>
        <v>0</v>
      </c>
      <c r="R11" s="140">
        <f>BTU!C12</f>
        <v>0</v>
      </c>
      <c r="S11" s="140">
        <f>BTU!F12</f>
        <v>0</v>
      </c>
      <c r="T11" s="140">
        <f>BTU!I12</f>
        <v>0</v>
      </c>
      <c r="U11" s="140">
        <f>BTU!O12</f>
        <v>0</v>
      </c>
      <c r="V11" s="140">
        <f>BTU!L12</f>
        <v>0</v>
      </c>
      <c r="W11" s="140">
        <f>BTU!R12</f>
        <v>0</v>
      </c>
      <c r="X11" s="33">
        <f>ELECT.!B12</f>
        <v>0</v>
      </c>
      <c r="Y11" s="33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3">
        <f t="shared" si="1"/>
        <v>-25.569199999999999</v>
      </c>
      <c r="AE11" s="33">
        <f t="shared" si="2"/>
        <v>-168.4308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0</v>
      </c>
      <c r="F12" s="35">
        <f>Water!E13</f>
        <v>0</v>
      </c>
      <c r="G12" s="35">
        <f>Water!G13</f>
        <v>0</v>
      </c>
      <c r="H12" s="35">
        <f>Water!I13</f>
        <v>0</v>
      </c>
      <c r="I12" s="35">
        <f>ELECT.!F13</f>
        <v>0</v>
      </c>
      <c r="J12" s="35">
        <f>ELECT.!H13</f>
        <v>0</v>
      </c>
      <c r="K12" s="35">
        <f>ELECT.!K13</f>
        <v>0</v>
      </c>
      <c r="L12" s="35">
        <f>ELECT.!M13</f>
        <v>0</v>
      </c>
      <c r="M12" s="35">
        <f>ELECT.!O13</f>
        <v>0</v>
      </c>
      <c r="N12" s="35">
        <f>ELECT.!Q13</f>
        <v>0</v>
      </c>
      <c r="O12" s="35">
        <f>ELECT.!S13</f>
        <v>0</v>
      </c>
      <c r="P12" s="35">
        <f>ELECT.!W13*2</f>
        <v>0</v>
      </c>
      <c r="Q12" s="35">
        <f>ELECT.!D13</f>
        <v>0</v>
      </c>
      <c r="R12" s="140">
        <f>BTU!C13</f>
        <v>0</v>
      </c>
      <c r="S12" s="140">
        <f>BTU!F13</f>
        <v>0</v>
      </c>
      <c r="T12" s="140">
        <f>BTU!I13</f>
        <v>0</v>
      </c>
      <c r="U12" s="140">
        <f>BTU!O13</f>
        <v>0</v>
      </c>
      <c r="V12" s="140">
        <f>BTU!L13</f>
        <v>0</v>
      </c>
      <c r="W12" s="140">
        <f>BTU!R13</f>
        <v>0</v>
      </c>
      <c r="X12" s="33">
        <f>ELECT.!B13</f>
        <v>0</v>
      </c>
      <c r="Y12" s="33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3">
        <f t="shared" si="1"/>
        <v>-25.569199999999999</v>
      </c>
      <c r="AE12" s="33">
        <f t="shared" si="2"/>
        <v>-168.4308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0</v>
      </c>
      <c r="F13" s="35">
        <f>Water!E14</f>
        <v>0</v>
      </c>
      <c r="G13" s="35">
        <f>Water!G14</f>
        <v>0</v>
      </c>
      <c r="H13" s="35">
        <f>Water!I14</f>
        <v>0</v>
      </c>
      <c r="I13" s="35">
        <f>ELECT.!F14</f>
        <v>0</v>
      </c>
      <c r="J13" s="35">
        <f>ELECT.!H14</f>
        <v>0</v>
      </c>
      <c r="K13" s="35">
        <f>ELECT.!K14</f>
        <v>0</v>
      </c>
      <c r="L13" s="35">
        <f>ELECT.!M14</f>
        <v>0</v>
      </c>
      <c r="M13" s="35">
        <f>ELECT.!O14</f>
        <v>0</v>
      </c>
      <c r="N13" s="35">
        <f>ELECT.!Q14</f>
        <v>0</v>
      </c>
      <c r="O13" s="35">
        <f>ELECT.!S14</f>
        <v>0</v>
      </c>
      <c r="P13" s="35">
        <f>ELECT.!W14*2</f>
        <v>0</v>
      </c>
      <c r="Q13" s="35">
        <f>ELECT.!D14</f>
        <v>0</v>
      </c>
      <c r="R13" s="140">
        <f>BTU!C14</f>
        <v>0</v>
      </c>
      <c r="S13" s="140">
        <f>BTU!F14</f>
        <v>0</v>
      </c>
      <c r="T13" s="140">
        <f>BTU!I14</f>
        <v>0</v>
      </c>
      <c r="U13" s="140">
        <f>BTU!O14</f>
        <v>0</v>
      </c>
      <c r="V13" s="140">
        <f>BTU!L14</f>
        <v>0</v>
      </c>
      <c r="W13" s="140">
        <f>BTU!R14</f>
        <v>0</v>
      </c>
      <c r="X13" s="33">
        <f>ELECT.!B14</f>
        <v>0</v>
      </c>
      <c r="Y13" s="33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3">
        <f t="shared" si="1"/>
        <v>-25.569199999999999</v>
      </c>
      <c r="AE13" s="33">
        <f t="shared" si="2"/>
        <v>-168.4308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0</v>
      </c>
      <c r="F14" s="35">
        <f>Water!E15</f>
        <v>0</v>
      </c>
      <c r="G14" s="35">
        <f>Water!G15</f>
        <v>0</v>
      </c>
      <c r="H14" s="35">
        <f>Water!I15</f>
        <v>0</v>
      </c>
      <c r="I14" s="35">
        <f>ELECT.!F15</f>
        <v>0</v>
      </c>
      <c r="J14" s="35">
        <f>ELECT.!H15</f>
        <v>0</v>
      </c>
      <c r="K14" s="35">
        <f>ELECT.!K15</f>
        <v>0</v>
      </c>
      <c r="L14" s="35">
        <f>ELECT.!M15</f>
        <v>0</v>
      </c>
      <c r="M14" s="35">
        <f>ELECT.!O15</f>
        <v>0</v>
      </c>
      <c r="N14" s="35">
        <f>ELECT.!Q15</f>
        <v>0</v>
      </c>
      <c r="O14" s="35">
        <f>ELECT.!S15</f>
        <v>0</v>
      </c>
      <c r="P14" s="35">
        <f>ELECT.!W15*2</f>
        <v>0</v>
      </c>
      <c r="Q14" s="35">
        <f>ELECT.!D15</f>
        <v>0</v>
      </c>
      <c r="R14" s="140">
        <f>BTU!C15</f>
        <v>0</v>
      </c>
      <c r="S14" s="140">
        <f>BTU!F15</f>
        <v>0</v>
      </c>
      <c r="T14" s="140">
        <f>BTU!I15</f>
        <v>0</v>
      </c>
      <c r="U14" s="140">
        <f>BTU!O15</f>
        <v>0</v>
      </c>
      <c r="V14" s="140">
        <f>BTU!L15</f>
        <v>0</v>
      </c>
      <c r="W14" s="140">
        <f>BTU!R15</f>
        <v>0</v>
      </c>
      <c r="X14" s="33">
        <f>ELECT.!B15</f>
        <v>0</v>
      </c>
      <c r="Y14" s="33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3">
        <f t="shared" si="1"/>
        <v>-25.569199999999999</v>
      </c>
      <c r="AE14" s="33">
        <f t="shared" si="2"/>
        <v>-168.4308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0</v>
      </c>
      <c r="F15" s="35">
        <f>Water!E16</f>
        <v>0</v>
      </c>
      <c r="G15" s="35">
        <f>Water!G16</f>
        <v>0</v>
      </c>
      <c r="H15" s="35">
        <f>Water!I16</f>
        <v>0</v>
      </c>
      <c r="I15" s="35">
        <f>ELECT.!F16</f>
        <v>0</v>
      </c>
      <c r="J15" s="35">
        <f>ELECT.!H16</f>
        <v>0</v>
      </c>
      <c r="K15" s="35">
        <f>ELECT.!K16</f>
        <v>0</v>
      </c>
      <c r="L15" s="35">
        <f>ELECT.!M16</f>
        <v>0</v>
      </c>
      <c r="M15" s="35">
        <f>ELECT.!O16</f>
        <v>0</v>
      </c>
      <c r="N15" s="35">
        <f>ELECT.!Q16</f>
        <v>0</v>
      </c>
      <c r="O15" s="35">
        <f>ELECT.!S16</f>
        <v>0</v>
      </c>
      <c r="P15" s="35">
        <f>ELECT.!W16*2</f>
        <v>0</v>
      </c>
      <c r="Q15" s="35">
        <f>ELECT.!D16</f>
        <v>0</v>
      </c>
      <c r="R15" s="140">
        <f>BTU!C16</f>
        <v>0</v>
      </c>
      <c r="S15" s="140">
        <f>BTU!F16</f>
        <v>0</v>
      </c>
      <c r="T15" s="140">
        <f>BTU!I16</f>
        <v>0</v>
      </c>
      <c r="U15" s="140">
        <f>BTU!O16</f>
        <v>0</v>
      </c>
      <c r="V15" s="140">
        <f>BTU!L16</f>
        <v>0</v>
      </c>
      <c r="W15" s="140">
        <f>BTU!R16</f>
        <v>0</v>
      </c>
      <c r="X15" s="33">
        <f>ELECT.!B16</f>
        <v>0</v>
      </c>
      <c r="Y15" s="33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3">
        <f t="shared" si="1"/>
        <v>-25.569199999999999</v>
      </c>
      <c r="AE15" s="33">
        <f t="shared" si="2"/>
        <v>-168.4308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0</v>
      </c>
      <c r="F16" s="35">
        <f>Water!E17</f>
        <v>0</v>
      </c>
      <c r="G16" s="35">
        <f>Water!G17</f>
        <v>0</v>
      </c>
      <c r="H16" s="35">
        <f>Water!I17</f>
        <v>0</v>
      </c>
      <c r="I16" s="35">
        <f>ELECT.!F17</f>
        <v>0</v>
      </c>
      <c r="J16" s="35">
        <f>ELECT.!H17</f>
        <v>0</v>
      </c>
      <c r="K16" s="35">
        <f>ELECT.!K17</f>
        <v>0</v>
      </c>
      <c r="L16" s="35">
        <f>ELECT.!M17</f>
        <v>0</v>
      </c>
      <c r="M16" s="35">
        <f>ELECT.!O17</f>
        <v>0</v>
      </c>
      <c r="N16" s="35">
        <f>ELECT.!Q17</f>
        <v>0</v>
      </c>
      <c r="O16" s="35">
        <f>ELECT.!S17</f>
        <v>0</v>
      </c>
      <c r="P16" s="35">
        <f>ELECT.!W17*2</f>
        <v>0</v>
      </c>
      <c r="Q16" s="35">
        <f>ELECT.!D17</f>
        <v>0</v>
      </c>
      <c r="R16" s="140">
        <f>BTU!C17</f>
        <v>0</v>
      </c>
      <c r="S16" s="140">
        <f>BTU!F17</f>
        <v>0</v>
      </c>
      <c r="T16" s="140">
        <f>BTU!I17</f>
        <v>0</v>
      </c>
      <c r="U16" s="140">
        <f>BTU!O17</f>
        <v>0</v>
      </c>
      <c r="V16" s="140">
        <f>BTU!L17</f>
        <v>0</v>
      </c>
      <c r="W16" s="140">
        <f>BTU!R17</f>
        <v>0</v>
      </c>
      <c r="X16" s="33">
        <f>ELECT.!B17</f>
        <v>0</v>
      </c>
      <c r="Y16" s="33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3">
        <f t="shared" si="1"/>
        <v>-25.569199999999999</v>
      </c>
      <c r="AE16" s="33">
        <f t="shared" si="2"/>
        <v>-168.4308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>
        <f>ELECT.!F18</f>
        <v>0</v>
      </c>
      <c r="J17" s="35">
        <f>ELECT.!H18</f>
        <v>0</v>
      </c>
      <c r="K17" s="35">
        <f>ELECT.!K18</f>
        <v>0</v>
      </c>
      <c r="L17" s="35">
        <f>ELECT.!M18</f>
        <v>0</v>
      </c>
      <c r="M17" s="35">
        <f>ELECT.!O18</f>
        <v>0</v>
      </c>
      <c r="N17" s="35">
        <f>ELECT.!Q18</f>
        <v>0</v>
      </c>
      <c r="O17" s="35">
        <f>ELECT.!S18</f>
        <v>0</v>
      </c>
      <c r="P17" s="35">
        <f>ELECT.!W18*2</f>
        <v>0</v>
      </c>
      <c r="Q17" s="35">
        <f>ELECT.!D18</f>
        <v>0</v>
      </c>
      <c r="R17" s="140">
        <f>BTU!C18</f>
        <v>0</v>
      </c>
      <c r="S17" s="140">
        <f>BTU!F18</f>
        <v>0</v>
      </c>
      <c r="T17" s="140">
        <f>BTU!I18</f>
        <v>0</v>
      </c>
      <c r="U17" s="140">
        <f>BTU!O18</f>
        <v>0</v>
      </c>
      <c r="V17" s="140">
        <f>BTU!L18</f>
        <v>0</v>
      </c>
      <c r="W17" s="140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40">
        <f>BTU!C19</f>
        <v>0</v>
      </c>
      <c r="S18" s="140">
        <f>BTU!F19</f>
        <v>0</v>
      </c>
      <c r="T18" s="140">
        <f>BTU!I19</f>
        <v>0</v>
      </c>
      <c r="U18" s="140">
        <f>BTU!O19</f>
        <v>0</v>
      </c>
      <c r="V18" s="140">
        <f>BTU!L19</f>
        <v>0</v>
      </c>
      <c r="W18" s="140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40">
        <f>BTU!C20</f>
        <v>0</v>
      </c>
      <c r="S19" s="140">
        <f>BTU!F20</f>
        <v>0</v>
      </c>
      <c r="T19" s="140">
        <f>BTU!I20</f>
        <v>0</v>
      </c>
      <c r="U19" s="140">
        <f>BTU!O20</f>
        <v>0</v>
      </c>
      <c r="V19" s="140">
        <f>BTU!L20</f>
        <v>0</v>
      </c>
      <c r="W19" s="140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40">
        <f>BTU!C21</f>
        <v>0</v>
      </c>
      <c r="S20" s="140">
        <f>BTU!F21</f>
        <v>0</v>
      </c>
      <c r="T20" s="140">
        <f>BTU!I21</f>
        <v>0</v>
      </c>
      <c r="U20" s="140">
        <f>BTU!O21</f>
        <v>0</v>
      </c>
      <c r="V20" s="140">
        <f>BTU!L21</f>
        <v>0</v>
      </c>
      <c r="W20" s="140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40">
        <f>BTU!C22</f>
        <v>0</v>
      </c>
      <c r="S21" s="140">
        <f>BTU!F22</f>
        <v>0</v>
      </c>
      <c r="T21" s="140">
        <f>BTU!I22</f>
        <v>0</v>
      </c>
      <c r="U21" s="140">
        <f>BTU!O22</f>
        <v>0</v>
      </c>
      <c r="V21" s="140">
        <f>BTU!L22</f>
        <v>0</v>
      </c>
      <c r="W21" s="140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40">
        <f>BTU!C23</f>
        <v>0</v>
      </c>
      <c r="S22" s="140">
        <f>BTU!F23</f>
        <v>0</v>
      </c>
      <c r="T22" s="140">
        <f>BTU!I23</f>
        <v>0</v>
      </c>
      <c r="U22" s="140">
        <f>BTU!O23</f>
        <v>0</v>
      </c>
      <c r="V22" s="140">
        <f>BTU!L23</f>
        <v>0</v>
      </c>
      <c r="W22" s="140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40">
        <f>BTU!C24</f>
        <v>0</v>
      </c>
      <c r="S23" s="140">
        <f>BTU!F24</f>
        <v>0</v>
      </c>
      <c r="T23" s="140">
        <f>BTU!I24</f>
        <v>0</v>
      </c>
      <c r="U23" s="140">
        <f>BTU!O24</f>
        <v>0</v>
      </c>
      <c r="V23" s="140">
        <f>BTU!L24</f>
        <v>0</v>
      </c>
      <c r="W23" s="140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150581</v>
      </c>
      <c r="Q6" s="14">
        <f t="shared" si="0"/>
        <v>222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150790</v>
      </c>
      <c r="Q7" s="14">
        <f t="shared" si="0"/>
        <v>209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151016</v>
      </c>
      <c r="Q8" s="14">
        <f t="shared" si="0"/>
        <v>226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151227</v>
      </c>
      <c r="Q9" s="14">
        <f t="shared" si="0"/>
        <v>211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f t="shared" ref="B9:B33" si="11">B9</f>
        <v>46975</v>
      </c>
      <c r="C10" s="14">
        <f t="shared" si="9"/>
        <v>0</v>
      </c>
      <c r="D10" s="30">
        <f t="shared" ref="D9:D33" si="12">D9</f>
        <v>40560</v>
      </c>
      <c r="E10" s="14">
        <f t="shared" si="1"/>
        <v>0</v>
      </c>
      <c r="F10" s="30">
        <f t="shared" ref="F9:F33" si="13">F9</f>
        <v>21607</v>
      </c>
      <c r="G10" s="14">
        <f t="shared" si="2"/>
        <v>0</v>
      </c>
      <c r="H10" s="30">
        <f t="shared" ref="H9:H33" si="14">H9</f>
        <v>254849</v>
      </c>
      <c r="I10" s="14">
        <f t="shared" si="3"/>
        <v>0</v>
      </c>
      <c r="J10" s="30">
        <f t="shared" ref="J9:J33" si="15">J9</f>
        <v>312538</v>
      </c>
      <c r="K10" s="14">
        <f t="shared" si="4"/>
        <v>0</v>
      </c>
      <c r="L10" s="30">
        <f t="shared" ref="L9:L33" si="16">L9</f>
        <v>26095</v>
      </c>
      <c r="M10" s="14">
        <f t="shared" si="5"/>
        <v>0</v>
      </c>
      <c r="N10" s="30">
        <f t="shared" ref="N9:N33" si="17">N9</f>
        <v>225959</v>
      </c>
      <c r="O10" s="14">
        <f t="shared" si="6"/>
        <v>0</v>
      </c>
      <c r="P10" s="30">
        <f t="shared" ref="P9:P33" si="18">P9</f>
        <v>151227</v>
      </c>
      <c r="Q10" s="14">
        <f t="shared" si="0"/>
        <v>0</v>
      </c>
      <c r="R10" s="30">
        <f t="shared" si="10"/>
        <v>55047</v>
      </c>
      <c r="S10" s="14">
        <f>R10-R9</f>
        <v>0</v>
      </c>
      <c r="T10" s="30">
        <f t="shared" ref="T9:T33" si="19">T9</f>
        <v>3983</v>
      </c>
      <c r="U10" s="14">
        <f t="shared" si="8"/>
        <v>0</v>
      </c>
    </row>
    <row r="11" spans="1:24" ht="13.5" thickBot="1" x14ac:dyDescent="0.25">
      <c r="A11" s="9">
        <v>44690</v>
      </c>
      <c r="B11" s="30">
        <f t="shared" si="11"/>
        <v>46975</v>
      </c>
      <c r="C11" s="14">
        <f t="shared" si="9"/>
        <v>0</v>
      </c>
      <c r="D11" s="30">
        <f t="shared" si="12"/>
        <v>40560</v>
      </c>
      <c r="E11" s="14">
        <f t="shared" si="1"/>
        <v>0</v>
      </c>
      <c r="F11" s="30">
        <f t="shared" si="13"/>
        <v>21607</v>
      </c>
      <c r="G11" s="14">
        <f t="shared" si="2"/>
        <v>0</v>
      </c>
      <c r="H11" s="30">
        <f t="shared" si="14"/>
        <v>254849</v>
      </c>
      <c r="I11" s="14">
        <f t="shared" si="3"/>
        <v>0</v>
      </c>
      <c r="J11" s="30">
        <f t="shared" si="15"/>
        <v>312538</v>
      </c>
      <c r="K11" s="14">
        <f t="shared" si="4"/>
        <v>0</v>
      </c>
      <c r="L11" s="30">
        <f t="shared" si="16"/>
        <v>26095</v>
      </c>
      <c r="M11" s="14">
        <f t="shared" si="5"/>
        <v>0</v>
      </c>
      <c r="N11" s="30">
        <f t="shared" si="17"/>
        <v>225959</v>
      </c>
      <c r="O11" s="14">
        <f t="shared" si="6"/>
        <v>0</v>
      </c>
      <c r="P11" s="30">
        <f t="shared" si="18"/>
        <v>151227</v>
      </c>
      <c r="Q11" s="14">
        <f t="shared" si="0"/>
        <v>0</v>
      </c>
      <c r="R11" s="30">
        <f t="shared" si="10"/>
        <v>55047</v>
      </c>
      <c r="S11" s="14">
        <f t="shared" si="7"/>
        <v>0</v>
      </c>
      <c r="T11" s="30">
        <f t="shared" si="19"/>
        <v>3983</v>
      </c>
      <c r="U11" s="14">
        <f t="shared" si="8"/>
        <v>0</v>
      </c>
    </row>
    <row r="12" spans="1:24" ht="13.5" thickBot="1" x14ac:dyDescent="0.25">
      <c r="A12" s="9">
        <v>44691</v>
      </c>
      <c r="B12" s="30">
        <f t="shared" si="11"/>
        <v>46975</v>
      </c>
      <c r="C12" s="14">
        <f t="shared" si="9"/>
        <v>0</v>
      </c>
      <c r="D12" s="30">
        <f t="shared" si="12"/>
        <v>40560</v>
      </c>
      <c r="E12" s="14">
        <f t="shared" si="1"/>
        <v>0</v>
      </c>
      <c r="F12" s="30">
        <f t="shared" si="13"/>
        <v>21607</v>
      </c>
      <c r="G12" s="14">
        <f t="shared" si="2"/>
        <v>0</v>
      </c>
      <c r="H12" s="30">
        <f t="shared" si="14"/>
        <v>254849</v>
      </c>
      <c r="I12" s="14">
        <f t="shared" si="3"/>
        <v>0</v>
      </c>
      <c r="J12" s="30">
        <f t="shared" si="15"/>
        <v>312538</v>
      </c>
      <c r="K12" s="14">
        <f t="shared" si="4"/>
        <v>0</v>
      </c>
      <c r="L12" s="30">
        <f t="shared" si="16"/>
        <v>26095</v>
      </c>
      <c r="M12" s="14">
        <f t="shared" si="5"/>
        <v>0</v>
      </c>
      <c r="N12" s="30">
        <f t="shared" si="17"/>
        <v>225959</v>
      </c>
      <c r="O12" s="14">
        <f t="shared" si="6"/>
        <v>0</v>
      </c>
      <c r="P12" s="30">
        <f t="shared" si="18"/>
        <v>151227</v>
      </c>
      <c r="Q12" s="14">
        <f t="shared" si="0"/>
        <v>0</v>
      </c>
      <c r="R12" s="30">
        <f t="shared" si="10"/>
        <v>55047</v>
      </c>
      <c r="S12" s="14">
        <f t="shared" si="7"/>
        <v>0</v>
      </c>
      <c r="T12" s="30">
        <f t="shared" si="19"/>
        <v>3983</v>
      </c>
      <c r="U12" s="14">
        <f t="shared" si="8"/>
        <v>0</v>
      </c>
    </row>
    <row r="13" spans="1:24" ht="13.5" thickBot="1" x14ac:dyDescent="0.25">
      <c r="A13" s="9">
        <v>44692</v>
      </c>
      <c r="B13" s="30">
        <f t="shared" si="11"/>
        <v>46975</v>
      </c>
      <c r="C13" s="14">
        <f t="shared" si="9"/>
        <v>0</v>
      </c>
      <c r="D13" s="30">
        <f t="shared" si="12"/>
        <v>40560</v>
      </c>
      <c r="E13" s="14">
        <f t="shared" si="1"/>
        <v>0</v>
      </c>
      <c r="F13" s="30">
        <f t="shared" si="13"/>
        <v>21607</v>
      </c>
      <c r="G13" s="14">
        <f t="shared" si="2"/>
        <v>0</v>
      </c>
      <c r="H13" s="30">
        <f t="shared" si="14"/>
        <v>254849</v>
      </c>
      <c r="I13" s="14">
        <f t="shared" si="3"/>
        <v>0</v>
      </c>
      <c r="J13" s="30">
        <f t="shared" si="15"/>
        <v>312538</v>
      </c>
      <c r="K13" s="14">
        <f t="shared" si="4"/>
        <v>0</v>
      </c>
      <c r="L13" s="30">
        <f t="shared" si="16"/>
        <v>26095</v>
      </c>
      <c r="M13" s="14">
        <f t="shared" si="5"/>
        <v>0</v>
      </c>
      <c r="N13" s="30">
        <f t="shared" si="17"/>
        <v>225959</v>
      </c>
      <c r="O13" s="14">
        <f t="shared" si="6"/>
        <v>0</v>
      </c>
      <c r="P13" s="30">
        <f t="shared" si="18"/>
        <v>151227</v>
      </c>
      <c r="Q13" s="14">
        <f t="shared" si="0"/>
        <v>0</v>
      </c>
      <c r="R13" s="30">
        <f t="shared" si="10"/>
        <v>55047</v>
      </c>
      <c r="S13" s="14">
        <f t="shared" si="7"/>
        <v>0</v>
      </c>
      <c r="T13" s="30">
        <f t="shared" si="19"/>
        <v>3983</v>
      </c>
      <c r="U13" s="14">
        <f t="shared" si="8"/>
        <v>0</v>
      </c>
    </row>
    <row r="14" spans="1:24" ht="13.5" thickBot="1" x14ac:dyDescent="0.25">
      <c r="A14" s="9">
        <v>44693</v>
      </c>
      <c r="B14" s="30">
        <f t="shared" si="11"/>
        <v>46975</v>
      </c>
      <c r="C14" s="14">
        <f t="shared" si="9"/>
        <v>0</v>
      </c>
      <c r="D14" s="30">
        <f t="shared" si="12"/>
        <v>40560</v>
      </c>
      <c r="E14" s="14">
        <f t="shared" si="1"/>
        <v>0</v>
      </c>
      <c r="F14" s="30">
        <f t="shared" si="13"/>
        <v>21607</v>
      </c>
      <c r="G14" s="14">
        <f t="shared" si="2"/>
        <v>0</v>
      </c>
      <c r="H14" s="30">
        <f t="shared" si="14"/>
        <v>254849</v>
      </c>
      <c r="I14" s="14">
        <f t="shared" si="3"/>
        <v>0</v>
      </c>
      <c r="J14" s="30">
        <f t="shared" si="15"/>
        <v>312538</v>
      </c>
      <c r="K14" s="14">
        <f t="shared" si="4"/>
        <v>0</v>
      </c>
      <c r="L14" s="30">
        <f t="shared" si="16"/>
        <v>26095</v>
      </c>
      <c r="M14" s="14">
        <f t="shared" si="5"/>
        <v>0</v>
      </c>
      <c r="N14" s="30">
        <f t="shared" si="17"/>
        <v>225959</v>
      </c>
      <c r="O14" s="14">
        <f t="shared" si="6"/>
        <v>0</v>
      </c>
      <c r="P14" s="30">
        <f t="shared" si="18"/>
        <v>151227</v>
      </c>
      <c r="Q14" s="14">
        <f t="shared" si="0"/>
        <v>0</v>
      </c>
      <c r="R14" s="30">
        <f t="shared" si="10"/>
        <v>55047</v>
      </c>
      <c r="S14" s="14">
        <v>0</v>
      </c>
      <c r="T14" s="30">
        <f t="shared" si="19"/>
        <v>3983</v>
      </c>
      <c r="U14" s="14">
        <f t="shared" si="8"/>
        <v>0</v>
      </c>
    </row>
    <row r="15" spans="1:24" ht="13.5" thickBot="1" x14ac:dyDescent="0.25">
      <c r="A15" s="9">
        <v>44694</v>
      </c>
      <c r="B15" s="30">
        <f t="shared" si="11"/>
        <v>46975</v>
      </c>
      <c r="C15" s="14">
        <f t="shared" si="9"/>
        <v>0</v>
      </c>
      <c r="D15" s="30">
        <f t="shared" si="12"/>
        <v>40560</v>
      </c>
      <c r="E15" s="14">
        <f t="shared" si="1"/>
        <v>0</v>
      </c>
      <c r="F15" s="30">
        <f t="shared" si="13"/>
        <v>21607</v>
      </c>
      <c r="G15" s="14">
        <f t="shared" ref="G15" si="20">(F15-F14)*100/5</f>
        <v>0</v>
      </c>
      <c r="H15" s="30">
        <f t="shared" si="14"/>
        <v>254849</v>
      </c>
      <c r="I15" s="14">
        <f t="shared" ref="I15" si="21">(H15-H14)</f>
        <v>0</v>
      </c>
      <c r="J15" s="30">
        <f t="shared" si="15"/>
        <v>312538</v>
      </c>
      <c r="K15" s="14">
        <f t="shared" si="4"/>
        <v>0</v>
      </c>
      <c r="L15" s="30">
        <f t="shared" si="16"/>
        <v>26095</v>
      </c>
      <c r="M15" s="14">
        <f t="shared" si="5"/>
        <v>0</v>
      </c>
      <c r="N15" s="30">
        <f t="shared" si="17"/>
        <v>225959</v>
      </c>
      <c r="O15" s="14">
        <f t="shared" ref="O15" si="22">N15-N14</f>
        <v>0</v>
      </c>
      <c r="P15" s="30">
        <f t="shared" si="18"/>
        <v>151227</v>
      </c>
      <c r="Q15" s="14">
        <f t="shared" si="0"/>
        <v>0</v>
      </c>
      <c r="R15" s="30">
        <f t="shared" si="10"/>
        <v>55047</v>
      </c>
      <c r="S15" s="14">
        <v>0</v>
      </c>
      <c r="T15" s="30">
        <f t="shared" si="19"/>
        <v>3983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44695</v>
      </c>
      <c r="B16" s="30">
        <f t="shared" si="11"/>
        <v>46975</v>
      </c>
      <c r="C16" s="14">
        <f t="shared" si="9"/>
        <v>0</v>
      </c>
      <c r="D16" s="30">
        <f t="shared" si="12"/>
        <v>40560</v>
      </c>
      <c r="E16" s="14">
        <f t="shared" si="1"/>
        <v>0</v>
      </c>
      <c r="F16" s="30">
        <f t="shared" si="13"/>
        <v>21607</v>
      </c>
      <c r="G16" s="14">
        <f t="shared" si="2"/>
        <v>0</v>
      </c>
      <c r="H16" s="30">
        <f t="shared" si="14"/>
        <v>254849</v>
      </c>
      <c r="I16" s="14">
        <f t="shared" si="3"/>
        <v>0</v>
      </c>
      <c r="J16" s="30">
        <f t="shared" si="15"/>
        <v>312538</v>
      </c>
      <c r="K16" s="14">
        <f t="shared" si="4"/>
        <v>0</v>
      </c>
      <c r="L16" s="30">
        <f t="shared" si="16"/>
        <v>26095</v>
      </c>
      <c r="M16" s="14">
        <f t="shared" si="5"/>
        <v>0</v>
      </c>
      <c r="N16" s="30">
        <f t="shared" si="17"/>
        <v>225959</v>
      </c>
      <c r="O16" s="14">
        <f t="shared" si="6"/>
        <v>0</v>
      </c>
      <c r="P16" s="30">
        <f t="shared" si="18"/>
        <v>151227</v>
      </c>
      <c r="Q16" s="14">
        <f t="shared" si="0"/>
        <v>0</v>
      </c>
      <c r="R16" s="30">
        <f t="shared" si="10"/>
        <v>55047</v>
      </c>
      <c r="S16" s="14">
        <f t="shared" si="7"/>
        <v>0</v>
      </c>
      <c r="T16" s="30">
        <f t="shared" si="19"/>
        <v>3983</v>
      </c>
      <c r="U16" s="14">
        <f t="shared" si="8"/>
        <v>0</v>
      </c>
      <c r="W16" t="s">
        <v>12</v>
      </c>
    </row>
    <row r="17" spans="1:23" ht="13.5" thickBot="1" x14ac:dyDescent="0.25">
      <c r="A17" s="9">
        <v>44696</v>
      </c>
      <c r="B17" s="30">
        <f t="shared" si="11"/>
        <v>46975</v>
      </c>
      <c r="C17" s="14">
        <f t="shared" si="9"/>
        <v>0</v>
      </c>
      <c r="D17" s="30">
        <f t="shared" si="12"/>
        <v>40560</v>
      </c>
      <c r="E17" s="14">
        <f t="shared" si="1"/>
        <v>0</v>
      </c>
      <c r="F17" s="30">
        <f t="shared" si="13"/>
        <v>21607</v>
      </c>
      <c r="G17" s="14">
        <f t="shared" si="2"/>
        <v>0</v>
      </c>
      <c r="H17" s="30">
        <f t="shared" si="14"/>
        <v>254849</v>
      </c>
      <c r="I17" s="14">
        <f t="shared" si="3"/>
        <v>0</v>
      </c>
      <c r="J17" s="30">
        <f t="shared" si="15"/>
        <v>312538</v>
      </c>
      <c r="K17" s="14">
        <f t="shared" si="4"/>
        <v>0</v>
      </c>
      <c r="L17" s="30">
        <f t="shared" si="16"/>
        <v>26095</v>
      </c>
      <c r="M17" s="14">
        <f t="shared" si="5"/>
        <v>0</v>
      </c>
      <c r="N17" s="30">
        <f t="shared" si="17"/>
        <v>225959</v>
      </c>
      <c r="O17" s="14">
        <f t="shared" si="6"/>
        <v>0</v>
      </c>
      <c r="P17" s="30">
        <f t="shared" si="18"/>
        <v>151227</v>
      </c>
      <c r="Q17" s="14">
        <f t="shared" si="0"/>
        <v>0</v>
      </c>
      <c r="R17" s="30">
        <f t="shared" si="10"/>
        <v>55047</v>
      </c>
      <c r="S17" s="14">
        <f>S16</f>
        <v>0</v>
      </c>
      <c r="T17" s="30">
        <f t="shared" si="19"/>
        <v>3983</v>
      </c>
      <c r="U17" s="14">
        <f t="shared" si="8"/>
        <v>0</v>
      </c>
    </row>
    <row r="18" spans="1:23" ht="13.5" thickBot="1" x14ac:dyDescent="0.25">
      <c r="A18" s="9">
        <v>44697</v>
      </c>
      <c r="B18" s="30">
        <f t="shared" si="11"/>
        <v>46975</v>
      </c>
      <c r="C18" s="14">
        <f t="shared" si="9"/>
        <v>0</v>
      </c>
      <c r="D18" s="30">
        <f t="shared" si="12"/>
        <v>40560</v>
      </c>
      <c r="E18" s="14">
        <f t="shared" si="1"/>
        <v>0</v>
      </c>
      <c r="F18" s="30">
        <f t="shared" si="13"/>
        <v>21607</v>
      </c>
      <c r="G18" s="14">
        <f t="shared" si="2"/>
        <v>0</v>
      </c>
      <c r="H18" s="30">
        <f t="shared" si="14"/>
        <v>254849</v>
      </c>
      <c r="I18" s="14">
        <f t="shared" si="3"/>
        <v>0</v>
      </c>
      <c r="J18" s="30">
        <f t="shared" si="15"/>
        <v>312538</v>
      </c>
      <c r="K18" s="14">
        <f t="shared" si="4"/>
        <v>0</v>
      </c>
      <c r="L18" s="30">
        <f t="shared" si="16"/>
        <v>26095</v>
      </c>
      <c r="M18" s="14">
        <f t="shared" si="5"/>
        <v>0</v>
      </c>
      <c r="N18" s="30">
        <f t="shared" si="17"/>
        <v>225959</v>
      </c>
      <c r="O18" s="14">
        <f t="shared" si="6"/>
        <v>0</v>
      </c>
      <c r="P18" s="30">
        <f t="shared" si="18"/>
        <v>151227</v>
      </c>
      <c r="Q18" s="14">
        <f t="shared" si="0"/>
        <v>0</v>
      </c>
      <c r="R18" s="30">
        <f t="shared" si="10"/>
        <v>55047</v>
      </c>
      <c r="S18" s="14">
        <f t="shared" si="7"/>
        <v>0</v>
      </c>
      <c r="T18" s="30">
        <f t="shared" si="19"/>
        <v>3983</v>
      </c>
      <c r="U18" s="14">
        <f t="shared" si="8"/>
        <v>0</v>
      </c>
    </row>
    <row r="19" spans="1:23" ht="13.5" thickBot="1" x14ac:dyDescent="0.25">
      <c r="A19" s="9">
        <v>44698</v>
      </c>
      <c r="B19" s="30">
        <f t="shared" si="11"/>
        <v>46975</v>
      </c>
      <c r="C19" s="14">
        <f t="shared" si="9"/>
        <v>0</v>
      </c>
      <c r="D19" s="30">
        <f t="shared" si="12"/>
        <v>40560</v>
      </c>
      <c r="E19" s="14">
        <f t="shared" si="1"/>
        <v>0</v>
      </c>
      <c r="F19" s="30">
        <f t="shared" si="13"/>
        <v>21607</v>
      </c>
      <c r="G19" s="14">
        <f t="shared" si="2"/>
        <v>0</v>
      </c>
      <c r="H19" s="30">
        <f t="shared" si="14"/>
        <v>254849</v>
      </c>
      <c r="I19" s="14">
        <f t="shared" si="3"/>
        <v>0</v>
      </c>
      <c r="J19" s="30">
        <f t="shared" si="15"/>
        <v>312538</v>
      </c>
      <c r="K19" s="14">
        <f t="shared" si="4"/>
        <v>0</v>
      </c>
      <c r="L19" s="30">
        <f t="shared" si="16"/>
        <v>26095</v>
      </c>
      <c r="M19" s="14">
        <f t="shared" si="5"/>
        <v>0</v>
      </c>
      <c r="N19" s="30">
        <f t="shared" si="17"/>
        <v>225959</v>
      </c>
      <c r="O19" s="14">
        <f t="shared" si="6"/>
        <v>0</v>
      </c>
      <c r="P19" s="30">
        <f t="shared" si="18"/>
        <v>151227</v>
      </c>
      <c r="Q19" s="14">
        <f t="shared" si="0"/>
        <v>0</v>
      </c>
      <c r="R19" s="30">
        <f t="shared" si="10"/>
        <v>55047</v>
      </c>
      <c r="S19" s="14">
        <f t="shared" si="7"/>
        <v>0</v>
      </c>
      <c r="T19" s="30">
        <f t="shared" si="19"/>
        <v>3983</v>
      </c>
      <c r="U19" s="14">
        <f t="shared" si="8"/>
        <v>0</v>
      </c>
      <c r="W19" t="s">
        <v>12</v>
      </c>
    </row>
    <row r="20" spans="1:23" ht="13.5" thickBot="1" x14ac:dyDescent="0.25">
      <c r="A20" s="9">
        <v>44699</v>
      </c>
      <c r="B20" s="30">
        <f t="shared" si="11"/>
        <v>46975</v>
      </c>
      <c r="C20" s="14">
        <f t="shared" si="9"/>
        <v>0</v>
      </c>
      <c r="D20" s="30">
        <f t="shared" si="12"/>
        <v>40560</v>
      </c>
      <c r="E20" s="14">
        <f t="shared" si="1"/>
        <v>0</v>
      </c>
      <c r="F20" s="30">
        <f t="shared" si="13"/>
        <v>21607</v>
      </c>
      <c r="G20" s="14">
        <f t="shared" si="2"/>
        <v>0</v>
      </c>
      <c r="H20" s="30">
        <f t="shared" si="14"/>
        <v>254849</v>
      </c>
      <c r="I20" s="14">
        <f t="shared" si="3"/>
        <v>0</v>
      </c>
      <c r="J20" s="30">
        <f t="shared" si="15"/>
        <v>312538</v>
      </c>
      <c r="K20" s="14">
        <f t="shared" si="4"/>
        <v>0</v>
      </c>
      <c r="L20" s="30">
        <f t="shared" si="16"/>
        <v>26095</v>
      </c>
      <c r="M20" s="14">
        <f t="shared" si="5"/>
        <v>0</v>
      </c>
      <c r="N20" s="30">
        <f t="shared" si="17"/>
        <v>225959</v>
      </c>
      <c r="O20" s="14">
        <f t="shared" si="6"/>
        <v>0</v>
      </c>
      <c r="P20" s="30">
        <f t="shared" si="18"/>
        <v>151227</v>
      </c>
      <c r="Q20" s="14">
        <f t="shared" si="0"/>
        <v>0</v>
      </c>
      <c r="R20" s="30">
        <f t="shared" si="10"/>
        <v>55047</v>
      </c>
      <c r="S20" s="14">
        <f t="shared" si="7"/>
        <v>0</v>
      </c>
      <c r="T20" s="30">
        <f t="shared" si="19"/>
        <v>3983</v>
      </c>
      <c r="U20" s="14">
        <f t="shared" si="8"/>
        <v>0</v>
      </c>
    </row>
    <row r="21" spans="1:23" ht="13.5" thickBot="1" x14ac:dyDescent="0.25">
      <c r="A21" s="9">
        <v>44700</v>
      </c>
      <c r="B21" s="30">
        <f t="shared" si="11"/>
        <v>46975</v>
      </c>
      <c r="C21" s="14">
        <f t="shared" si="9"/>
        <v>0</v>
      </c>
      <c r="D21" s="30">
        <f t="shared" si="12"/>
        <v>40560</v>
      </c>
      <c r="E21" s="14">
        <f t="shared" si="1"/>
        <v>0</v>
      </c>
      <c r="F21" s="30">
        <f t="shared" si="13"/>
        <v>21607</v>
      </c>
      <c r="G21" s="14">
        <f t="shared" si="2"/>
        <v>0</v>
      </c>
      <c r="H21" s="30">
        <f t="shared" si="14"/>
        <v>254849</v>
      </c>
      <c r="I21" s="14">
        <f t="shared" si="3"/>
        <v>0</v>
      </c>
      <c r="J21" s="30">
        <f t="shared" si="15"/>
        <v>312538</v>
      </c>
      <c r="K21" s="14">
        <f t="shared" si="4"/>
        <v>0</v>
      </c>
      <c r="L21" s="30">
        <f t="shared" si="16"/>
        <v>26095</v>
      </c>
      <c r="M21" s="14">
        <f t="shared" si="5"/>
        <v>0</v>
      </c>
      <c r="N21" s="30">
        <f t="shared" si="17"/>
        <v>225959</v>
      </c>
      <c r="O21" s="14">
        <f t="shared" si="6"/>
        <v>0</v>
      </c>
      <c r="P21" s="30">
        <f t="shared" si="18"/>
        <v>151227</v>
      </c>
      <c r="Q21" s="14">
        <f t="shared" si="0"/>
        <v>0</v>
      </c>
      <c r="R21" s="30">
        <f t="shared" si="10"/>
        <v>55047</v>
      </c>
      <c r="S21" s="14">
        <f t="shared" si="7"/>
        <v>0</v>
      </c>
      <c r="T21" s="30">
        <f t="shared" si="19"/>
        <v>3983</v>
      </c>
      <c r="U21" s="14">
        <f t="shared" si="8"/>
        <v>0</v>
      </c>
    </row>
    <row r="22" spans="1:23" ht="13.5" thickBot="1" x14ac:dyDescent="0.25">
      <c r="A22" s="9">
        <v>44701</v>
      </c>
      <c r="B22" s="30">
        <f t="shared" si="11"/>
        <v>46975</v>
      </c>
      <c r="C22" s="14">
        <f t="shared" si="9"/>
        <v>0</v>
      </c>
      <c r="D22" s="30">
        <f t="shared" si="12"/>
        <v>40560</v>
      </c>
      <c r="E22" s="14">
        <f t="shared" si="1"/>
        <v>0</v>
      </c>
      <c r="F22" s="30">
        <f t="shared" si="13"/>
        <v>21607</v>
      </c>
      <c r="G22" s="14">
        <f t="shared" si="2"/>
        <v>0</v>
      </c>
      <c r="H22" s="30">
        <f t="shared" si="14"/>
        <v>254849</v>
      </c>
      <c r="I22" s="14">
        <f t="shared" si="3"/>
        <v>0</v>
      </c>
      <c r="J22" s="30">
        <f t="shared" si="15"/>
        <v>312538</v>
      </c>
      <c r="K22" s="14">
        <f t="shared" si="4"/>
        <v>0</v>
      </c>
      <c r="L22" s="30">
        <f t="shared" si="16"/>
        <v>26095</v>
      </c>
      <c r="M22" s="14">
        <f t="shared" si="5"/>
        <v>0</v>
      </c>
      <c r="N22" s="30">
        <f t="shared" si="17"/>
        <v>225959</v>
      </c>
      <c r="O22" s="14">
        <f t="shared" si="6"/>
        <v>0</v>
      </c>
      <c r="P22" s="30">
        <f t="shared" si="18"/>
        <v>151227</v>
      </c>
      <c r="Q22" s="14">
        <f t="shared" si="0"/>
        <v>0</v>
      </c>
      <c r="R22" s="30">
        <f t="shared" si="10"/>
        <v>55047</v>
      </c>
      <c r="S22" s="14">
        <f t="shared" si="7"/>
        <v>0</v>
      </c>
      <c r="T22" s="30">
        <f t="shared" si="19"/>
        <v>3983</v>
      </c>
      <c r="U22" s="14">
        <f t="shared" si="8"/>
        <v>0</v>
      </c>
    </row>
    <row r="23" spans="1:23" ht="13.5" thickBot="1" x14ac:dyDescent="0.25">
      <c r="A23" s="9">
        <v>44702</v>
      </c>
      <c r="B23" s="30">
        <f t="shared" si="11"/>
        <v>46975</v>
      </c>
      <c r="C23" s="14">
        <f t="shared" si="9"/>
        <v>0</v>
      </c>
      <c r="D23" s="30">
        <f t="shared" si="12"/>
        <v>40560</v>
      </c>
      <c r="E23" s="14">
        <f t="shared" si="1"/>
        <v>0</v>
      </c>
      <c r="F23" s="30">
        <f t="shared" si="13"/>
        <v>21607</v>
      </c>
      <c r="G23" s="14">
        <f t="shared" si="2"/>
        <v>0</v>
      </c>
      <c r="H23" s="30">
        <f t="shared" si="14"/>
        <v>254849</v>
      </c>
      <c r="I23" s="14">
        <f t="shared" si="3"/>
        <v>0</v>
      </c>
      <c r="J23" s="30">
        <f t="shared" si="15"/>
        <v>312538</v>
      </c>
      <c r="K23" s="14">
        <f t="shared" si="4"/>
        <v>0</v>
      </c>
      <c r="L23" s="30">
        <f t="shared" si="16"/>
        <v>26095</v>
      </c>
      <c r="M23" s="14">
        <f t="shared" si="5"/>
        <v>0</v>
      </c>
      <c r="N23" s="30">
        <f t="shared" si="17"/>
        <v>225959</v>
      </c>
      <c r="O23" s="14">
        <f t="shared" si="6"/>
        <v>0</v>
      </c>
      <c r="P23" s="30">
        <f t="shared" si="18"/>
        <v>151227</v>
      </c>
      <c r="Q23" s="14">
        <f t="shared" si="0"/>
        <v>0</v>
      </c>
      <c r="R23" s="30">
        <f t="shared" si="10"/>
        <v>55047</v>
      </c>
      <c r="S23" s="14">
        <f t="shared" si="7"/>
        <v>0</v>
      </c>
      <c r="T23" s="30">
        <f t="shared" si="19"/>
        <v>3983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si="11"/>
        <v>46975</v>
      </c>
      <c r="C24" s="14">
        <f t="shared" si="9"/>
        <v>0</v>
      </c>
      <c r="D24" s="30">
        <f t="shared" si="12"/>
        <v>40560</v>
      </c>
      <c r="E24" s="14">
        <f t="shared" si="1"/>
        <v>0</v>
      </c>
      <c r="F24" s="30">
        <f t="shared" si="13"/>
        <v>21607</v>
      </c>
      <c r="G24" s="14">
        <f t="shared" si="2"/>
        <v>0</v>
      </c>
      <c r="H24" s="30">
        <f t="shared" si="14"/>
        <v>254849</v>
      </c>
      <c r="I24" s="14">
        <f t="shared" si="3"/>
        <v>0</v>
      </c>
      <c r="J24" s="30">
        <f t="shared" si="15"/>
        <v>312538</v>
      </c>
      <c r="K24" s="14">
        <f t="shared" si="4"/>
        <v>0</v>
      </c>
      <c r="L24" s="30">
        <f t="shared" si="16"/>
        <v>26095</v>
      </c>
      <c r="M24" s="14">
        <f t="shared" si="5"/>
        <v>0</v>
      </c>
      <c r="N24" s="30">
        <f t="shared" si="17"/>
        <v>225959</v>
      </c>
      <c r="O24" s="14">
        <f t="shared" si="6"/>
        <v>0</v>
      </c>
      <c r="P24" s="30">
        <f t="shared" si="18"/>
        <v>151227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19"/>
        <v>3983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1"/>
        <v>46975</v>
      </c>
      <c r="C25" s="14">
        <f t="shared" si="9"/>
        <v>0</v>
      </c>
      <c r="D25" s="30">
        <f t="shared" si="12"/>
        <v>40560</v>
      </c>
      <c r="E25" s="14">
        <f t="shared" si="1"/>
        <v>0</v>
      </c>
      <c r="F25" s="30">
        <f t="shared" si="13"/>
        <v>21607</v>
      </c>
      <c r="G25" s="14">
        <f t="shared" si="2"/>
        <v>0</v>
      </c>
      <c r="H25" s="30">
        <f t="shared" si="14"/>
        <v>254849</v>
      </c>
      <c r="I25" s="14">
        <f t="shared" si="3"/>
        <v>0</v>
      </c>
      <c r="J25" s="30">
        <f t="shared" si="15"/>
        <v>312538</v>
      </c>
      <c r="K25" s="14">
        <f t="shared" si="4"/>
        <v>0</v>
      </c>
      <c r="L25" s="30">
        <f t="shared" si="16"/>
        <v>26095</v>
      </c>
      <c r="M25" s="14">
        <f t="shared" si="5"/>
        <v>0</v>
      </c>
      <c r="N25" s="30">
        <f t="shared" si="17"/>
        <v>225959</v>
      </c>
      <c r="O25" s="14">
        <f t="shared" si="6"/>
        <v>0</v>
      </c>
      <c r="P25" s="30">
        <f t="shared" si="18"/>
        <v>151227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19"/>
        <v>3983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1"/>
        <v>46975</v>
      </c>
      <c r="C26" s="14">
        <f t="shared" si="9"/>
        <v>0</v>
      </c>
      <c r="D26" s="30">
        <f t="shared" si="12"/>
        <v>40560</v>
      </c>
      <c r="E26" s="14">
        <f t="shared" si="1"/>
        <v>0</v>
      </c>
      <c r="F26" s="30">
        <f t="shared" si="13"/>
        <v>21607</v>
      </c>
      <c r="G26" s="14">
        <f t="shared" si="2"/>
        <v>0</v>
      </c>
      <c r="H26" s="30">
        <f t="shared" si="14"/>
        <v>254849</v>
      </c>
      <c r="I26" s="14">
        <f t="shared" si="3"/>
        <v>0</v>
      </c>
      <c r="J26" s="30">
        <f t="shared" si="15"/>
        <v>312538</v>
      </c>
      <c r="K26" s="14">
        <f t="shared" si="4"/>
        <v>0</v>
      </c>
      <c r="L26" s="30">
        <f t="shared" si="16"/>
        <v>26095</v>
      </c>
      <c r="M26" s="14">
        <f t="shared" si="5"/>
        <v>0</v>
      </c>
      <c r="N26" s="30">
        <f t="shared" si="17"/>
        <v>225959</v>
      </c>
      <c r="O26" s="14">
        <f t="shared" si="6"/>
        <v>0</v>
      </c>
      <c r="P26" s="30">
        <f t="shared" si="18"/>
        <v>151227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19"/>
        <v>3983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1"/>
        <v>46975</v>
      </c>
      <c r="C27" s="14">
        <f t="shared" si="9"/>
        <v>0</v>
      </c>
      <c r="D27" s="30">
        <f t="shared" si="12"/>
        <v>40560</v>
      </c>
      <c r="E27" s="14">
        <f t="shared" si="1"/>
        <v>0</v>
      </c>
      <c r="F27" s="30">
        <f t="shared" si="13"/>
        <v>21607</v>
      </c>
      <c r="G27" s="14">
        <f t="shared" si="2"/>
        <v>0</v>
      </c>
      <c r="H27" s="30">
        <f t="shared" si="14"/>
        <v>254849</v>
      </c>
      <c r="I27" s="14">
        <f t="shared" si="3"/>
        <v>0</v>
      </c>
      <c r="J27" s="30">
        <f t="shared" si="15"/>
        <v>312538</v>
      </c>
      <c r="K27" s="14">
        <f t="shared" si="4"/>
        <v>0</v>
      </c>
      <c r="L27" s="30">
        <f t="shared" si="16"/>
        <v>26095</v>
      </c>
      <c r="M27" s="14">
        <f t="shared" si="5"/>
        <v>0</v>
      </c>
      <c r="N27" s="30">
        <f t="shared" si="17"/>
        <v>225959</v>
      </c>
      <c r="O27" s="14">
        <f t="shared" si="6"/>
        <v>0</v>
      </c>
      <c r="P27" s="30">
        <f t="shared" si="18"/>
        <v>151227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9"/>
        <v>3983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1"/>
        <v>46975</v>
      </c>
      <c r="C28" s="14">
        <f t="shared" si="9"/>
        <v>0</v>
      </c>
      <c r="D28" s="30">
        <f t="shared" si="12"/>
        <v>40560</v>
      </c>
      <c r="E28" s="14">
        <f t="shared" si="1"/>
        <v>0</v>
      </c>
      <c r="F28" s="30">
        <f t="shared" si="13"/>
        <v>21607</v>
      </c>
      <c r="G28" s="14">
        <f t="shared" si="2"/>
        <v>0</v>
      </c>
      <c r="H28" s="30">
        <f t="shared" si="14"/>
        <v>254849</v>
      </c>
      <c r="I28" s="14">
        <f t="shared" si="3"/>
        <v>0</v>
      </c>
      <c r="J28" s="30">
        <f t="shared" si="15"/>
        <v>312538</v>
      </c>
      <c r="K28" s="14">
        <f t="shared" si="4"/>
        <v>0</v>
      </c>
      <c r="L28" s="30">
        <f t="shared" si="16"/>
        <v>26095</v>
      </c>
      <c r="M28" s="14">
        <f t="shared" si="5"/>
        <v>0</v>
      </c>
      <c r="N28" s="30">
        <f t="shared" si="17"/>
        <v>225959</v>
      </c>
      <c r="O28" s="14">
        <f t="shared" si="6"/>
        <v>0</v>
      </c>
      <c r="P28" s="30">
        <f t="shared" si="18"/>
        <v>151227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9"/>
        <v>3983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1"/>
        <v>46975</v>
      </c>
      <c r="C29" s="14">
        <f t="shared" si="9"/>
        <v>0</v>
      </c>
      <c r="D29" s="30">
        <f t="shared" si="12"/>
        <v>40560</v>
      </c>
      <c r="E29" s="14">
        <f t="shared" si="1"/>
        <v>0</v>
      </c>
      <c r="F29" s="30">
        <f t="shared" si="13"/>
        <v>21607</v>
      </c>
      <c r="G29" s="14">
        <f t="shared" si="2"/>
        <v>0</v>
      </c>
      <c r="H29" s="30">
        <f t="shared" si="14"/>
        <v>254849</v>
      </c>
      <c r="I29" s="14">
        <f t="shared" si="3"/>
        <v>0</v>
      </c>
      <c r="J29" s="30">
        <f t="shared" si="15"/>
        <v>312538</v>
      </c>
      <c r="K29" s="14">
        <f t="shared" si="4"/>
        <v>0</v>
      </c>
      <c r="L29" s="30">
        <f t="shared" si="16"/>
        <v>26095</v>
      </c>
      <c r="M29" s="14">
        <f t="shared" si="5"/>
        <v>0</v>
      </c>
      <c r="N29" s="30">
        <f t="shared" si="17"/>
        <v>225959</v>
      </c>
      <c r="O29" s="14">
        <f t="shared" si="6"/>
        <v>0</v>
      </c>
      <c r="P29" s="30">
        <f t="shared" si="18"/>
        <v>151227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9"/>
        <v>3983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1"/>
        <v>46975</v>
      </c>
      <c r="C30" s="14">
        <f t="shared" si="9"/>
        <v>0</v>
      </c>
      <c r="D30" s="30">
        <f t="shared" si="12"/>
        <v>40560</v>
      </c>
      <c r="E30" s="14">
        <f t="shared" si="1"/>
        <v>0</v>
      </c>
      <c r="F30" s="30">
        <f t="shared" si="13"/>
        <v>21607</v>
      </c>
      <c r="G30" s="14">
        <f t="shared" si="2"/>
        <v>0</v>
      </c>
      <c r="H30" s="30">
        <f t="shared" si="14"/>
        <v>254849</v>
      </c>
      <c r="I30" s="14">
        <f t="shared" si="3"/>
        <v>0</v>
      </c>
      <c r="J30" s="30">
        <f t="shared" si="15"/>
        <v>312538</v>
      </c>
      <c r="K30" s="14">
        <f t="shared" si="4"/>
        <v>0</v>
      </c>
      <c r="L30" s="30">
        <f t="shared" si="16"/>
        <v>26095</v>
      </c>
      <c r="M30" s="14">
        <f t="shared" si="5"/>
        <v>0</v>
      </c>
      <c r="N30" s="30">
        <f t="shared" si="17"/>
        <v>225959</v>
      </c>
      <c r="O30" s="14">
        <f t="shared" si="6"/>
        <v>0</v>
      </c>
      <c r="P30" s="30">
        <f t="shared" si="18"/>
        <v>151227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9"/>
        <v>3983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1"/>
        <v>46975</v>
      </c>
      <c r="C31" s="14">
        <f t="shared" si="9"/>
        <v>0</v>
      </c>
      <c r="D31" s="30">
        <f t="shared" si="12"/>
        <v>40560</v>
      </c>
      <c r="E31" s="14">
        <f t="shared" si="1"/>
        <v>0</v>
      </c>
      <c r="F31" s="30">
        <f t="shared" si="13"/>
        <v>21607</v>
      </c>
      <c r="G31" s="14">
        <f t="shared" si="2"/>
        <v>0</v>
      </c>
      <c r="H31" s="30">
        <f t="shared" si="14"/>
        <v>254849</v>
      </c>
      <c r="I31" s="14">
        <f t="shared" si="3"/>
        <v>0</v>
      </c>
      <c r="J31" s="30">
        <f t="shared" si="15"/>
        <v>312538</v>
      </c>
      <c r="K31" s="14">
        <f t="shared" si="4"/>
        <v>0</v>
      </c>
      <c r="L31" s="30">
        <f t="shared" si="16"/>
        <v>26095</v>
      </c>
      <c r="M31" s="14">
        <f t="shared" si="5"/>
        <v>0</v>
      </c>
      <c r="N31" s="30">
        <f t="shared" si="17"/>
        <v>225959</v>
      </c>
      <c r="O31" s="14">
        <f t="shared" si="6"/>
        <v>0</v>
      </c>
      <c r="P31" s="30">
        <f t="shared" si="18"/>
        <v>151227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9"/>
        <v>3983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1"/>
        <v>46975</v>
      </c>
      <c r="C32" s="14">
        <f t="shared" si="9"/>
        <v>0</v>
      </c>
      <c r="D32" s="30">
        <f t="shared" si="12"/>
        <v>40560</v>
      </c>
      <c r="E32" s="14">
        <f t="shared" si="1"/>
        <v>0</v>
      </c>
      <c r="F32" s="30">
        <f t="shared" si="13"/>
        <v>21607</v>
      </c>
      <c r="G32" s="14">
        <f t="shared" si="2"/>
        <v>0</v>
      </c>
      <c r="H32" s="30">
        <f t="shared" si="14"/>
        <v>254849</v>
      </c>
      <c r="I32" s="14">
        <f t="shared" si="3"/>
        <v>0</v>
      </c>
      <c r="J32" s="30">
        <f t="shared" si="15"/>
        <v>312538</v>
      </c>
      <c r="K32" s="14">
        <f t="shared" si="4"/>
        <v>0</v>
      </c>
      <c r="L32" s="30">
        <f t="shared" si="16"/>
        <v>26095</v>
      </c>
      <c r="M32" s="14">
        <f t="shared" si="5"/>
        <v>0</v>
      </c>
      <c r="N32" s="30">
        <f t="shared" si="17"/>
        <v>225959</v>
      </c>
      <c r="O32" s="14">
        <f t="shared" si="6"/>
        <v>0</v>
      </c>
      <c r="P32" s="30">
        <f t="shared" si="18"/>
        <v>151227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9"/>
        <v>3983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1"/>
        <v>46975</v>
      </c>
      <c r="C33" s="14">
        <f t="shared" ref="C33" si="24">(B33-B32)*800/5</f>
        <v>0</v>
      </c>
      <c r="D33" s="30">
        <f t="shared" si="12"/>
        <v>40560</v>
      </c>
      <c r="E33" s="14">
        <f t="shared" ref="E33" si="25">(D33-D32)*800/5</f>
        <v>0</v>
      </c>
      <c r="F33" s="30">
        <f t="shared" si="13"/>
        <v>21607</v>
      </c>
      <c r="G33" s="14">
        <f t="shared" ref="G33" si="26">(F33-F32)*100/5</f>
        <v>0</v>
      </c>
      <c r="H33" s="30">
        <f t="shared" si="14"/>
        <v>254849</v>
      </c>
      <c r="I33" s="14">
        <f t="shared" ref="I33" si="27">(H33-H32)</f>
        <v>0</v>
      </c>
      <c r="J33" s="30">
        <f t="shared" si="15"/>
        <v>312538</v>
      </c>
      <c r="K33" s="14">
        <f t="shared" ref="K33" si="28">(J33-J32)</f>
        <v>0</v>
      </c>
      <c r="L33" s="30">
        <f t="shared" si="16"/>
        <v>26095</v>
      </c>
      <c r="M33" s="14">
        <f t="shared" ref="M33" si="29">(L33-L32)*300/5</f>
        <v>0</v>
      </c>
      <c r="N33" s="30">
        <f t="shared" si="17"/>
        <v>225959</v>
      </c>
      <c r="O33" s="14">
        <f t="shared" ref="O33" si="30">N33-N32</f>
        <v>0</v>
      </c>
      <c r="P33" s="30">
        <f t="shared" si="18"/>
        <v>151227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9"/>
        <v>3983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4960</v>
      </c>
      <c r="D34" s="11"/>
      <c r="E34" s="14">
        <f>SUM(E3:E33)</f>
        <v>3520</v>
      </c>
      <c r="F34" s="11"/>
      <c r="G34" s="14">
        <f>SUM(G3:G33)</f>
        <v>440</v>
      </c>
      <c r="H34" s="11"/>
      <c r="I34" s="14">
        <f>SUM(I3:I33)</f>
        <v>120</v>
      </c>
      <c r="J34" s="11"/>
      <c r="K34" s="14">
        <f>SUM(K3:K33)</f>
        <v>857</v>
      </c>
      <c r="L34" s="11"/>
      <c r="M34" s="14">
        <f>SUM(M3:M33)</f>
        <v>900</v>
      </c>
      <c r="N34" s="31"/>
      <c r="O34" s="14">
        <f>SUM(O3:O33)</f>
        <v>23</v>
      </c>
      <c r="P34" s="30"/>
      <c r="Q34" s="14">
        <f>SUM(Q3:Q33)</f>
        <v>1052</v>
      </c>
      <c r="R34" s="1"/>
      <c r="S34" s="14">
        <f>SUM(S3:S33)</f>
        <v>0</v>
      </c>
      <c r="T34" s="1"/>
      <c r="U34" s="14">
        <f>SUM(U3:U33)</f>
        <v>320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9" sqref="A9:XFD9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/>
      <c r="C10" s="143"/>
      <c r="D10" s="37">
        <f t="shared" si="4"/>
        <v>0</v>
      </c>
      <c r="E10" s="144"/>
      <c r="F10" s="37" t="str">
        <f t="shared" si="5"/>
        <v>0</v>
      </c>
      <c r="G10" s="145"/>
      <c r="H10" s="37" t="str">
        <f t="shared" si="6"/>
        <v>0</v>
      </c>
      <c r="I10" s="146">
        <f t="shared" si="7"/>
        <v>0</v>
      </c>
      <c r="J10" s="144"/>
      <c r="K10" s="37">
        <f t="shared" si="15"/>
        <v>0</v>
      </c>
      <c r="L10" s="147"/>
      <c r="M10" s="37" t="str">
        <f t="shared" si="8"/>
        <v>0</v>
      </c>
      <c r="N10" s="144"/>
      <c r="O10" s="37">
        <f t="shared" si="16"/>
        <v>0</v>
      </c>
      <c r="P10" s="147"/>
      <c r="Q10" s="37" t="str">
        <f t="shared" si="9"/>
        <v>0</v>
      </c>
      <c r="R10" s="144"/>
      <c r="S10" s="37" t="str">
        <f t="shared" si="10"/>
        <v>0</v>
      </c>
      <c r="T10" s="144">
        <v>0</v>
      </c>
      <c r="U10" s="148"/>
      <c r="V10" s="144"/>
      <c r="W10" s="37" t="str">
        <f t="shared" si="11"/>
        <v>0</v>
      </c>
      <c r="X10" s="19">
        <f t="shared" si="12"/>
        <v>0</v>
      </c>
      <c r="Y10" s="149">
        <f t="shared" si="13"/>
        <v>0</v>
      </c>
      <c r="Z10" s="167">
        <f t="shared" si="14"/>
        <v>0</v>
      </c>
      <c r="AA10" s="167">
        <f t="shared" si="17"/>
        <v>22070.076038400002</v>
      </c>
    </row>
    <row r="11" spans="1:27" ht="15.75" customHeight="1" thickBot="1" x14ac:dyDescent="0.3">
      <c r="A11" s="9">
        <v>44690</v>
      </c>
      <c r="B11" s="37"/>
      <c r="C11" s="143"/>
      <c r="D11" s="37">
        <f t="shared" si="4"/>
        <v>0</v>
      </c>
      <c r="E11" s="144"/>
      <c r="F11" s="37">
        <f t="shared" si="5"/>
        <v>0</v>
      </c>
      <c r="G11" s="145"/>
      <c r="H11" s="37">
        <f t="shared" si="6"/>
        <v>0</v>
      </c>
      <c r="I11" s="146">
        <f t="shared" si="7"/>
        <v>0</v>
      </c>
      <c r="J11" s="144"/>
      <c r="K11" s="37">
        <f t="shared" si="15"/>
        <v>0</v>
      </c>
      <c r="L11" s="147"/>
      <c r="M11" s="37">
        <f t="shared" si="8"/>
        <v>0</v>
      </c>
      <c r="N11" s="144"/>
      <c r="O11" s="37">
        <f t="shared" si="16"/>
        <v>0</v>
      </c>
      <c r="P11" s="147"/>
      <c r="Q11" s="37">
        <f t="shared" si="9"/>
        <v>0</v>
      </c>
      <c r="R11" s="144"/>
      <c r="S11" s="37">
        <f t="shared" si="10"/>
        <v>0</v>
      </c>
      <c r="T11" s="144">
        <v>0</v>
      </c>
      <c r="U11" s="148"/>
      <c r="V11" s="144"/>
      <c r="W11" s="37">
        <f t="shared" si="11"/>
        <v>0</v>
      </c>
      <c r="X11" s="19">
        <f t="shared" si="12"/>
        <v>0</v>
      </c>
      <c r="Y11" s="149">
        <f t="shared" si="13"/>
        <v>0</v>
      </c>
      <c r="Z11" s="167">
        <f t="shared" si="14"/>
        <v>0</v>
      </c>
      <c r="AA11" s="167">
        <f t="shared" si="17"/>
        <v>14742.596876800002</v>
      </c>
    </row>
    <row r="12" spans="1:27" ht="16.5" thickBot="1" x14ac:dyDescent="0.3">
      <c r="A12" s="9">
        <v>44691</v>
      </c>
      <c r="B12" s="37"/>
      <c r="C12" s="143"/>
      <c r="D12" s="37">
        <f t="shared" si="4"/>
        <v>0</v>
      </c>
      <c r="E12" s="144"/>
      <c r="F12" s="37">
        <f t="shared" si="5"/>
        <v>0</v>
      </c>
      <c r="G12" s="145"/>
      <c r="H12" s="37">
        <f t="shared" si="6"/>
        <v>0</v>
      </c>
      <c r="I12" s="146">
        <f t="shared" si="7"/>
        <v>0</v>
      </c>
      <c r="J12" s="144"/>
      <c r="K12" s="37">
        <f t="shared" si="15"/>
        <v>0</v>
      </c>
      <c r="L12" s="147"/>
      <c r="M12" s="37">
        <f t="shared" si="8"/>
        <v>0</v>
      </c>
      <c r="N12" s="144"/>
      <c r="O12" s="37">
        <f t="shared" si="16"/>
        <v>0</v>
      </c>
      <c r="P12" s="147"/>
      <c r="Q12" s="37">
        <f t="shared" si="9"/>
        <v>0</v>
      </c>
      <c r="R12" s="144"/>
      <c r="S12" s="37">
        <f t="shared" si="10"/>
        <v>0</v>
      </c>
      <c r="T12" s="144">
        <v>0</v>
      </c>
      <c r="U12" s="148"/>
      <c r="V12" s="144"/>
      <c r="W12" s="37">
        <f t="shared" si="11"/>
        <v>0</v>
      </c>
      <c r="X12" s="19">
        <f t="shared" si="12"/>
        <v>0</v>
      </c>
      <c r="Y12" s="149">
        <f t="shared" si="13"/>
        <v>0</v>
      </c>
      <c r="Z12" s="167">
        <f t="shared" si="14"/>
        <v>0</v>
      </c>
      <c r="AA12" s="167">
        <f t="shared" si="17"/>
        <v>7733.9862288000004</v>
      </c>
    </row>
    <row r="13" spans="1:27" ht="16.5" thickBot="1" x14ac:dyDescent="0.3">
      <c r="A13" s="9">
        <v>44692</v>
      </c>
      <c r="B13" s="37"/>
      <c r="C13" s="143"/>
      <c r="D13" s="37">
        <f t="shared" ref="D13" si="18">IF((C13-C12)&lt;0,"0",(C13-C12))*160</f>
        <v>0</v>
      </c>
      <c r="E13" s="144"/>
      <c r="F13" s="37">
        <f t="shared" ref="F13" si="19">IF((E13-E12)&lt;0,"0",(E13-E12))</f>
        <v>0</v>
      </c>
      <c r="G13" s="145"/>
      <c r="H13" s="37">
        <f t="shared" si="6"/>
        <v>0</v>
      </c>
      <c r="I13" s="146">
        <f t="shared" ref="I13" si="20">F13+H13</f>
        <v>0</v>
      </c>
      <c r="J13" s="144"/>
      <c r="K13" s="37">
        <f t="shared" ref="K13" si="21">(IF((J13-J12)&lt;0,"0",(J13-J12)))*2</f>
        <v>0</v>
      </c>
      <c r="L13" s="147"/>
      <c r="M13" s="37">
        <f t="shared" ref="M13" si="22">IF((L13-L12)&lt;0,"0",(L13-L12))</f>
        <v>0</v>
      </c>
      <c r="N13" s="144"/>
      <c r="O13" s="37">
        <f t="shared" ref="O13" si="23">(IF((N13-N12)&lt;0,"0",(N13-N12)))*2</f>
        <v>0</v>
      </c>
      <c r="P13" s="147"/>
      <c r="Q13" s="37">
        <f t="shared" ref="Q13" si="24">IF((P13-P12)&lt;0,"0",(P13-P12))</f>
        <v>0</v>
      </c>
      <c r="R13" s="144"/>
      <c r="S13" s="37">
        <f t="shared" ref="S13" si="25">IF((R13-R12)&lt;0,"0",(R13-R12))</f>
        <v>0</v>
      </c>
      <c r="T13" s="144">
        <v>0</v>
      </c>
      <c r="U13" s="148"/>
      <c r="V13" s="144"/>
      <c r="W13" s="37">
        <f t="shared" ref="W13" si="26">IF((V13-V12)&lt;0,"0",(V13-V12))</f>
        <v>0</v>
      </c>
      <c r="X13" s="19">
        <f t="shared" ref="X13" si="27">K13+M13+O13+Q13+S13+U13+W13</f>
        <v>0</v>
      </c>
      <c r="Y13" s="149">
        <f t="shared" ref="Y13" si="28">I13-X13</f>
        <v>0</v>
      </c>
      <c r="Z13" s="167">
        <f t="shared" ref="Z13" si="29">(0.93352*(W13+S13)+0.5568*(Q13+O13))*0.26</f>
        <v>0</v>
      </c>
      <c r="AA13" s="167">
        <f t="shared" si="17"/>
        <v>0</v>
      </c>
    </row>
    <row r="14" spans="1:27" ht="16.5" thickBot="1" x14ac:dyDescent="0.3">
      <c r="A14" s="9">
        <v>44693</v>
      </c>
      <c r="B14" s="37"/>
      <c r="C14" s="143"/>
      <c r="D14" s="37">
        <f t="shared" si="4"/>
        <v>0</v>
      </c>
      <c r="E14" s="144"/>
      <c r="F14" s="37">
        <f t="shared" si="5"/>
        <v>0</v>
      </c>
      <c r="G14" s="145"/>
      <c r="H14" s="37">
        <f t="shared" si="6"/>
        <v>0</v>
      </c>
      <c r="I14" s="146">
        <f t="shared" si="7"/>
        <v>0</v>
      </c>
      <c r="J14" s="144"/>
      <c r="K14" s="37">
        <f t="shared" si="15"/>
        <v>0</v>
      </c>
      <c r="L14" s="147"/>
      <c r="M14" s="37">
        <f t="shared" si="8"/>
        <v>0</v>
      </c>
      <c r="N14" s="144"/>
      <c r="O14" s="37">
        <f t="shared" si="16"/>
        <v>0</v>
      </c>
      <c r="P14" s="147"/>
      <c r="Q14" s="37">
        <f t="shared" si="9"/>
        <v>0</v>
      </c>
      <c r="R14" s="144"/>
      <c r="S14" s="37">
        <f>IF((R14-R13)&lt;0,"0",(R14-R13))</f>
        <v>0</v>
      </c>
      <c r="T14" s="144">
        <v>0</v>
      </c>
      <c r="U14" s="148"/>
      <c r="V14" s="144"/>
      <c r="W14" s="37">
        <f t="shared" si="11"/>
        <v>0</v>
      </c>
      <c r="X14" s="19">
        <f t="shared" si="12"/>
        <v>0</v>
      </c>
      <c r="Y14" s="149">
        <f t="shared" si="13"/>
        <v>0</v>
      </c>
      <c r="Z14" s="167">
        <f t="shared" si="14"/>
        <v>0</v>
      </c>
      <c r="AA14" s="167">
        <f t="shared" si="17"/>
        <v>0</v>
      </c>
    </row>
    <row r="15" spans="1:27" ht="16.5" thickBot="1" x14ac:dyDescent="0.3">
      <c r="A15" s="9">
        <v>44694</v>
      </c>
      <c r="B15" s="37"/>
      <c r="C15" s="143"/>
      <c r="D15" s="37">
        <f t="shared" si="4"/>
        <v>0</v>
      </c>
      <c r="E15" s="144"/>
      <c r="F15" s="37">
        <f t="shared" si="5"/>
        <v>0</v>
      </c>
      <c r="G15" s="145"/>
      <c r="H15" s="37">
        <f t="shared" si="6"/>
        <v>0</v>
      </c>
      <c r="I15" s="146">
        <f t="shared" si="7"/>
        <v>0</v>
      </c>
      <c r="J15" s="144"/>
      <c r="K15" s="37">
        <f t="shared" si="15"/>
        <v>0</v>
      </c>
      <c r="L15" s="147"/>
      <c r="M15" s="37">
        <f t="shared" si="8"/>
        <v>0</v>
      </c>
      <c r="N15" s="144"/>
      <c r="O15" s="37">
        <f t="shared" si="16"/>
        <v>0</v>
      </c>
      <c r="P15" s="147"/>
      <c r="Q15" s="37">
        <f t="shared" si="9"/>
        <v>0</v>
      </c>
      <c r="R15" s="144"/>
      <c r="S15" s="37">
        <f>IF((R15-R14)&lt;0,"0",(R15-R14))</f>
        <v>0</v>
      </c>
      <c r="T15" s="144">
        <v>0</v>
      </c>
      <c r="U15" s="148"/>
      <c r="V15" s="144"/>
      <c r="W15" s="37">
        <f t="shared" si="11"/>
        <v>0</v>
      </c>
      <c r="X15" s="19">
        <f t="shared" si="12"/>
        <v>0</v>
      </c>
      <c r="Y15" s="149">
        <f t="shared" si="13"/>
        <v>0</v>
      </c>
      <c r="Z15" s="167">
        <f t="shared" si="14"/>
        <v>0</v>
      </c>
      <c r="AA15" s="167">
        <f t="shared" si="17"/>
        <v>0</v>
      </c>
    </row>
    <row r="16" spans="1:27" ht="16.5" thickBot="1" x14ac:dyDescent="0.3">
      <c r="A16" s="9">
        <v>44695</v>
      </c>
      <c r="B16" s="37"/>
      <c r="C16" s="143"/>
      <c r="D16" s="37">
        <f t="shared" si="4"/>
        <v>0</v>
      </c>
      <c r="E16" s="144"/>
      <c r="F16" s="37">
        <f t="shared" si="5"/>
        <v>0</v>
      </c>
      <c r="G16" s="145"/>
      <c r="H16" s="37">
        <f t="shared" si="6"/>
        <v>0</v>
      </c>
      <c r="I16" s="146">
        <f t="shared" si="7"/>
        <v>0</v>
      </c>
      <c r="J16" s="144"/>
      <c r="K16" s="37">
        <f t="shared" si="15"/>
        <v>0</v>
      </c>
      <c r="L16" s="147"/>
      <c r="M16" s="37">
        <f t="shared" si="8"/>
        <v>0</v>
      </c>
      <c r="N16" s="144"/>
      <c r="O16" s="37">
        <f t="shared" si="16"/>
        <v>0</v>
      </c>
      <c r="P16" s="147"/>
      <c r="Q16" s="37">
        <f t="shared" si="9"/>
        <v>0</v>
      </c>
      <c r="R16" s="144"/>
      <c r="S16" s="37">
        <f t="shared" si="10"/>
        <v>0</v>
      </c>
      <c r="T16" s="144">
        <v>0</v>
      </c>
      <c r="U16" s="148"/>
      <c r="V16" s="144"/>
      <c r="W16" s="37">
        <f t="shared" si="11"/>
        <v>0</v>
      </c>
      <c r="X16" s="19">
        <f t="shared" si="12"/>
        <v>0</v>
      </c>
      <c r="Y16" s="149">
        <f t="shared" si="13"/>
        <v>0</v>
      </c>
      <c r="Z16" s="167">
        <f t="shared" si="14"/>
        <v>0</v>
      </c>
      <c r="AA16" s="167">
        <f t="shared" si="17"/>
        <v>0</v>
      </c>
    </row>
    <row r="17" spans="1:27" s="129" customFormat="1" ht="16.5" thickBot="1" x14ac:dyDescent="0.3">
      <c r="A17" s="9">
        <v>44696</v>
      </c>
      <c r="B17" s="37"/>
      <c r="C17" s="143"/>
      <c r="D17" s="37">
        <f t="shared" si="4"/>
        <v>0</v>
      </c>
      <c r="E17" s="144"/>
      <c r="F17" s="37">
        <f t="shared" si="5"/>
        <v>0</v>
      </c>
      <c r="G17" s="145"/>
      <c r="H17" s="37">
        <f t="shared" si="6"/>
        <v>0</v>
      </c>
      <c r="I17" s="150">
        <f t="shared" si="7"/>
        <v>0</v>
      </c>
      <c r="J17" s="144"/>
      <c r="K17" s="128">
        <f t="shared" si="15"/>
        <v>0</v>
      </c>
      <c r="L17" s="147"/>
      <c r="M17" s="128">
        <f t="shared" si="8"/>
        <v>0</v>
      </c>
      <c r="N17" s="144"/>
      <c r="O17" s="128">
        <f t="shared" si="16"/>
        <v>0</v>
      </c>
      <c r="P17" s="147"/>
      <c r="Q17" s="128">
        <f t="shared" si="9"/>
        <v>0</v>
      </c>
      <c r="R17" s="144"/>
      <c r="S17" s="128">
        <f t="shared" si="10"/>
        <v>0</v>
      </c>
      <c r="T17" s="151">
        <v>0</v>
      </c>
      <c r="U17" s="148"/>
      <c r="V17" s="144"/>
      <c r="W17" s="128">
        <f t="shared" si="11"/>
        <v>0</v>
      </c>
      <c r="X17" s="19">
        <f t="shared" si="12"/>
        <v>0</v>
      </c>
      <c r="Y17" s="152">
        <f t="shared" si="13"/>
        <v>0</v>
      </c>
      <c r="Z17" s="168">
        <f t="shared" si="14"/>
        <v>0</v>
      </c>
      <c r="AA17" s="167">
        <f t="shared" si="17"/>
        <v>0</v>
      </c>
    </row>
    <row r="18" spans="1:27" s="129" customFormat="1" ht="16.5" thickBot="1" x14ac:dyDescent="0.3">
      <c r="A18" s="9">
        <v>44697</v>
      </c>
      <c r="B18" s="37"/>
      <c r="C18" s="143"/>
      <c r="D18" s="37">
        <f t="shared" si="4"/>
        <v>0</v>
      </c>
      <c r="E18" s="144"/>
      <c r="F18" s="37">
        <f t="shared" si="5"/>
        <v>0</v>
      </c>
      <c r="G18" s="145"/>
      <c r="H18" s="37">
        <f t="shared" si="6"/>
        <v>0</v>
      </c>
      <c r="I18" s="150">
        <f t="shared" si="7"/>
        <v>0</v>
      </c>
      <c r="J18" s="144"/>
      <c r="K18" s="128">
        <f t="shared" si="15"/>
        <v>0</v>
      </c>
      <c r="L18" s="147"/>
      <c r="M18" s="128">
        <f t="shared" si="8"/>
        <v>0</v>
      </c>
      <c r="N18" s="144"/>
      <c r="O18" s="128">
        <f t="shared" si="16"/>
        <v>0</v>
      </c>
      <c r="P18" s="147"/>
      <c r="Q18" s="128">
        <f t="shared" si="9"/>
        <v>0</v>
      </c>
      <c r="R18" s="144"/>
      <c r="S18" s="128">
        <f t="shared" si="10"/>
        <v>0</v>
      </c>
      <c r="T18" s="151">
        <v>0</v>
      </c>
      <c r="U18" s="148"/>
      <c r="V18" s="144"/>
      <c r="W18" s="128">
        <f t="shared" si="11"/>
        <v>0</v>
      </c>
      <c r="X18" s="19">
        <f t="shared" si="12"/>
        <v>0</v>
      </c>
      <c r="Y18" s="152">
        <f t="shared" si="13"/>
        <v>0</v>
      </c>
      <c r="Z18" s="168">
        <f t="shared" si="14"/>
        <v>0</v>
      </c>
      <c r="AA18" s="167">
        <f t="shared" si="17"/>
        <v>0</v>
      </c>
    </row>
    <row r="19" spans="1:27" s="129" customFormat="1" ht="16.5" thickBot="1" x14ac:dyDescent="0.3">
      <c r="A19" s="9">
        <v>44698</v>
      </c>
      <c r="B19" s="37"/>
      <c r="C19" s="143"/>
      <c r="D19" s="37">
        <f t="shared" si="4"/>
        <v>0</v>
      </c>
      <c r="E19" s="144"/>
      <c r="F19" s="37">
        <f t="shared" si="5"/>
        <v>0</v>
      </c>
      <c r="G19" s="145"/>
      <c r="H19" s="37">
        <f t="shared" si="6"/>
        <v>0</v>
      </c>
      <c r="I19" s="150">
        <f t="shared" si="7"/>
        <v>0</v>
      </c>
      <c r="J19" s="144"/>
      <c r="K19" s="128">
        <f t="shared" si="15"/>
        <v>0</v>
      </c>
      <c r="L19" s="147"/>
      <c r="M19" s="128">
        <f t="shared" si="8"/>
        <v>0</v>
      </c>
      <c r="N19" s="144"/>
      <c r="O19" s="128">
        <f t="shared" si="16"/>
        <v>0</v>
      </c>
      <c r="P19" s="147"/>
      <c r="Q19" s="128">
        <f t="shared" si="9"/>
        <v>0</v>
      </c>
      <c r="R19" s="144"/>
      <c r="S19" s="128">
        <f t="shared" si="10"/>
        <v>0</v>
      </c>
      <c r="T19" s="151">
        <v>0</v>
      </c>
      <c r="U19" s="148"/>
      <c r="V19" s="144"/>
      <c r="W19" s="128">
        <f t="shared" si="11"/>
        <v>0</v>
      </c>
      <c r="X19" s="19">
        <f t="shared" si="12"/>
        <v>0</v>
      </c>
      <c r="Y19" s="152">
        <f t="shared" si="13"/>
        <v>0</v>
      </c>
      <c r="Z19" s="168">
        <f t="shared" si="14"/>
        <v>0</v>
      </c>
      <c r="AA19" s="167">
        <f t="shared" si="17"/>
        <v>0</v>
      </c>
    </row>
    <row r="20" spans="1:27" s="129" customFormat="1" ht="16.5" thickBot="1" x14ac:dyDescent="0.3">
      <c r="A20" s="9">
        <v>44699</v>
      </c>
      <c r="B20" s="37"/>
      <c r="C20" s="143"/>
      <c r="D20" s="37">
        <f t="shared" si="4"/>
        <v>0</v>
      </c>
      <c r="E20" s="144"/>
      <c r="F20" s="37">
        <f t="shared" si="5"/>
        <v>0</v>
      </c>
      <c r="G20" s="145"/>
      <c r="H20" s="37">
        <f t="shared" si="6"/>
        <v>0</v>
      </c>
      <c r="I20" s="150">
        <f t="shared" si="7"/>
        <v>0</v>
      </c>
      <c r="J20" s="144"/>
      <c r="K20" s="128">
        <f t="shared" si="15"/>
        <v>0</v>
      </c>
      <c r="L20" s="147"/>
      <c r="M20" s="128">
        <f t="shared" si="8"/>
        <v>0</v>
      </c>
      <c r="N20" s="144"/>
      <c r="O20" s="128">
        <f t="shared" si="16"/>
        <v>0</v>
      </c>
      <c r="P20" s="147"/>
      <c r="Q20" s="128">
        <f t="shared" si="9"/>
        <v>0</v>
      </c>
      <c r="R20" s="144"/>
      <c r="S20" s="128">
        <f t="shared" si="10"/>
        <v>0</v>
      </c>
      <c r="T20" s="151">
        <v>0</v>
      </c>
      <c r="U20" s="148"/>
      <c r="V20" s="144"/>
      <c r="W20" s="128">
        <f t="shared" si="11"/>
        <v>0</v>
      </c>
      <c r="X20" s="19">
        <f t="shared" si="12"/>
        <v>0</v>
      </c>
      <c r="Y20" s="152">
        <f t="shared" si="13"/>
        <v>0</v>
      </c>
      <c r="Z20" s="168">
        <f t="shared" si="14"/>
        <v>0</v>
      </c>
      <c r="AA20" s="167">
        <f t="shared" si="17"/>
        <v>0</v>
      </c>
    </row>
    <row r="21" spans="1:27" s="129" customFormat="1" ht="16.5" thickBot="1" x14ac:dyDescent="0.3">
      <c r="A21" s="9">
        <v>44700</v>
      </c>
      <c r="B21" s="37"/>
      <c r="C21" s="143"/>
      <c r="D21" s="37">
        <f t="shared" si="4"/>
        <v>0</v>
      </c>
      <c r="E21" s="144"/>
      <c r="F21" s="37">
        <f t="shared" si="5"/>
        <v>0</v>
      </c>
      <c r="G21" s="145"/>
      <c r="H21" s="37">
        <f t="shared" si="6"/>
        <v>0</v>
      </c>
      <c r="I21" s="150">
        <f t="shared" si="7"/>
        <v>0</v>
      </c>
      <c r="J21" s="144"/>
      <c r="K21" s="128">
        <f t="shared" si="15"/>
        <v>0</v>
      </c>
      <c r="L21" s="147"/>
      <c r="M21" s="128">
        <f t="shared" si="8"/>
        <v>0</v>
      </c>
      <c r="N21" s="144"/>
      <c r="O21" s="128">
        <f t="shared" si="16"/>
        <v>0</v>
      </c>
      <c r="P21" s="147"/>
      <c r="Q21" s="128">
        <f t="shared" si="9"/>
        <v>0</v>
      </c>
      <c r="R21" s="144"/>
      <c r="S21" s="128">
        <f t="shared" si="10"/>
        <v>0</v>
      </c>
      <c r="T21" s="151">
        <v>0</v>
      </c>
      <c r="U21" s="148"/>
      <c r="V21" s="144"/>
      <c r="W21" s="128">
        <f t="shared" si="11"/>
        <v>0</v>
      </c>
      <c r="X21" s="19">
        <f t="shared" si="12"/>
        <v>0</v>
      </c>
      <c r="Y21" s="152">
        <f t="shared" si="13"/>
        <v>0</v>
      </c>
      <c r="Z21" s="168">
        <f t="shared" si="14"/>
        <v>0</v>
      </c>
      <c r="AA21" s="167">
        <f t="shared" si="17"/>
        <v>0</v>
      </c>
    </row>
    <row r="22" spans="1:27" ht="16.5" thickBot="1" x14ac:dyDescent="0.3">
      <c r="A22" s="9">
        <v>44701</v>
      </c>
      <c r="B22" s="37"/>
      <c r="C22" s="143"/>
      <c r="D22" s="37">
        <f t="shared" si="4"/>
        <v>0</v>
      </c>
      <c r="E22" s="144"/>
      <c r="F22" s="37">
        <f t="shared" si="5"/>
        <v>0</v>
      </c>
      <c r="G22" s="145"/>
      <c r="H22" s="37">
        <f t="shared" si="6"/>
        <v>0</v>
      </c>
      <c r="I22" s="146">
        <f t="shared" si="7"/>
        <v>0</v>
      </c>
      <c r="J22" s="144"/>
      <c r="K22" s="37">
        <f t="shared" si="15"/>
        <v>0</v>
      </c>
      <c r="L22" s="147"/>
      <c r="M22" s="37">
        <f t="shared" si="8"/>
        <v>0</v>
      </c>
      <c r="N22" s="144"/>
      <c r="O22" s="37">
        <f t="shared" si="16"/>
        <v>0</v>
      </c>
      <c r="P22" s="147"/>
      <c r="Q22" s="37">
        <f t="shared" si="9"/>
        <v>0</v>
      </c>
      <c r="R22" s="144"/>
      <c r="S22" s="37">
        <f t="shared" si="10"/>
        <v>0</v>
      </c>
      <c r="T22" s="144">
        <v>0</v>
      </c>
      <c r="U22" s="148"/>
      <c r="V22" s="144"/>
      <c r="W22" s="37">
        <f t="shared" si="11"/>
        <v>0</v>
      </c>
      <c r="X22" s="19">
        <f t="shared" si="12"/>
        <v>0</v>
      </c>
      <c r="Y22" s="149">
        <f t="shared" si="13"/>
        <v>0</v>
      </c>
      <c r="Z22" s="167">
        <f t="shared" si="14"/>
        <v>0</v>
      </c>
      <c r="AA22" s="167">
        <f t="shared" si="17"/>
        <v>0</v>
      </c>
    </row>
    <row r="23" spans="1:27" ht="16.5" thickBot="1" x14ac:dyDescent="0.3">
      <c r="A23" s="9">
        <v>44702</v>
      </c>
      <c r="B23" s="37"/>
      <c r="C23" s="143"/>
      <c r="D23" s="37">
        <f t="shared" si="4"/>
        <v>0</v>
      </c>
      <c r="E23" s="144"/>
      <c r="F23" s="37">
        <f t="shared" si="5"/>
        <v>0</v>
      </c>
      <c r="G23" s="145"/>
      <c r="H23" s="37">
        <f t="shared" si="6"/>
        <v>0</v>
      </c>
      <c r="I23" s="146">
        <f t="shared" si="7"/>
        <v>0</v>
      </c>
      <c r="J23" s="144"/>
      <c r="K23" s="37">
        <f t="shared" si="15"/>
        <v>0</v>
      </c>
      <c r="L23" s="147"/>
      <c r="M23" s="37">
        <f t="shared" si="8"/>
        <v>0</v>
      </c>
      <c r="N23" s="144"/>
      <c r="O23" s="37">
        <f t="shared" si="16"/>
        <v>0</v>
      </c>
      <c r="P23" s="147"/>
      <c r="Q23" s="37">
        <f t="shared" si="9"/>
        <v>0</v>
      </c>
      <c r="R23" s="144"/>
      <c r="S23" s="37">
        <f t="shared" si="10"/>
        <v>0</v>
      </c>
      <c r="T23" s="144">
        <v>0</v>
      </c>
      <c r="U23" s="148"/>
      <c r="V23" s="144"/>
      <c r="W23" s="37">
        <f t="shared" si="11"/>
        <v>0</v>
      </c>
      <c r="X23" s="19">
        <f t="shared" si="12"/>
        <v>0</v>
      </c>
      <c r="Y23" s="149">
        <f t="shared" si="13"/>
        <v>0</v>
      </c>
      <c r="Z23" s="167">
        <f t="shared" si="14"/>
        <v>0</v>
      </c>
      <c r="AA23" s="167">
        <f t="shared" si="17"/>
        <v>0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>
        <f t="shared" si="5"/>
        <v>0</v>
      </c>
      <c r="G24" s="145"/>
      <c r="H24" s="37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>
        <f t="shared" si="8"/>
        <v>0</v>
      </c>
      <c r="N24" s="144"/>
      <c r="O24" s="37">
        <f t="shared" si="16"/>
        <v>0</v>
      </c>
      <c r="P24" s="147"/>
      <c r="Q24" s="37">
        <f t="shared" si="9"/>
        <v>0</v>
      </c>
      <c r="R24" s="144"/>
      <c r="S24" s="37">
        <f t="shared" si="10"/>
        <v>0</v>
      </c>
      <c r="T24" s="144">
        <v>0</v>
      </c>
      <c r="U24" s="148"/>
      <c r="V24" s="144"/>
      <c r="W24" s="37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0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0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0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1727</v>
      </c>
      <c r="C34" s="135">
        <v>0</v>
      </c>
      <c r="D34" s="54">
        <f>SUM(D3:D33)</f>
        <v>4000</v>
      </c>
      <c r="E34" s="54">
        <v>0</v>
      </c>
      <c r="F34" s="54">
        <f>SUM(F3:F33)</f>
        <v>79601</v>
      </c>
      <c r="G34" s="54">
        <v>0</v>
      </c>
      <c r="H34" s="54">
        <f>SUM(H3:H33)</f>
        <v>312123</v>
      </c>
      <c r="I34" s="54">
        <f>SUM(I3:I33)</f>
        <v>391724</v>
      </c>
      <c r="J34" s="54">
        <v>0</v>
      </c>
      <c r="K34" s="54">
        <f>SUM(K2:K33)</f>
        <v>54162</v>
      </c>
      <c r="L34" s="54">
        <v>0</v>
      </c>
      <c r="M34" s="54">
        <f>SUM(M3:M33)</f>
        <v>41377</v>
      </c>
      <c r="N34" s="54">
        <v>0</v>
      </c>
      <c r="O34" s="54">
        <f>SUM(O3:O33)</f>
        <v>37176</v>
      </c>
      <c r="P34" s="54">
        <v>0</v>
      </c>
      <c r="Q34" s="54">
        <f>SUM(Q3:Q33)</f>
        <v>66095</v>
      </c>
      <c r="R34" s="54">
        <v>0</v>
      </c>
      <c r="S34" s="54">
        <f>SUM(S3:S33)</f>
        <v>70651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70562</v>
      </c>
      <c r="X34" s="54">
        <f>SUM(X3:X33)</f>
        <v>340023</v>
      </c>
      <c r="Y34" s="54">
        <f>SUM(Y3:Y32)</f>
        <v>51701</v>
      </c>
      <c r="Z34" s="169">
        <f>SUM(Z3:Z32)</f>
        <v>49224.877665599997</v>
      </c>
      <c r="AA34" s="169">
        <f>SUM(AA3:AA32)</f>
        <v>196899.51066239999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/>
      <c r="C10" s="37">
        <f>(IF((B10-B9)&lt;0,"0",(B10-B9)))*10</f>
        <v>0</v>
      </c>
      <c r="D10" s="3"/>
      <c r="E10" s="37">
        <f t="shared" si="2"/>
        <v>0</v>
      </c>
      <c r="F10" s="3"/>
      <c r="G10" s="37">
        <f t="shared" si="5"/>
        <v>0</v>
      </c>
      <c r="H10" s="3"/>
      <c r="I10" s="42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44690</v>
      </c>
      <c r="B11" s="3"/>
      <c r="C11" s="37">
        <f t="shared" si="7"/>
        <v>0</v>
      </c>
      <c r="D11" s="3"/>
      <c r="E11" s="37">
        <f t="shared" si="2"/>
        <v>0</v>
      </c>
      <c r="F11" s="3"/>
      <c r="G11" s="37">
        <f t="shared" si="5"/>
        <v>0</v>
      </c>
      <c r="H11" s="3"/>
      <c r="I11" s="42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44691</v>
      </c>
      <c r="B12" s="3"/>
      <c r="C12" s="37">
        <f t="shared" si="7"/>
        <v>0</v>
      </c>
      <c r="D12" s="3"/>
      <c r="E12" s="37">
        <f t="shared" si="2"/>
        <v>0</v>
      </c>
      <c r="F12" s="3"/>
      <c r="G12" s="37">
        <f t="shared" si="5"/>
        <v>0</v>
      </c>
      <c r="H12" s="3"/>
      <c r="I12" s="42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44692</v>
      </c>
      <c r="B13" s="3"/>
      <c r="C13" s="37">
        <f t="shared" si="7"/>
        <v>0</v>
      </c>
      <c r="D13" s="3"/>
      <c r="E13" s="37">
        <f t="shared" si="2"/>
        <v>0</v>
      </c>
      <c r="F13" s="3"/>
      <c r="G13" s="37">
        <f t="shared" si="5"/>
        <v>0</v>
      </c>
      <c r="H13" s="3"/>
      <c r="I13" s="42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44693</v>
      </c>
      <c r="B14" s="3"/>
      <c r="C14" s="37">
        <f t="shared" si="7"/>
        <v>0</v>
      </c>
      <c r="D14" s="3"/>
      <c r="E14" s="37">
        <f t="shared" si="2"/>
        <v>0</v>
      </c>
      <c r="F14" s="3"/>
      <c r="G14" s="37">
        <f t="shared" si="5"/>
        <v>0</v>
      </c>
      <c r="H14" s="3"/>
      <c r="I14" s="42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44694</v>
      </c>
      <c r="B15" s="3"/>
      <c r="C15" s="37">
        <f t="shared" si="7"/>
        <v>0</v>
      </c>
      <c r="D15" s="3"/>
      <c r="E15" s="37">
        <f t="shared" si="2"/>
        <v>0</v>
      </c>
      <c r="F15" s="3"/>
      <c r="G15" s="37">
        <f t="shared" si="5"/>
        <v>0</v>
      </c>
      <c r="H15" s="3"/>
      <c r="I15" s="42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44695</v>
      </c>
      <c r="B16" s="3"/>
      <c r="C16" s="37">
        <f t="shared" si="7"/>
        <v>0</v>
      </c>
      <c r="D16" s="3"/>
      <c r="E16" s="37">
        <f t="shared" si="2"/>
        <v>0</v>
      </c>
      <c r="F16" s="3"/>
      <c r="G16" s="37">
        <f t="shared" si="5"/>
        <v>0</v>
      </c>
      <c r="H16" s="3"/>
      <c r="I16" s="42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44696</v>
      </c>
      <c r="B17" s="3"/>
      <c r="C17" s="37">
        <f t="shared" si="7"/>
        <v>0</v>
      </c>
      <c r="D17" s="3"/>
      <c r="E17" s="37">
        <f t="shared" si="2"/>
        <v>0</v>
      </c>
      <c r="F17" s="3"/>
      <c r="G17" s="37">
        <f t="shared" si="5"/>
        <v>0</v>
      </c>
      <c r="H17" s="3"/>
      <c r="I17" s="42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44698</v>
      </c>
      <c r="B19" s="3"/>
      <c r="C19" s="37">
        <f t="shared" si="7"/>
        <v>0</v>
      </c>
      <c r="D19" s="3"/>
      <c r="E19" s="37">
        <f t="shared" ref="E19:E33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44699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44700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44701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6670</v>
      </c>
      <c r="D34" s="3"/>
      <c r="E34" s="54">
        <f>SUM(E3:E33)</f>
        <v>3160</v>
      </c>
      <c r="F34" s="3"/>
      <c r="G34" s="54">
        <f>SUM(G3:G33)</f>
        <v>3253.5</v>
      </c>
      <c r="H34" s="3"/>
      <c r="I34" s="54">
        <f>SUM(I3:I33)</f>
        <v>27.486000000000001</v>
      </c>
      <c r="J34" s="54">
        <f>SUM(J3:J33)</f>
        <v>13110.986000000001</v>
      </c>
      <c r="K34" s="54">
        <f>SUM(K3:K33)</f>
        <v>76830.377959999998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9" sqref="A9:XFD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18245210</v>
      </c>
      <c r="C9" s="43">
        <f t="shared" si="0"/>
        <v>3044</v>
      </c>
    </row>
    <row r="10" spans="1:9" ht="24" thickBot="1" x14ac:dyDescent="0.4">
      <c r="A10" s="9">
        <v>44689</v>
      </c>
      <c r="B10" s="131"/>
      <c r="C10" s="43" t="str">
        <f t="shared" si="0"/>
        <v>0</v>
      </c>
    </row>
    <row r="11" spans="1:9" ht="24" thickBot="1" x14ac:dyDescent="0.4">
      <c r="A11" s="9">
        <v>44690</v>
      </c>
      <c r="B11" s="131"/>
      <c r="C11" s="43">
        <f t="shared" si="0"/>
        <v>0</v>
      </c>
    </row>
    <row r="12" spans="1:9" ht="24" thickBot="1" x14ac:dyDescent="0.4">
      <c r="A12" s="9">
        <v>44691</v>
      </c>
      <c r="B12" s="131"/>
      <c r="C12" s="43">
        <f t="shared" si="0"/>
        <v>0</v>
      </c>
    </row>
    <row r="13" spans="1:9" ht="24" thickBot="1" x14ac:dyDescent="0.4">
      <c r="A13" s="9">
        <v>44692</v>
      </c>
      <c r="B13" s="131"/>
      <c r="C13" s="43">
        <f t="shared" si="0"/>
        <v>0</v>
      </c>
    </row>
    <row r="14" spans="1:9" ht="24" thickBot="1" x14ac:dyDescent="0.4">
      <c r="A14" s="9">
        <v>44693</v>
      </c>
      <c r="B14" s="131"/>
      <c r="C14" s="43">
        <f t="shared" si="0"/>
        <v>0</v>
      </c>
    </row>
    <row r="15" spans="1:9" ht="24" thickBot="1" x14ac:dyDescent="0.4">
      <c r="A15" s="9">
        <v>44694</v>
      </c>
      <c r="B15" s="131"/>
      <c r="C15" s="43">
        <f t="shared" si="0"/>
        <v>0</v>
      </c>
      <c r="I15" t="s">
        <v>12</v>
      </c>
    </row>
    <row r="16" spans="1:9" ht="26.25" customHeight="1" thickBot="1" x14ac:dyDescent="0.4">
      <c r="A16" s="9">
        <v>44695</v>
      </c>
      <c r="B16" s="131"/>
      <c r="C16" s="43">
        <f t="shared" si="0"/>
        <v>0</v>
      </c>
      <c r="F16" s="153"/>
    </row>
    <row r="17" spans="1:9" ht="25.5" customHeight="1" thickBot="1" x14ac:dyDescent="0.4">
      <c r="A17" s="9">
        <v>44696</v>
      </c>
      <c r="B17" s="131"/>
      <c r="C17" s="43">
        <f t="shared" si="0"/>
        <v>0</v>
      </c>
    </row>
    <row r="18" spans="1:9" ht="24" thickBot="1" x14ac:dyDescent="0.4">
      <c r="A18" s="9">
        <v>44697</v>
      </c>
      <c r="B18" s="131"/>
      <c r="C18" s="43">
        <f t="shared" si="0"/>
        <v>0</v>
      </c>
      <c r="I18" s="33"/>
    </row>
    <row r="19" spans="1:9" ht="24" thickBot="1" x14ac:dyDescent="0.4">
      <c r="A19" s="9">
        <v>44698</v>
      </c>
      <c r="B19" s="131"/>
      <c r="C19" s="43">
        <f t="shared" si="0"/>
        <v>0</v>
      </c>
    </row>
    <row r="20" spans="1:9" ht="24" thickBot="1" x14ac:dyDescent="0.4">
      <c r="A20" s="9">
        <v>44699</v>
      </c>
      <c r="B20" s="131"/>
      <c r="C20" s="43">
        <f t="shared" si="0"/>
        <v>0</v>
      </c>
    </row>
    <row r="21" spans="1:9" ht="24" thickBot="1" x14ac:dyDescent="0.4">
      <c r="A21" s="9">
        <v>44700</v>
      </c>
      <c r="B21" s="131"/>
      <c r="C21" s="43">
        <f t="shared" si="0"/>
        <v>0</v>
      </c>
    </row>
    <row r="22" spans="1:9" ht="24" thickBot="1" x14ac:dyDescent="0.4">
      <c r="A22" s="9">
        <v>44701</v>
      </c>
      <c r="B22" s="131"/>
      <c r="C22" s="43">
        <f t="shared" si="0"/>
        <v>0</v>
      </c>
    </row>
    <row r="23" spans="1:9" ht="24" thickBot="1" x14ac:dyDescent="0.4">
      <c r="A23" s="9">
        <v>44702</v>
      </c>
      <c r="B23" s="131"/>
      <c r="C23" s="43">
        <f t="shared" si="0"/>
        <v>0</v>
      </c>
      <c r="F23" t="s">
        <v>12</v>
      </c>
    </row>
    <row r="24" spans="1:9" ht="24" thickBot="1" x14ac:dyDescent="0.4">
      <c r="A24" s="9">
        <v>44703</v>
      </c>
      <c r="B24" s="131"/>
      <c r="C24" s="43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15980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/>
      <c r="C10" s="42" t="str">
        <f t="shared" si="22"/>
        <v>0</v>
      </c>
      <c r="D10" s="26">
        <f t="shared" si="23"/>
        <v>0</v>
      </c>
      <c r="E10" s="157"/>
      <c r="F10" s="42" t="str">
        <f t="shared" si="24"/>
        <v>0</v>
      </c>
      <c r="G10" s="26">
        <f t="shared" si="25"/>
        <v>0</v>
      </c>
      <c r="H10" s="157"/>
      <c r="I10" s="42" t="str">
        <f t="shared" si="26"/>
        <v>0</v>
      </c>
      <c r="J10" s="26">
        <f t="shared" si="27"/>
        <v>0</v>
      </c>
      <c r="K10" s="7"/>
      <c r="L10" s="42" t="str">
        <f t="shared" si="28"/>
        <v>0</v>
      </c>
      <c r="M10" s="26">
        <f t="shared" si="29"/>
        <v>0</v>
      </c>
      <c r="N10" s="157"/>
      <c r="O10" s="42" t="str">
        <f>IF((N10-N9)&lt;0,"0",(N10-N9))</f>
        <v>0</v>
      </c>
      <c r="P10" s="26">
        <f t="shared" si="31"/>
        <v>0</v>
      </c>
      <c r="Q10" s="157"/>
      <c r="R10" s="42" t="str">
        <f t="shared" si="32"/>
        <v>0</v>
      </c>
      <c r="S10" s="26">
        <f t="shared" si="33"/>
        <v>0</v>
      </c>
      <c r="T10" s="8">
        <f t="shared" si="35"/>
        <v>0</v>
      </c>
      <c r="U10" s="28">
        <f t="shared" si="34"/>
        <v>0</v>
      </c>
      <c r="W10" s="154">
        <v>44689</v>
      </c>
      <c r="X10" s="155"/>
      <c r="Y10" s="160" t="str">
        <f t="shared" si="21"/>
        <v>0</v>
      </c>
      <c r="Z10" s="155"/>
      <c r="AA10" s="160" t="str">
        <f t="shared" si="21"/>
        <v>0</v>
      </c>
      <c r="AB10" s="155"/>
      <c r="AC10" s="160" t="str">
        <f t="shared" si="21"/>
        <v>0</v>
      </c>
      <c r="AD10" s="155"/>
      <c r="AE10" s="160" t="str">
        <f t="shared" si="21"/>
        <v>0</v>
      </c>
      <c r="AF10" s="155"/>
      <c r="AG10" s="160" t="str">
        <f t="shared" si="21"/>
        <v>0</v>
      </c>
    </row>
    <row r="11" spans="1:33" ht="16.5" thickBot="1" x14ac:dyDescent="0.25">
      <c r="A11" s="9">
        <v>44690</v>
      </c>
      <c r="B11" s="157"/>
      <c r="C11" s="42">
        <f t="shared" si="22"/>
        <v>0</v>
      </c>
      <c r="D11" s="26">
        <f t="shared" si="23"/>
        <v>0</v>
      </c>
      <c r="E11" s="157"/>
      <c r="F11" s="42">
        <f t="shared" si="24"/>
        <v>0</v>
      </c>
      <c r="G11" s="26">
        <f t="shared" si="25"/>
        <v>0</v>
      </c>
      <c r="H11" s="157"/>
      <c r="I11" s="42">
        <f t="shared" si="26"/>
        <v>0</v>
      </c>
      <c r="J11" s="26">
        <f t="shared" si="27"/>
        <v>0</v>
      </c>
      <c r="K11" s="7"/>
      <c r="L11" s="42">
        <f t="shared" si="28"/>
        <v>0</v>
      </c>
      <c r="M11" s="26">
        <f t="shared" si="29"/>
        <v>0</v>
      </c>
      <c r="N11" s="157"/>
      <c r="O11" s="42">
        <f t="shared" si="30"/>
        <v>0</v>
      </c>
      <c r="P11" s="26">
        <f t="shared" si="31"/>
        <v>0</v>
      </c>
      <c r="Q11" s="157"/>
      <c r="R11" s="42">
        <f t="shared" si="32"/>
        <v>0</v>
      </c>
      <c r="S11" s="26">
        <f t="shared" si="33"/>
        <v>0</v>
      </c>
      <c r="T11" s="8">
        <f t="shared" si="35"/>
        <v>0</v>
      </c>
      <c r="U11" s="28">
        <f t="shared" si="34"/>
        <v>0</v>
      </c>
      <c r="W11" s="154">
        <v>44690</v>
      </c>
      <c r="X11" s="155"/>
      <c r="Y11" s="160">
        <f t="shared" si="21"/>
        <v>0</v>
      </c>
      <c r="Z11" s="155"/>
      <c r="AA11" s="160">
        <f t="shared" si="21"/>
        <v>0</v>
      </c>
      <c r="AB11" s="155"/>
      <c r="AC11" s="160">
        <f t="shared" si="21"/>
        <v>0</v>
      </c>
      <c r="AD11" s="155"/>
      <c r="AE11" s="160">
        <f t="shared" si="21"/>
        <v>0</v>
      </c>
      <c r="AF11" s="155"/>
      <c r="AG11" s="160">
        <f t="shared" si="21"/>
        <v>0</v>
      </c>
    </row>
    <row r="12" spans="1:33" ht="16.5" thickBot="1" x14ac:dyDescent="0.25">
      <c r="A12" s="9">
        <v>44691</v>
      </c>
      <c r="B12" s="157"/>
      <c r="C12" s="42">
        <f t="shared" si="22"/>
        <v>0</v>
      </c>
      <c r="D12" s="26">
        <f t="shared" si="23"/>
        <v>0</v>
      </c>
      <c r="E12" s="157"/>
      <c r="F12" s="42">
        <f t="shared" si="24"/>
        <v>0</v>
      </c>
      <c r="G12" s="26">
        <f t="shared" si="25"/>
        <v>0</v>
      </c>
      <c r="H12" s="157"/>
      <c r="I12" s="42">
        <f t="shared" si="26"/>
        <v>0</v>
      </c>
      <c r="J12" s="26">
        <f t="shared" si="27"/>
        <v>0</v>
      </c>
      <c r="K12" s="7"/>
      <c r="L12" s="42">
        <f t="shared" si="28"/>
        <v>0</v>
      </c>
      <c r="M12" s="26">
        <f t="shared" si="29"/>
        <v>0</v>
      </c>
      <c r="N12" s="157"/>
      <c r="O12" s="42">
        <f t="shared" si="30"/>
        <v>0</v>
      </c>
      <c r="P12" s="26">
        <f t="shared" si="31"/>
        <v>0</v>
      </c>
      <c r="Q12" s="157"/>
      <c r="R12" s="42">
        <f t="shared" si="32"/>
        <v>0</v>
      </c>
      <c r="S12" s="26">
        <f t="shared" si="33"/>
        <v>0</v>
      </c>
      <c r="T12" s="8">
        <f t="shared" si="35"/>
        <v>0</v>
      </c>
      <c r="U12" s="28">
        <f t="shared" si="34"/>
        <v>0</v>
      </c>
      <c r="W12" s="154">
        <v>44691</v>
      </c>
      <c r="X12" s="155"/>
      <c r="Y12" s="160">
        <f t="shared" si="21"/>
        <v>0</v>
      </c>
      <c r="Z12" s="155"/>
      <c r="AA12" s="160">
        <f t="shared" si="21"/>
        <v>0</v>
      </c>
      <c r="AB12" s="155"/>
      <c r="AC12" s="160">
        <f t="shared" si="21"/>
        <v>0</v>
      </c>
      <c r="AD12" s="155"/>
      <c r="AE12" s="160">
        <f t="shared" si="21"/>
        <v>0</v>
      </c>
      <c r="AF12" s="155"/>
      <c r="AG12" s="160">
        <f t="shared" si="21"/>
        <v>0</v>
      </c>
    </row>
    <row r="13" spans="1:33" ht="16.5" thickBot="1" x14ac:dyDescent="0.25">
      <c r="A13" s="9">
        <v>44692</v>
      </c>
      <c r="B13" s="157"/>
      <c r="C13" s="42">
        <f t="shared" si="22"/>
        <v>0</v>
      </c>
      <c r="D13" s="26">
        <f t="shared" si="23"/>
        <v>0</v>
      </c>
      <c r="E13" s="157"/>
      <c r="F13" s="42">
        <f t="shared" si="24"/>
        <v>0</v>
      </c>
      <c r="G13" s="26">
        <f t="shared" si="25"/>
        <v>0</v>
      </c>
      <c r="H13" s="157"/>
      <c r="I13" s="42">
        <f t="shared" si="26"/>
        <v>0</v>
      </c>
      <c r="J13" s="26">
        <f t="shared" si="27"/>
        <v>0</v>
      </c>
      <c r="K13" s="7"/>
      <c r="L13" s="42">
        <f t="shared" si="28"/>
        <v>0</v>
      </c>
      <c r="M13" s="26">
        <f t="shared" si="29"/>
        <v>0</v>
      </c>
      <c r="N13" s="157"/>
      <c r="O13" s="42">
        <f t="shared" si="30"/>
        <v>0</v>
      </c>
      <c r="P13" s="26">
        <f t="shared" si="31"/>
        <v>0</v>
      </c>
      <c r="Q13" s="157"/>
      <c r="R13" s="42">
        <f t="shared" si="32"/>
        <v>0</v>
      </c>
      <c r="S13" s="26">
        <f t="shared" si="33"/>
        <v>0</v>
      </c>
      <c r="T13" s="8">
        <f t="shared" si="35"/>
        <v>0</v>
      </c>
      <c r="U13" s="28">
        <f t="shared" si="34"/>
        <v>0</v>
      </c>
      <c r="W13" s="154">
        <v>44692</v>
      </c>
      <c r="X13" s="155"/>
      <c r="Y13" s="160">
        <f t="shared" si="21"/>
        <v>0</v>
      </c>
      <c r="Z13" s="155"/>
      <c r="AA13" s="160">
        <f t="shared" si="21"/>
        <v>0</v>
      </c>
      <c r="AB13" s="155"/>
      <c r="AC13" s="160">
        <f t="shared" si="21"/>
        <v>0</v>
      </c>
      <c r="AD13" s="155"/>
      <c r="AE13" s="160">
        <f t="shared" si="21"/>
        <v>0</v>
      </c>
      <c r="AF13" s="155"/>
      <c r="AG13" s="160">
        <f t="shared" si="21"/>
        <v>0</v>
      </c>
    </row>
    <row r="14" spans="1:33" ht="16.5" thickBot="1" x14ac:dyDescent="0.25">
      <c r="A14" s="9">
        <v>44693</v>
      </c>
      <c r="B14" s="157"/>
      <c r="C14" s="42">
        <f t="shared" si="22"/>
        <v>0</v>
      </c>
      <c r="D14" s="26">
        <f t="shared" si="23"/>
        <v>0</v>
      </c>
      <c r="E14" s="157"/>
      <c r="F14" s="42">
        <f t="shared" si="24"/>
        <v>0</v>
      </c>
      <c r="G14" s="26">
        <f t="shared" si="25"/>
        <v>0</v>
      </c>
      <c r="H14" s="157"/>
      <c r="I14" s="42">
        <f t="shared" si="26"/>
        <v>0</v>
      </c>
      <c r="J14" s="26">
        <f t="shared" si="27"/>
        <v>0</v>
      </c>
      <c r="K14" s="7"/>
      <c r="L14" s="42">
        <f t="shared" si="28"/>
        <v>0</v>
      </c>
      <c r="M14" s="26">
        <f t="shared" si="29"/>
        <v>0</v>
      </c>
      <c r="N14" s="157"/>
      <c r="O14" s="42">
        <f>IF((N14-N13)&lt;0,"0",(N14-N13))</f>
        <v>0</v>
      </c>
      <c r="P14" s="26">
        <f t="shared" si="31"/>
        <v>0</v>
      </c>
      <c r="Q14" s="157"/>
      <c r="R14" s="42">
        <f t="shared" si="32"/>
        <v>0</v>
      </c>
      <c r="S14" s="26">
        <f t="shared" si="33"/>
        <v>0</v>
      </c>
      <c r="T14" s="8">
        <f t="shared" si="35"/>
        <v>0</v>
      </c>
      <c r="U14" s="28">
        <f t="shared" si="34"/>
        <v>0</v>
      </c>
      <c r="W14" s="154">
        <v>44693</v>
      </c>
      <c r="X14" s="155"/>
      <c r="Y14" s="160">
        <f t="shared" si="21"/>
        <v>0</v>
      </c>
      <c r="Z14" s="155"/>
      <c r="AA14" s="160">
        <f t="shared" si="21"/>
        <v>0</v>
      </c>
      <c r="AB14" s="155"/>
      <c r="AC14" s="160">
        <f t="shared" si="21"/>
        <v>0</v>
      </c>
      <c r="AD14" s="155"/>
      <c r="AE14" s="160">
        <f t="shared" si="21"/>
        <v>0</v>
      </c>
      <c r="AF14" s="155"/>
      <c r="AG14" s="160">
        <f t="shared" si="21"/>
        <v>0</v>
      </c>
    </row>
    <row r="15" spans="1:33" ht="16.5" thickBot="1" x14ac:dyDescent="0.25">
      <c r="A15" s="9">
        <v>44694</v>
      </c>
      <c r="B15" s="157"/>
      <c r="C15" s="42">
        <f t="shared" ref="C15" si="36">IF((B15-B14)&lt;0,"0",(B15-B14))</f>
        <v>0</v>
      </c>
      <c r="D15" s="26">
        <f t="shared" ref="D15" si="37">C15*1.9*1000</f>
        <v>0</v>
      </c>
      <c r="E15" s="157"/>
      <c r="F15" s="42">
        <f t="shared" ref="F15" si="38">IF((E15-E14)&lt;0,"0",(E15-E14))</f>
        <v>0</v>
      </c>
      <c r="G15" s="26">
        <f t="shared" ref="G15" si="39">F15*1.9*1000</f>
        <v>0</v>
      </c>
      <c r="H15" s="157"/>
      <c r="I15" s="42">
        <f t="shared" ref="I15" si="40">IF((H15-H14)&lt;0,"0",(H15-H14))</f>
        <v>0</v>
      </c>
      <c r="J15" s="26">
        <f t="shared" ref="J15" si="41">I15*1.9*1000</f>
        <v>0</v>
      </c>
      <c r="K15" s="7"/>
      <c r="L15" s="42">
        <f t="shared" ref="L15" si="42">IF((K15-K14)&lt;0,"0",(K15-K14))</f>
        <v>0</v>
      </c>
      <c r="M15" s="26">
        <f t="shared" ref="M15" si="43">L15*1.9*1000</f>
        <v>0</v>
      </c>
      <c r="N15" s="157"/>
      <c r="O15" s="42">
        <f>IF((N15-N14)&lt;0,"0",(N15-N14))</f>
        <v>0</v>
      </c>
      <c r="P15" s="26">
        <f t="shared" ref="P15" si="44">O15*1.9*1000</f>
        <v>0</v>
      </c>
      <c r="Q15" s="157"/>
      <c r="R15" s="42">
        <f t="shared" ref="R15" si="45">IF((Q15-Q14)&lt;0,"0",(Q15-Q14))</f>
        <v>0</v>
      </c>
      <c r="S15" s="26">
        <f t="shared" ref="S15" si="46">R15*1.9*1000</f>
        <v>0</v>
      </c>
      <c r="T15" s="8">
        <f t="shared" ref="T15" si="47">C15+F15+I15+L15+O15+R15</f>
        <v>0</v>
      </c>
      <c r="U15" s="28">
        <f t="shared" ref="U15" si="48">T15*1.9*1000</f>
        <v>0</v>
      </c>
      <c r="W15" s="154">
        <v>44694</v>
      </c>
      <c r="X15" s="155"/>
      <c r="Y15" s="160">
        <f t="shared" si="21"/>
        <v>0</v>
      </c>
      <c r="Z15" s="155"/>
      <c r="AA15" s="160">
        <f t="shared" si="21"/>
        <v>0</v>
      </c>
      <c r="AB15" s="155"/>
      <c r="AC15" s="160">
        <f t="shared" si="21"/>
        <v>0</v>
      </c>
      <c r="AD15" s="155"/>
      <c r="AE15" s="160">
        <f t="shared" si="21"/>
        <v>0</v>
      </c>
      <c r="AF15" s="155"/>
      <c r="AG15" s="160">
        <f t="shared" si="21"/>
        <v>0</v>
      </c>
    </row>
    <row r="16" spans="1:33" ht="16.5" thickBot="1" x14ac:dyDescent="0.25">
      <c r="A16" s="9">
        <v>44695</v>
      </c>
      <c r="B16" s="157"/>
      <c r="C16" s="42">
        <f t="shared" si="22"/>
        <v>0</v>
      </c>
      <c r="D16" s="26">
        <f t="shared" si="23"/>
        <v>0</v>
      </c>
      <c r="E16" s="157"/>
      <c r="F16" s="42">
        <f t="shared" si="24"/>
        <v>0</v>
      </c>
      <c r="G16" s="26">
        <f t="shared" si="25"/>
        <v>0</v>
      </c>
      <c r="H16" s="157"/>
      <c r="I16" s="42">
        <f t="shared" si="26"/>
        <v>0</v>
      </c>
      <c r="J16" s="26">
        <f t="shared" si="27"/>
        <v>0</v>
      </c>
      <c r="K16" s="7"/>
      <c r="L16" s="42">
        <f t="shared" si="28"/>
        <v>0</v>
      </c>
      <c r="M16" s="26">
        <f t="shared" si="29"/>
        <v>0</v>
      </c>
      <c r="N16" s="157"/>
      <c r="O16" s="42">
        <f t="shared" si="30"/>
        <v>0</v>
      </c>
      <c r="P16" s="26">
        <f t="shared" si="31"/>
        <v>0</v>
      </c>
      <c r="Q16" s="157"/>
      <c r="R16" s="42">
        <f t="shared" si="32"/>
        <v>0</v>
      </c>
      <c r="S16" s="26">
        <f t="shared" si="33"/>
        <v>0</v>
      </c>
      <c r="T16" s="8">
        <f t="shared" si="35"/>
        <v>0</v>
      </c>
      <c r="U16" s="28">
        <f t="shared" si="34"/>
        <v>0</v>
      </c>
      <c r="W16" s="154">
        <v>44695</v>
      </c>
      <c r="X16" s="155"/>
      <c r="Y16" s="160">
        <f t="shared" si="21"/>
        <v>0</v>
      </c>
      <c r="Z16" s="155"/>
      <c r="AA16" s="160">
        <f t="shared" si="21"/>
        <v>0</v>
      </c>
      <c r="AB16" s="155"/>
      <c r="AC16" s="160">
        <f t="shared" si="21"/>
        <v>0</v>
      </c>
      <c r="AD16" s="155"/>
      <c r="AE16" s="160">
        <f t="shared" si="21"/>
        <v>0</v>
      </c>
      <c r="AF16" s="155"/>
      <c r="AG16" s="160">
        <f t="shared" si="21"/>
        <v>0</v>
      </c>
    </row>
    <row r="17" spans="1:33" ht="16.5" thickBot="1" x14ac:dyDescent="0.25">
      <c r="A17" s="9">
        <v>44696</v>
      </c>
      <c r="B17" s="157"/>
      <c r="C17" s="42">
        <f t="shared" si="22"/>
        <v>0</v>
      </c>
      <c r="D17" s="26">
        <f t="shared" si="23"/>
        <v>0</v>
      </c>
      <c r="E17" s="157"/>
      <c r="F17" s="42">
        <f t="shared" si="24"/>
        <v>0</v>
      </c>
      <c r="G17" s="26">
        <f t="shared" si="25"/>
        <v>0</v>
      </c>
      <c r="H17" s="157"/>
      <c r="I17" s="42">
        <f t="shared" si="26"/>
        <v>0</v>
      </c>
      <c r="J17" s="26">
        <f t="shared" si="27"/>
        <v>0</v>
      </c>
      <c r="K17" s="7"/>
      <c r="L17" s="42">
        <f t="shared" si="28"/>
        <v>0</v>
      </c>
      <c r="M17" s="26">
        <f t="shared" si="29"/>
        <v>0</v>
      </c>
      <c r="N17" s="157"/>
      <c r="O17" s="42">
        <f t="shared" si="30"/>
        <v>0</v>
      </c>
      <c r="P17" s="26">
        <f t="shared" si="31"/>
        <v>0</v>
      </c>
      <c r="Q17" s="157"/>
      <c r="R17" s="42">
        <f t="shared" si="32"/>
        <v>0</v>
      </c>
      <c r="S17" s="26">
        <f t="shared" si="33"/>
        <v>0</v>
      </c>
      <c r="T17" s="8">
        <f t="shared" si="35"/>
        <v>0</v>
      </c>
      <c r="U17" s="28">
        <f t="shared" si="34"/>
        <v>0</v>
      </c>
      <c r="W17" s="154">
        <v>44696</v>
      </c>
      <c r="X17" s="155"/>
      <c r="Y17" s="160">
        <f t="shared" si="21"/>
        <v>0</v>
      </c>
      <c r="Z17" s="155"/>
      <c r="AA17" s="160">
        <f t="shared" si="21"/>
        <v>0</v>
      </c>
      <c r="AB17" s="155"/>
      <c r="AC17" s="160">
        <f t="shared" si="21"/>
        <v>0</v>
      </c>
      <c r="AD17" s="155"/>
      <c r="AE17" s="160">
        <f t="shared" si="21"/>
        <v>0</v>
      </c>
      <c r="AF17" s="155"/>
      <c r="AG17" s="160">
        <f t="shared" si="21"/>
        <v>0</v>
      </c>
    </row>
    <row r="18" spans="1:33" ht="16.5" thickBot="1" x14ac:dyDescent="0.25">
      <c r="A18" s="9">
        <v>44697</v>
      </c>
      <c r="B18" s="157"/>
      <c r="C18" s="42">
        <f t="shared" si="22"/>
        <v>0</v>
      </c>
      <c r="D18" s="26">
        <f t="shared" si="23"/>
        <v>0</v>
      </c>
      <c r="E18" s="157"/>
      <c r="F18" s="42">
        <f t="shared" si="24"/>
        <v>0</v>
      </c>
      <c r="G18" s="26">
        <f t="shared" si="25"/>
        <v>0</v>
      </c>
      <c r="H18" s="157"/>
      <c r="I18" s="42">
        <f t="shared" si="26"/>
        <v>0</v>
      </c>
      <c r="J18" s="26">
        <f t="shared" si="27"/>
        <v>0</v>
      </c>
      <c r="K18" s="7"/>
      <c r="L18" s="42">
        <f t="shared" si="28"/>
        <v>0</v>
      </c>
      <c r="M18" s="26">
        <f t="shared" si="29"/>
        <v>0</v>
      </c>
      <c r="N18" s="157"/>
      <c r="O18" s="42">
        <f t="shared" si="30"/>
        <v>0</v>
      </c>
      <c r="P18" s="26">
        <f t="shared" si="31"/>
        <v>0</v>
      </c>
      <c r="Q18" s="157"/>
      <c r="R18" s="42">
        <f t="shared" si="32"/>
        <v>0</v>
      </c>
      <c r="S18" s="26">
        <f t="shared" si="33"/>
        <v>0</v>
      </c>
      <c r="T18" s="8">
        <f t="shared" si="35"/>
        <v>0</v>
      </c>
      <c r="U18" s="28">
        <f t="shared" si="34"/>
        <v>0</v>
      </c>
      <c r="W18" s="154">
        <v>44697</v>
      </c>
      <c r="X18" s="155"/>
      <c r="Y18" s="160">
        <f t="shared" si="21"/>
        <v>0</v>
      </c>
      <c r="Z18" s="155"/>
      <c r="AA18" s="160">
        <f t="shared" si="21"/>
        <v>0</v>
      </c>
      <c r="AB18" s="155"/>
      <c r="AC18" s="160">
        <f t="shared" si="21"/>
        <v>0</v>
      </c>
      <c r="AD18" s="155"/>
      <c r="AE18" s="160">
        <f t="shared" si="21"/>
        <v>0</v>
      </c>
      <c r="AF18" s="155"/>
      <c r="AG18" s="160">
        <f t="shared" si="21"/>
        <v>0</v>
      </c>
    </row>
    <row r="19" spans="1:33" ht="16.5" thickBot="1" x14ac:dyDescent="0.25">
      <c r="A19" s="9">
        <v>44698</v>
      </c>
      <c r="B19" s="157"/>
      <c r="C19" s="42">
        <f t="shared" si="22"/>
        <v>0</v>
      </c>
      <c r="D19" s="26">
        <f t="shared" si="23"/>
        <v>0</v>
      </c>
      <c r="E19" s="157"/>
      <c r="F19" s="42">
        <f t="shared" si="24"/>
        <v>0</v>
      </c>
      <c r="G19" s="26">
        <f t="shared" si="25"/>
        <v>0</v>
      </c>
      <c r="H19" s="157"/>
      <c r="I19" s="42">
        <f t="shared" si="26"/>
        <v>0</v>
      </c>
      <c r="J19" s="26">
        <f t="shared" si="27"/>
        <v>0</v>
      </c>
      <c r="K19" s="7"/>
      <c r="L19" s="42">
        <f t="shared" si="28"/>
        <v>0</v>
      </c>
      <c r="M19" s="26">
        <f t="shared" si="29"/>
        <v>0</v>
      </c>
      <c r="N19" s="157"/>
      <c r="O19" s="42">
        <f t="shared" si="30"/>
        <v>0</v>
      </c>
      <c r="P19" s="26">
        <f t="shared" si="31"/>
        <v>0</v>
      </c>
      <c r="Q19" s="157"/>
      <c r="R19" s="42">
        <f t="shared" si="32"/>
        <v>0</v>
      </c>
      <c r="S19" s="26">
        <f t="shared" si="33"/>
        <v>0</v>
      </c>
      <c r="T19" s="8">
        <f t="shared" si="35"/>
        <v>0</v>
      </c>
      <c r="U19" s="28">
        <f t="shared" si="34"/>
        <v>0</v>
      </c>
      <c r="W19" s="154">
        <v>44698</v>
      </c>
      <c r="X19" s="155"/>
      <c r="Y19" s="160">
        <f t="shared" si="21"/>
        <v>0</v>
      </c>
      <c r="Z19" s="155"/>
      <c r="AA19" s="160">
        <f t="shared" si="21"/>
        <v>0</v>
      </c>
      <c r="AB19" s="155"/>
      <c r="AC19" s="160">
        <f t="shared" si="21"/>
        <v>0</v>
      </c>
      <c r="AD19" s="155"/>
      <c r="AE19" s="160">
        <f t="shared" si="21"/>
        <v>0</v>
      </c>
      <c r="AF19" s="155"/>
      <c r="AG19" s="160">
        <f t="shared" si="21"/>
        <v>0</v>
      </c>
    </row>
    <row r="20" spans="1:33" ht="16.5" thickBot="1" x14ac:dyDescent="0.25">
      <c r="A20" s="9">
        <v>44699</v>
      </c>
      <c r="B20" s="157"/>
      <c r="C20" s="42">
        <f t="shared" si="22"/>
        <v>0</v>
      </c>
      <c r="D20" s="26">
        <f t="shared" si="23"/>
        <v>0</v>
      </c>
      <c r="E20" s="157"/>
      <c r="F20" s="42">
        <f t="shared" si="24"/>
        <v>0</v>
      </c>
      <c r="G20" s="26">
        <f t="shared" si="25"/>
        <v>0</v>
      </c>
      <c r="H20" s="157"/>
      <c r="I20" s="42">
        <f t="shared" si="26"/>
        <v>0</v>
      </c>
      <c r="J20" s="26">
        <f t="shared" si="27"/>
        <v>0</v>
      </c>
      <c r="K20" s="7"/>
      <c r="L20" s="42">
        <f t="shared" si="28"/>
        <v>0</v>
      </c>
      <c r="M20" s="26">
        <f t="shared" si="29"/>
        <v>0</v>
      </c>
      <c r="N20" s="157"/>
      <c r="O20" s="42">
        <f t="shared" si="30"/>
        <v>0</v>
      </c>
      <c r="P20" s="26">
        <f t="shared" si="31"/>
        <v>0</v>
      </c>
      <c r="Q20" s="157"/>
      <c r="R20" s="42">
        <f t="shared" si="32"/>
        <v>0</v>
      </c>
      <c r="S20" s="26">
        <f t="shared" si="33"/>
        <v>0</v>
      </c>
      <c r="T20" s="8">
        <f t="shared" si="35"/>
        <v>0</v>
      </c>
      <c r="U20" s="28">
        <f t="shared" si="34"/>
        <v>0</v>
      </c>
      <c r="W20" s="154">
        <v>44699</v>
      </c>
      <c r="X20" s="155"/>
      <c r="Y20" s="160">
        <f t="shared" si="21"/>
        <v>0</v>
      </c>
      <c r="Z20" s="155"/>
      <c r="AA20" s="160">
        <f t="shared" si="21"/>
        <v>0</v>
      </c>
      <c r="AB20" s="155"/>
      <c r="AC20" s="160">
        <f t="shared" si="21"/>
        <v>0</v>
      </c>
      <c r="AD20" s="155"/>
      <c r="AE20" s="160">
        <f t="shared" si="21"/>
        <v>0</v>
      </c>
      <c r="AF20" s="155"/>
      <c r="AG20" s="160">
        <f t="shared" si="21"/>
        <v>0</v>
      </c>
    </row>
    <row r="21" spans="1:33" ht="16.5" thickBot="1" x14ac:dyDescent="0.25">
      <c r="A21" s="9">
        <v>44700</v>
      </c>
      <c r="B21" s="157"/>
      <c r="C21" s="42">
        <f t="shared" si="22"/>
        <v>0</v>
      </c>
      <c r="D21" s="26">
        <f t="shared" si="23"/>
        <v>0</v>
      </c>
      <c r="E21" s="157"/>
      <c r="F21" s="42">
        <f t="shared" si="24"/>
        <v>0</v>
      </c>
      <c r="G21" s="26">
        <f t="shared" si="25"/>
        <v>0</v>
      </c>
      <c r="H21" s="157"/>
      <c r="I21" s="42">
        <f t="shared" si="26"/>
        <v>0</v>
      </c>
      <c r="J21" s="26">
        <f t="shared" si="27"/>
        <v>0</v>
      </c>
      <c r="K21" s="7"/>
      <c r="L21" s="42">
        <f t="shared" si="28"/>
        <v>0</v>
      </c>
      <c r="M21" s="26">
        <f t="shared" si="29"/>
        <v>0</v>
      </c>
      <c r="N21" s="157"/>
      <c r="O21" s="42">
        <f t="shared" si="30"/>
        <v>0</v>
      </c>
      <c r="P21" s="26">
        <f t="shared" si="31"/>
        <v>0</v>
      </c>
      <c r="Q21" s="157"/>
      <c r="R21" s="42">
        <f t="shared" si="32"/>
        <v>0</v>
      </c>
      <c r="S21" s="26">
        <f t="shared" si="33"/>
        <v>0</v>
      </c>
      <c r="T21" s="8">
        <f t="shared" si="35"/>
        <v>0</v>
      </c>
      <c r="U21" s="28">
        <f t="shared" si="34"/>
        <v>0</v>
      </c>
      <c r="W21" s="154">
        <v>44700</v>
      </c>
      <c r="X21" s="155"/>
      <c r="Y21" s="160">
        <f t="shared" si="21"/>
        <v>0</v>
      </c>
      <c r="Z21" s="155"/>
      <c r="AA21" s="160">
        <f t="shared" si="21"/>
        <v>0</v>
      </c>
      <c r="AB21" s="155"/>
      <c r="AC21" s="160">
        <f t="shared" si="21"/>
        <v>0</v>
      </c>
      <c r="AD21" s="155"/>
      <c r="AE21" s="160">
        <f t="shared" si="21"/>
        <v>0</v>
      </c>
      <c r="AF21" s="155"/>
      <c r="AG21" s="160">
        <f t="shared" si="21"/>
        <v>0</v>
      </c>
    </row>
    <row r="22" spans="1:33" ht="16.5" thickBot="1" x14ac:dyDescent="0.25">
      <c r="A22" s="9">
        <v>44701</v>
      </c>
      <c r="B22" s="157"/>
      <c r="C22" s="42">
        <f t="shared" si="22"/>
        <v>0</v>
      </c>
      <c r="D22" s="26">
        <f t="shared" si="23"/>
        <v>0</v>
      </c>
      <c r="E22" s="157"/>
      <c r="F22" s="42">
        <f t="shared" si="24"/>
        <v>0</v>
      </c>
      <c r="G22" s="26">
        <f t="shared" si="25"/>
        <v>0</v>
      </c>
      <c r="H22" s="157"/>
      <c r="I22" s="42">
        <f t="shared" si="26"/>
        <v>0</v>
      </c>
      <c r="J22" s="26">
        <f t="shared" si="27"/>
        <v>0</v>
      </c>
      <c r="K22" s="7"/>
      <c r="L22" s="42">
        <f t="shared" si="28"/>
        <v>0</v>
      </c>
      <c r="M22" s="26">
        <f t="shared" si="29"/>
        <v>0</v>
      </c>
      <c r="N22" s="157"/>
      <c r="O22" s="42">
        <f t="shared" si="30"/>
        <v>0</v>
      </c>
      <c r="P22" s="26">
        <f t="shared" si="31"/>
        <v>0</v>
      </c>
      <c r="Q22" s="157"/>
      <c r="R22" s="42">
        <f t="shared" si="32"/>
        <v>0</v>
      </c>
      <c r="S22" s="26">
        <f t="shared" si="33"/>
        <v>0</v>
      </c>
      <c r="T22" s="8">
        <f t="shared" si="35"/>
        <v>0</v>
      </c>
      <c r="U22" s="28">
        <f t="shared" si="34"/>
        <v>0</v>
      </c>
      <c r="W22" s="154">
        <v>44701</v>
      </c>
      <c r="X22" s="155"/>
      <c r="Y22" s="160">
        <f t="shared" si="21"/>
        <v>0</v>
      </c>
      <c r="Z22" s="155"/>
      <c r="AA22" s="160">
        <f t="shared" si="21"/>
        <v>0</v>
      </c>
      <c r="AB22" s="155"/>
      <c r="AC22" s="160">
        <f t="shared" si="21"/>
        <v>0</v>
      </c>
      <c r="AD22" s="155"/>
      <c r="AE22" s="160">
        <f t="shared" si="21"/>
        <v>0</v>
      </c>
      <c r="AF22" s="155"/>
      <c r="AG22" s="160">
        <f t="shared" si="21"/>
        <v>0</v>
      </c>
    </row>
    <row r="23" spans="1:33" ht="16.5" thickBot="1" x14ac:dyDescent="0.25">
      <c r="A23" s="9">
        <v>44702</v>
      </c>
      <c r="B23" s="157"/>
      <c r="C23" s="42">
        <f t="shared" si="22"/>
        <v>0</v>
      </c>
      <c r="D23" s="26">
        <f t="shared" si="23"/>
        <v>0</v>
      </c>
      <c r="E23" s="157"/>
      <c r="F23" s="42">
        <f t="shared" si="24"/>
        <v>0</v>
      </c>
      <c r="G23" s="26">
        <f t="shared" si="25"/>
        <v>0</v>
      </c>
      <c r="H23" s="157"/>
      <c r="I23" s="42">
        <f t="shared" si="26"/>
        <v>0</v>
      </c>
      <c r="J23" s="26">
        <f t="shared" si="27"/>
        <v>0</v>
      </c>
      <c r="K23" s="7"/>
      <c r="L23" s="42">
        <f t="shared" si="28"/>
        <v>0</v>
      </c>
      <c r="M23" s="26">
        <f t="shared" si="29"/>
        <v>0</v>
      </c>
      <c r="N23" s="157"/>
      <c r="O23" s="42">
        <f t="shared" si="30"/>
        <v>0</v>
      </c>
      <c r="P23" s="26">
        <f t="shared" si="31"/>
        <v>0</v>
      </c>
      <c r="Q23" s="157"/>
      <c r="R23" s="42">
        <f t="shared" si="32"/>
        <v>0</v>
      </c>
      <c r="S23" s="26">
        <f t="shared" si="33"/>
        <v>0</v>
      </c>
      <c r="T23" s="8">
        <f t="shared" si="35"/>
        <v>0</v>
      </c>
      <c r="U23" s="28">
        <f t="shared" si="34"/>
        <v>0</v>
      </c>
      <c r="W23" s="154">
        <v>44702</v>
      </c>
      <c r="X23" s="155"/>
      <c r="Y23" s="160">
        <f t="shared" si="21"/>
        <v>0</v>
      </c>
      <c r="Z23" s="155"/>
      <c r="AA23" s="160">
        <f t="shared" si="21"/>
        <v>0</v>
      </c>
      <c r="AB23" s="155"/>
      <c r="AC23" s="160">
        <f t="shared" si="21"/>
        <v>0</v>
      </c>
      <c r="AD23" s="155"/>
      <c r="AE23" s="160">
        <f t="shared" si="21"/>
        <v>0</v>
      </c>
      <c r="AF23" s="155"/>
      <c r="AG23" s="160">
        <f t="shared" si="21"/>
        <v>0</v>
      </c>
    </row>
    <row r="24" spans="1:33" ht="16.5" thickBot="1" x14ac:dyDescent="0.25">
      <c r="A24" s="9">
        <v>44703</v>
      </c>
      <c r="B24" s="157"/>
      <c r="C24" s="42">
        <f t="shared" si="22"/>
        <v>0</v>
      </c>
      <c r="D24" s="26">
        <f t="shared" si="23"/>
        <v>0</v>
      </c>
      <c r="E24" s="157"/>
      <c r="F24" s="42">
        <f t="shared" si="24"/>
        <v>0</v>
      </c>
      <c r="G24" s="26">
        <f t="shared" si="25"/>
        <v>0</v>
      </c>
      <c r="H24" s="157"/>
      <c r="I24" s="42">
        <f t="shared" si="26"/>
        <v>0</v>
      </c>
      <c r="J24" s="26">
        <f t="shared" si="27"/>
        <v>0</v>
      </c>
      <c r="K24" s="7"/>
      <c r="L24" s="42">
        <f t="shared" si="28"/>
        <v>0</v>
      </c>
      <c r="M24" s="26">
        <f t="shared" si="29"/>
        <v>0</v>
      </c>
      <c r="N24" s="157"/>
      <c r="O24" s="42">
        <f t="shared" si="30"/>
        <v>0</v>
      </c>
      <c r="P24" s="26">
        <f t="shared" si="31"/>
        <v>0</v>
      </c>
      <c r="Q24" s="157"/>
      <c r="R24" s="42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>
        <f t="shared" si="21"/>
        <v>0</v>
      </c>
      <c r="Z24" s="155"/>
      <c r="AA24" s="160">
        <f t="shared" si="21"/>
        <v>0</v>
      </c>
      <c r="AB24" s="155"/>
      <c r="AC24" s="160">
        <f t="shared" si="21"/>
        <v>0</v>
      </c>
      <c r="AD24" s="155"/>
      <c r="AE24" s="160">
        <f t="shared" si="21"/>
        <v>0</v>
      </c>
      <c r="AF24" s="155"/>
      <c r="AG24" s="160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57.781999999999243</v>
      </c>
      <c r="D34" s="135">
        <f>SUM(D3:D32)</f>
        <v>109785.79999999856</v>
      </c>
      <c r="E34" s="135"/>
      <c r="F34" s="42">
        <f>SUM(F2:F32)</f>
        <v>7.1060000000006767</v>
      </c>
      <c r="G34" s="135">
        <f>SUM(G3:G32)</f>
        <v>13501.400000001286</v>
      </c>
      <c r="H34" s="135"/>
      <c r="I34" s="42">
        <f>SUM(I2:I32)</f>
        <v>34</v>
      </c>
      <c r="J34" s="135">
        <f>SUM(J3:J32)</f>
        <v>64600</v>
      </c>
      <c r="K34" s="135"/>
      <c r="L34" s="42">
        <f>SUM(L2:L32)</f>
        <v>10.559999999999491</v>
      </c>
      <c r="M34" s="135">
        <f>SUM(M3:M32)</f>
        <v>20063.999999999032</v>
      </c>
      <c r="N34" s="135"/>
      <c r="O34" s="42">
        <f>SUM(O2:O32)</f>
        <v>10.782999999999902</v>
      </c>
      <c r="P34" s="135">
        <f>SUM(P3:P32)</f>
        <v>20487.699999999815</v>
      </c>
      <c r="Q34" s="135"/>
      <c r="R34" s="42">
        <f>SUM(R3:R32)</f>
        <v>8.4799999999995634</v>
      </c>
      <c r="S34" s="135">
        <f>SUM(S3:S32)</f>
        <v>16111.999999999171</v>
      </c>
      <c r="T34" s="135">
        <f>SUM(T3:T32)</f>
        <v>128.71099999999888</v>
      </c>
      <c r="U34" s="135">
        <f>SUM(U3:U32)</f>
        <v>244550.89999999787</v>
      </c>
      <c r="V34"/>
      <c r="W34" s="135" t="s">
        <v>141</v>
      </c>
      <c r="X34" s="135"/>
      <c r="Y34" s="135">
        <f>SUM(Y2:Y33)</f>
        <v>1013</v>
      </c>
      <c r="Z34" s="135"/>
      <c r="AA34" s="135">
        <f>SUM(AA2:AA33)</f>
        <v>64</v>
      </c>
      <c r="AB34" s="135"/>
      <c r="AC34" s="135">
        <f>SUM(AC2:AC33)</f>
        <v>0</v>
      </c>
      <c r="AD34" s="135"/>
      <c r="AE34" s="135">
        <f>SUM(AE2:AE33)</f>
        <v>14</v>
      </c>
      <c r="AF34" s="135">
        <v>0</v>
      </c>
      <c r="AG34" s="135">
        <f>SUM(AG2:AG33)</f>
        <v>731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62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76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76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78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78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77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77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76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76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78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78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77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77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76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76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78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78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77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77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76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76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78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78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77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77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76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76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78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78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77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77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76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76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78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78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77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77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76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76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78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78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77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77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76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76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78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78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77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77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76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76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78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78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77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77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76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76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78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78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77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77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76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76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78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78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77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77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76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76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78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78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77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77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76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76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78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78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77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77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76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76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78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78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77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77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76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76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78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78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76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76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78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78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76">
        <v>23</v>
      </c>
      <c r="D49" s="59" t="s">
        <v>83</v>
      </c>
      <c r="E49" s="60"/>
      <c r="F49" s="74"/>
      <c r="G49" s="61">
        <f t="shared" si="2"/>
        <v>0</v>
      </c>
      <c r="H49" s="62"/>
      <c r="J49" s="176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78"/>
      <c r="D50" s="59" t="s">
        <v>82</v>
      </c>
      <c r="E50" s="60"/>
      <c r="F50" s="74"/>
      <c r="G50" s="61">
        <f t="shared" si="2"/>
        <v>0</v>
      </c>
      <c r="H50" s="62"/>
      <c r="J50" s="178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79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79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80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80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81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81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76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76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77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77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76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76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77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77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76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76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77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77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76">
        <v>28</v>
      </c>
      <c r="D62" s="185" t="s">
        <v>86</v>
      </c>
      <c r="E62" s="60"/>
      <c r="F62" s="60"/>
      <c r="G62" s="61"/>
      <c r="H62" s="187" t="s">
        <v>87</v>
      </c>
      <c r="I62" s="65"/>
      <c r="J62" s="176">
        <v>28</v>
      </c>
      <c r="K62" s="185" t="s">
        <v>86</v>
      </c>
      <c r="L62" s="60"/>
      <c r="M62" s="60"/>
      <c r="N62" s="61"/>
      <c r="O62" s="187" t="s">
        <v>87</v>
      </c>
    </row>
    <row r="63" spans="1:15" ht="15" x14ac:dyDescent="0.2">
      <c r="A63" s="65"/>
      <c r="B63" s="55"/>
      <c r="C63" s="177"/>
      <c r="D63" s="186"/>
      <c r="E63" s="60"/>
      <c r="F63" s="60"/>
      <c r="G63" s="61"/>
      <c r="H63" s="188"/>
      <c r="I63" s="65"/>
      <c r="J63" s="177"/>
      <c r="K63" s="186"/>
      <c r="L63" s="60"/>
      <c r="M63" s="60"/>
      <c r="N63" s="61"/>
      <c r="O63" s="188"/>
    </row>
    <row r="64" spans="1:15" x14ac:dyDescent="0.2">
      <c r="A64" s="65"/>
      <c r="B64" s="55"/>
      <c r="C64" s="189" t="s">
        <v>88</v>
      </c>
      <c r="D64" s="189"/>
      <c r="E64" s="189"/>
      <c r="F64" s="189"/>
      <c r="G64" s="79">
        <f>SUM(G2:G63)</f>
        <v>35162</v>
      </c>
      <c r="H64" s="80"/>
      <c r="I64" s="65"/>
      <c r="J64" s="189" t="s">
        <v>88</v>
      </c>
      <c r="K64" s="189"/>
      <c r="L64" s="189"/>
      <c r="M64" s="189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90">
        <v>44621</v>
      </c>
      <c r="C69" s="191"/>
      <c r="D69" s="191"/>
      <c r="E69" s="192"/>
      <c r="F69" s="83"/>
      <c r="G69" s="190">
        <v>44652</v>
      </c>
      <c r="H69" s="191"/>
      <c r="I69" s="191"/>
      <c r="J69" s="192"/>
      <c r="K69" s="83"/>
      <c r="L69" s="182" t="s">
        <v>25</v>
      </c>
      <c r="M69" s="183"/>
      <c r="N69" s="183"/>
      <c r="O69" s="184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-16570620</v>
      </c>
      <c r="D7" s="103">
        <f t="shared" si="0"/>
        <v>-21044687.399999999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7800</v>
      </c>
      <c r="D8" s="103">
        <f t="shared" si="0"/>
        <v>9906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1200</v>
      </c>
      <c r="D9" s="103">
        <f t="shared" si="0"/>
        <v>1524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2400</v>
      </c>
      <c r="D10" s="103">
        <f t="shared" si="0"/>
        <v>3048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1052</v>
      </c>
      <c r="D11" s="103">
        <f t="shared" si="0"/>
        <v>1336.04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3983</v>
      </c>
      <c r="K16" s="92">
        <f>(J16-I16)*160</f>
        <v>320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312538</v>
      </c>
      <c r="K17" s="92">
        <f>(J17-I17)</f>
        <v>857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26095</v>
      </c>
      <c r="K18" s="92">
        <f>(J18-I18)*160</f>
        <v>2400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151227</v>
      </c>
      <c r="K19" s="92">
        <f>J19-I19</f>
        <v>1052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46975</v>
      </c>
      <c r="K21" s="92">
        <f>(J21-I21)*120</f>
        <v>3720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40560</v>
      </c>
      <c r="K22" s="92">
        <f>(J22-I22)*160</f>
        <v>3520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21607</v>
      </c>
      <c r="K23" s="92">
        <f>(J23-I23)*20</f>
        <v>440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254849</v>
      </c>
      <c r="K24" s="92">
        <f>J24-I24</f>
        <v>120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225959</v>
      </c>
      <c r="K25" s="92">
        <f>J25-I25</f>
        <v>23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2022-05-08T00:36:46Z</dcterms:modified>
</cp:coreProperties>
</file>