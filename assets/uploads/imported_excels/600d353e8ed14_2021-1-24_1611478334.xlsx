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3" l="1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9" i="23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8" l="1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<sst xmlns="http://schemas.openxmlformats.org/spreadsheetml/2006/main" count="550" uniqueCount="332">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</sst>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0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613824"/>
        <c:axId val="1338245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826048"/>
        <c:axId val="133827584"/>
      </c:lineChart>
      <c:catAx>
        <c:axId val="13361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4512"/>
        <c:crosses val="autoZero"/>
        <c:auto val="1"/>
        <c:lblAlgn val="ctr"/>
        <c:lblOffset val="100"/>
      </c:catAx>
      <c:valAx>
        <c:axId val="1338245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13824"/>
        <c:crosses val="autoZero"/>
        <c:crossBetween val="between"/>
        <c:majorUnit val="200"/>
      </c:valAx>
      <c:catAx>
        <c:axId val="133826048"/>
        <c:scaling>
          <c:orientation val="minMax"/>
        </c:scaling>
        <c:delete val="1"/>
        <c:axPos val="b"/>
        <c:tickLblPos val="none"/>
        <c:crossAx val="133827584"/>
        <c:crosses val="autoZero"/>
        <c:auto val="1"/>
        <c:lblAlgn val="ctr"/>
        <c:lblOffset val="100"/>
      </c:catAx>
      <c:valAx>
        <c:axId val="133827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26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3865856"/>
        <c:axId val="1338673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3868928"/>
        <c:axId val="133874816"/>
      </c:lineChart>
      <c:catAx>
        <c:axId val="13386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7392"/>
        <c:crosses val="autoZero"/>
        <c:auto val="1"/>
        <c:lblAlgn val="ctr"/>
        <c:lblOffset val="100"/>
      </c:catAx>
      <c:valAx>
        <c:axId val="13386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5856"/>
        <c:crosses val="autoZero"/>
        <c:crossBetween val="between"/>
        <c:majorUnit val="200"/>
      </c:valAx>
      <c:catAx>
        <c:axId val="133868928"/>
        <c:scaling>
          <c:orientation val="minMax"/>
        </c:scaling>
        <c:delete val="1"/>
        <c:axPos val="b"/>
        <c:tickLblPos val="none"/>
        <c:crossAx val="133874816"/>
        <c:crosses val="autoZero"/>
        <c:auto val="1"/>
        <c:lblAlgn val="ctr"/>
        <c:lblOffset val="100"/>
      </c:catAx>
      <c:valAx>
        <c:axId val="133874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8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5726592"/>
        <c:axId val="135728128"/>
      </c:lineChart>
      <c:catAx>
        <c:axId val="13572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8128"/>
        <c:crosses val="autoZero"/>
        <c:auto val="1"/>
        <c:lblAlgn val="ctr"/>
        <c:lblOffset val="200"/>
        <c:tickLblSkip val="1"/>
      </c:catAx>
      <c:valAx>
        <c:axId val="135728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752704"/>
        <c:axId val="136450816"/>
      </c:lineChart>
      <c:catAx>
        <c:axId val="1357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50816"/>
        <c:crosses val="autoZero"/>
        <c:auto val="1"/>
        <c:lblAlgn val="ctr"/>
        <c:lblOffset val="100"/>
      </c:catAx>
      <c:valAx>
        <c:axId val="1364508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6491776"/>
        <c:axId val="136493696"/>
      </c:lineChart>
      <c:catAx>
        <c:axId val="13649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93696"/>
        <c:crosses val="autoZero"/>
        <c:auto val="1"/>
        <c:lblAlgn val="ctr"/>
        <c:lblOffset val="100"/>
      </c:catAx>
      <c:valAx>
        <c:axId val="136493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91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6354816"/>
        <c:axId val="136369280"/>
      </c:lineChart>
      <c:catAx>
        <c:axId val="136354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69280"/>
        <c:crosses val="autoZero"/>
        <c:auto val="1"/>
        <c:lblAlgn val="ctr"/>
        <c:lblOffset val="100"/>
      </c:catAx>
      <c:valAx>
        <c:axId val="136369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54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-328030.03200000001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8548736"/>
        <c:axId val="138550272"/>
      </c:lineChart>
      <c:catAx>
        <c:axId val="1385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0272"/>
        <c:crosses val="autoZero"/>
        <c:auto val="1"/>
        <c:lblAlgn val="ctr"/>
        <c:lblOffset val="100"/>
      </c:catAx>
      <c:valAx>
        <c:axId val="138550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8596352"/>
        <c:axId val="138597888"/>
      </c:lineChart>
      <c:catAx>
        <c:axId val="1385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97888"/>
        <c:crosses val="autoZero"/>
        <c:auto val="1"/>
        <c:lblAlgn val="ctr"/>
        <c:lblOffset val="100"/>
      </c:catAx>
      <c:valAx>
        <c:axId val="13859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37917568"/>
        <c:axId val="137919104"/>
      </c:lineChart>
      <c:catAx>
        <c:axId val="1379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19104"/>
        <c:crosses val="autoZero"/>
        <c:auto val="1"/>
        <c:lblAlgn val="ctr"/>
        <c:lblOffset val="100"/>
      </c:catAx>
      <c:valAx>
        <c:axId val="13791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926"/>
          <c:y val="7.471324705111755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7947776"/>
        <c:axId val="164299136"/>
      </c:lineChart>
      <c:catAx>
        <c:axId val="1379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99136"/>
        <c:crosses val="autoZero"/>
        <c:auto val="1"/>
        <c:lblAlgn val="ctr"/>
        <c:lblOffset val="200"/>
        <c:tickLblSkip val="1"/>
      </c:catAx>
      <c:valAx>
        <c:axId val="164299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4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4340480"/>
        <c:axId val="164342016"/>
      </c:lineChart>
      <c:catAx>
        <c:axId val="1643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2016"/>
        <c:crosses val="autoZero"/>
        <c:auto val="1"/>
        <c:lblAlgn val="ctr"/>
        <c:lblOffset val="100"/>
      </c:catAx>
      <c:valAx>
        <c:axId val="16434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4354304"/>
        <c:axId val="164856192"/>
      </c:lineChart>
      <c:catAx>
        <c:axId val="164354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6192"/>
        <c:crosses val="autoZero"/>
        <c:auto val="1"/>
        <c:lblAlgn val="ctr"/>
        <c:lblOffset val="100"/>
      </c:catAx>
      <c:valAx>
        <c:axId val="164856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4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5106432"/>
        <c:axId val="165108352"/>
      </c:lineChart>
      <c:catAx>
        <c:axId val="165106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8352"/>
        <c:crosses val="autoZero"/>
        <c:auto val="1"/>
        <c:lblAlgn val="ctr"/>
        <c:lblOffset val="100"/>
      </c:catAx>
      <c:valAx>
        <c:axId val="165108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6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5145600"/>
        <c:axId val="164627200"/>
      </c:lineChart>
      <c:catAx>
        <c:axId val="1651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7200"/>
        <c:crosses val="autoZero"/>
        <c:auto val="1"/>
        <c:lblAlgn val="ctr"/>
        <c:lblOffset val="100"/>
      </c:catAx>
      <c:valAx>
        <c:axId val="16462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4660736"/>
        <c:axId val="164662272"/>
      </c:lineChart>
      <c:catAx>
        <c:axId val="16466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62272"/>
        <c:crosses val="autoZero"/>
        <c:auto val="1"/>
        <c:lblAlgn val="ctr"/>
        <c:lblOffset val="100"/>
      </c:catAx>
      <c:valAx>
        <c:axId val="1646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6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5419648"/>
        <c:axId val="165429632"/>
      </c:lineChart>
      <c:catAx>
        <c:axId val="16541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9632"/>
        <c:crosses val="autoZero"/>
        <c:auto val="1"/>
        <c:lblAlgn val="ctr"/>
        <c:lblOffset val="100"/>
      </c:catAx>
      <c:valAx>
        <c:axId val="165429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1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27"/>
          <c:y val="7.47132470511179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6065664"/>
        <c:axId val="1660672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5622528"/>
        <c:axId val="165624064"/>
      </c:lineChart>
      <c:catAx>
        <c:axId val="166065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7200"/>
        <c:crosses val="autoZero"/>
        <c:lblAlgn val="ctr"/>
        <c:lblOffset val="100"/>
        <c:tickMarkSkip val="1"/>
      </c:catAx>
      <c:valAx>
        <c:axId val="166067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5664"/>
        <c:crosses val="autoZero"/>
        <c:crossBetween val="between"/>
      </c:valAx>
      <c:catAx>
        <c:axId val="165622528"/>
        <c:scaling>
          <c:orientation val="minMax"/>
        </c:scaling>
        <c:delete val="1"/>
        <c:axPos val="b"/>
        <c:numFmt formatCode="[$-409]d\-mmm\-yy;@" sourceLinked="1"/>
        <c:tickLblPos val="none"/>
        <c:crossAx val="165624064"/>
        <c:crosses val="autoZero"/>
        <c:lblAlgn val="ctr"/>
        <c:lblOffset val="100"/>
      </c:catAx>
      <c:valAx>
        <c:axId val="16562406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22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5660928"/>
        <c:axId val="165871616"/>
      </c:lineChart>
      <c:catAx>
        <c:axId val="1656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71616"/>
        <c:crosses val="autoZero"/>
        <c:auto val="1"/>
        <c:lblAlgn val="ctr"/>
        <c:lblOffset val="100"/>
      </c:catAx>
      <c:valAx>
        <c:axId val="1658716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5908480"/>
        <c:axId val="165910016"/>
      </c:lineChart>
      <c:catAx>
        <c:axId val="16590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10016"/>
        <c:crosses val="autoZero"/>
        <c:auto val="1"/>
        <c:lblAlgn val="ctr"/>
        <c:lblOffset val="100"/>
      </c:catAx>
      <c:valAx>
        <c:axId val="1659100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7546880"/>
        <c:axId val="167548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7549952"/>
        <c:axId val="167551744"/>
      </c:lineChart>
      <c:catAx>
        <c:axId val="167546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8416"/>
        <c:crosses val="autoZero"/>
        <c:lblAlgn val="ctr"/>
        <c:lblOffset val="100"/>
        <c:tickMarkSkip val="1"/>
      </c:catAx>
      <c:valAx>
        <c:axId val="16754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6880"/>
        <c:crosses val="autoZero"/>
        <c:crossBetween val="between"/>
      </c:valAx>
      <c:catAx>
        <c:axId val="167549952"/>
        <c:scaling>
          <c:orientation val="minMax"/>
        </c:scaling>
        <c:delete val="1"/>
        <c:axPos val="b"/>
        <c:numFmt formatCode="General" sourceLinked="1"/>
        <c:tickLblPos val="none"/>
        <c:crossAx val="167551744"/>
        <c:crosses val="autoZero"/>
        <c:lblAlgn val="ctr"/>
        <c:lblOffset val="100"/>
      </c:catAx>
      <c:valAx>
        <c:axId val="167551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9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7994112"/>
        <c:axId val="167995648"/>
      </c:lineChart>
      <c:catAx>
        <c:axId val="16799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5648"/>
        <c:crosses val="autoZero"/>
        <c:auto val="1"/>
        <c:lblAlgn val="ctr"/>
        <c:lblOffset val="100"/>
      </c:catAx>
      <c:valAx>
        <c:axId val="16799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9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7528704"/>
        <c:axId val="168165376"/>
      </c:lineChart>
      <c:catAx>
        <c:axId val="1675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65376"/>
        <c:crosses val="autoZero"/>
        <c:auto val="1"/>
        <c:lblAlgn val="ctr"/>
        <c:lblOffset val="100"/>
      </c:catAx>
      <c:valAx>
        <c:axId val="16816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2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8609280"/>
        <c:axId val="16861081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8620800"/>
        <c:axId val="168622336"/>
      </c:lineChart>
      <c:catAx>
        <c:axId val="168609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10816"/>
        <c:crosses val="autoZero"/>
        <c:lblAlgn val="ctr"/>
        <c:lblOffset val="100"/>
        <c:tickMarkSkip val="1"/>
      </c:catAx>
      <c:valAx>
        <c:axId val="168610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09280"/>
        <c:crosses val="autoZero"/>
        <c:crossBetween val="between"/>
      </c:valAx>
      <c:catAx>
        <c:axId val="168620800"/>
        <c:scaling>
          <c:orientation val="minMax"/>
        </c:scaling>
        <c:delete val="1"/>
        <c:axPos val="b"/>
        <c:numFmt formatCode="[$-409]d\-mmm\-yy;@" sourceLinked="1"/>
        <c:tickLblPos val="none"/>
        <c:crossAx val="168622336"/>
        <c:crosses val="autoZero"/>
        <c:lblAlgn val="ctr"/>
        <c:lblOffset val="100"/>
      </c:catAx>
      <c:valAx>
        <c:axId val="1686223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0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8660992"/>
        <c:axId val="1686625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8664064"/>
        <c:axId val="168665856"/>
      </c:lineChart>
      <c:catAx>
        <c:axId val="1686609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62528"/>
        <c:crosses val="autoZero"/>
        <c:lblAlgn val="ctr"/>
        <c:lblOffset val="100"/>
        <c:tickMarkSkip val="1"/>
      </c:catAx>
      <c:valAx>
        <c:axId val="16866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60992"/>
        <c:crosses val="autoZero"/>
        <c:crossBetween val="between"/>
      </c:valAx>
      <c:catAx>
        <c:axId val="168664064"/>
        <c:scaling>
          <c:orientation val="minMax"/>
        </c:scaling>
        <c:delete val="1"/>
        <c:axPos val="b"/>
        <c:numFmt formatCode="General" sourceLinked="1"/>
        <c:tickLblPos val="none"/>
        <c:crossAx val="168665856"/>
        <c:crosses val="autoZero"/>
        <c:lblAlgn val="ctr"/>
        <c:lblOffset val="100"/>
      </c:catAx>
      <c:valAx>
        <c:axId val="1686658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64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0060800"/>
        <c:axId val="1362501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6251648"/>
        <c:axId val="136261632"/>
      </c:lineChart>
      <c:catAx>
        <c:axId val="1700608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50112"/>
        <c:crosses val="autoZero"/>
        <c:lblAlgn val="ctr"/>
        <c:lblOffset val="100"/>
        <c:tickMarkSkip val="1"/>
      </c:catAx>
      <c:valAx>
        <c:axId val="136250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60800"/>
        <c:crosses val="autoZero"/>
        <c:crossBetween val="between"/>
      </c:valAx>
      <c:catAx>
        <c:axId val="136251648"/>
        <c:scaling>
          <c:orientation val="minMax"/>
        </c:scaling>
        <c:delete val="1"/>
        <c:axPos val="b"/>
        <c:numFmt formatCode="[$-409]d\-mmm\-yy;@" sourceLinked="1"/>
        <c:tickLblPos val="none"/>
        <c:crossAx val="136261632"/>
        <c:crosses val="autoZero"/>
        <c:lblAlgn val="ctr"/>
        <c:lblOffset val="100"/>
      </c:catAx>
      <c:valAx>
        <c:axId val="1362616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51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6304128"/>
        <c:axId val="1363056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6307456"/>
        <c:axId val="136308992"/>
      </c:lineChart>
      <c:catAx>
        <c:axId val="136304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5664"/>
        <c:crosses val="autoZero"/>
        <c:lblAlgn val="ctr"/>
        <c:lblOffset val="100"/>
        <c:tickMarkSkip val="1"/>
      </c:catAx>
      <c:valAx>
        <c:axId val="13630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4128"/>
        <c:crosses val="autoZero"/>
        <c:crossBetween val="between"/>
      </c:valAx>
      <c:catAx>
        <c:axId val="136307456"/>
        <c:scaling>
          <c:orientation val="minMax"/>
        </c:scaling>
        <c:delete val="1"/>
        <c:axPos val="b"/>
        <c:numFmt formatCode="General" sourceLinked="1"/>
        <c:tickLblPos val="none"/>
        <c:crossAx val="136308992"/>
        <c:crosses val="autoZero"/>
        <c:lblAlgn val="ctr"/>
        <c:lblOffset val="100"/>
      </c:catAx>
      <c:valAx>
        <c:axId val="136308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7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1518592"/>
        <c:axId val="171541248"/>
      </c:lineChart>
      <c:catAx>
        <c:axId val="171518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1248"/>
        <c:crosses val="autoZero"/>
        <c:auto val="1"/>
        <c:lblAlgn val="ctr"/>
        <c:lblOffset val="100"/>
      </c:catAx>
      <c:valAx>
        <c:axId val="1715412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18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1549824"/>
        <c:axId val="171551744"/>
      </c:lineChart>
      <c:catAx>
        <c:axId val="171549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51744"/>
        <c:crosses val="autoZero"/>
        <c:auto val="1"/>
        <c:lblAlgn val="ctr"/>
        <c:lblOffset val="100"/>
      </c:catAx>
      <c:valAx>
        <c:axId val="1715517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498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1322752"/>
        <c:axId val="171336832"/>
      </c:lineChart>
      <c:catAx>
        <c:axId val="1713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36832"/>
        <c:crosses val="autoZero"/>
        <c:auto val="1"/>
        <c:lblAlgn val="ctr"/>
        <c:lblOffset val="200"/>
        <c:tickLblSkip val="1"/>
      </c:catAx>
      <c:valAx>
        <c:axId val="1713368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2098688"/>
        <c:axId val="172100224"/>
      </c:lineChart>
      <c:catAx>
        <c:axId val="17209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00224"/>
        <c:crosses val="autoZero"/>
        <c:auto val="1"/>
        <c:lblAlgn val="ctr"/>
        <c:lblOffset val="100"/>
      </c:catAx>
      <c:valAx>
        <c:axId val="1721002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9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-328030.03200000001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2128896"/>
        <c:axId val="172138880"/>
      </c:lineChart>
      <c:catAx>
        <c:axId val="17212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38880"/>
        <c:crosses val="autoZero"/>
        <c:auto val="1"/>
        <c:lblAlgn val="ctr"/>
        <c:lblOffset val="100"/>
      </c:catAx>
      <c:valAx>
        <c:axId val="172138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2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11575424"/>
        <c:axId val="111577344"/>
      </c:lineChart>
      <c:catAx>
        <c:axId val="111575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77344"/>
        <c:crosses val="autoZero"/>
        <c:auto val="1"/>
        <c:lblAlgn val="ctr"/>
        <c:lblOffset val="100"/>
      </c:catAx>
      <c:valAx>
        <c:axId val="1115773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754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11565440"/>
        <c:axId val="111768320"/>
      </c:lineChart>
      <c:catAx>
        <c:axId val="111565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68320"/>
        <c:crosses val="autoZero"/>
        <c:auto val="1"/>
        <c:lblAlgn val="ctr"/>
        <c:lblOffset val="100"/>
      </c:catAx>
      <c:valAx>
        <c:axId val="1117683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565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0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11797376"/>
        <c:axId val="111798912"/>
      </c:lineChart>
      <c:catAx>
        <c:axId val="11179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8912"/>
        <c:crosses val="autoZero"/>
        <c:auto val="1"/>
        <c:lblAlgn val="ctr"/>
        <c:lblOffset val="200"/>
        <c:tickLblSkip val="1"/>
      </c:catAx>
      <c:valAx>
        <c:axId val="111798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2710528"/>
        <c:axId val="172724608"/>
      </c:lineChart>
      <c:catAx>
        <c:axId val="17271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4608"/>
        <c:crosses val="autoZero"/>
        <c:auto val="1"/>
        <c:lblAlgn val="ctr"/>
        <c:lblOffset val="100"/>
      </c:catAx>
      <c:valAx>
        <c:axId val="172724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1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-328030.03200000001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12796032"/>
        <c:axId val="112797568"/>
      </c:lineChart>
      <c:catAx>
        <c:axId val="11279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97568"/>
        <c:crosses val="autoZero"/>
        <c:auto val="1"/>
        <c:lblAlgn val="ctr"/>
        <c:lblOffset val="100"/>
      </c:catAx>
      <c:valAx>
        <c:axId val="112797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9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12842624"/>
        <c:axId val="112336896"/>
      </c:lineChart>
      <c:catAx>
        <c:axId val="112842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36896"/>
        <c:crosses val="autoZero"/>
        <c:auto val="1"/>
        <c:lblAlgn val="ctr"/>
        <c:lblOffset val="100"/>
      </c:catAx>
      <c:valAx>
        <c:axId val="112336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42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12361856"/>
        <c:axId val="112363776"/>
      </c:lineChart>
      <c:catAx>
        <c:axId val="112361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63776"/>
        <c:crosses val="autoZero"/>
        <c:auto val="1"/>
        <c:lblAlgn val="ctr"/>
        <c:lblOffset val="100"/>
      </c:catAx>
      <c:valAx>
        <c:axId val="112363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618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12392832"/>
        <c:axId val="170090880"/>
      </c:lineChart>
      <c:catAx>
        <c:axId val="11239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90880"/>
        <c:crosses val="autoZero"/>
        <c:auto val="1"/>
        <c:lblAlgn val="ctr"/>
        <c:lblOffset val="200"/>
        <c:tickLblSkip val="1"/>
      </c:catAx>
      <c:valAx>
        <c:axId val="170090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9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13463680"/>
        <c:axId val="113465216"/>
      </c:lineChart>
      <c:catAx>
        <c:axId val="11346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5216"/>
        <c:crosses val="autoZero"/>
        <c:auto val="1"/>
        <c:lblAlgn val="ctr"/>
        <c:lblOffset val="100"/>
      </c:catAx>
      <c:valAx>
        <c:axId val="11346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13481600"/>
        <c:axId val="113483136"/>
      </c:lineChart>
      <c:catAx>
        <c:axId val="11348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83136"/>
        <c:crosses val="autoZero"/>
        <c:auto val="1"/>
        <c:lblAlgn val="ctr"/>
        <c:lblOffset val="100"/>
      </c:catAx>
      <c:valAx>
        <c:axId val="11348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8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13855872"/>
        <c:axId val="113894912"/>
      </c:lineChart>
      <c:catAx>
        <c:axId val="113855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94912"/>
        <c:crosses val="autoZero"/>
        <c:auto val="1"/>
        <c:lblAlgn val="ctr"/>
        <c:lblOffset val="100"/>
      </c:catAx>
      <c:valAx>
        <c:axId val="113894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55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14198400"/>
        <c:axId val="114208768"/>
      </c:lineChart>
      <c:catAx>
        <c:axId val="114198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208768"/>
        <c:crosses val="autoZero"/>
        <c:auto val="1"/>
        <c:lblAlgn val="ctr"/>
        <c:lblOffset val="100"/>
      </c:catAx>
      <c:valAx>
        <c:axId val="1142087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984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14561408"/>
        <c:axId val="114562944"/>
      </c:lineChart>
      <c:catAx>
        <c:axId val="11456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62944"/>
        <c:crosses val="autoZero"/>
        <c:auto val="1"/>
        <c:lblAlgn val="ctr"/>
        <c:lblOffset val="200"/>
        <c:tickLblSkip val="1"/>
      </c:catAx>
      <c:valAx>
        <c:axId val="114562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14595712"/>
        <c:axId val="114597248"/>
      </c:lineChart>
      <c:catAx>
        <c:axId val="11459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7248"/>
        <c:crosses val="autoZero"/>
        <c:auto val="1"/>
        <c:lblAlgn val="ctr"/>
        <c:lblOffset val="100"/>
      </c:catAx>
      <c:valAx>
        <c:axId val="11459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4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14613632"/>
        <c:axId val="114369664"/>
      </c:lineChart>
      <c:catAx>
        <c:axId val="1146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69664"/>
        <c:crosses val="autoZero"/>
        <c:auto val="1"/>
        <c:lblAlgn val="ctr"/>
        <c:lblOffset val="100"/>
      </c:catAx>
      <c:valAx>
        <c:axId val="11436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6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79.111999999982075</v>
      </c>
      <c r="H25" s="423">
        <v>0</v>
      </c>
      <c r="I25" s="418" t="str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 t="str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0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 t="str">
        <f>IF('Kit report'!F27&lt;0,"0",'Kit report'!F27)</f>
        <v>0</v>
      </c>
      <c r="I25" s="456" t="str">
        <f>IF('Kit report'!X27&lt;0,"0",'Kit report'!X27)</f>
        <v>0</v>
      </c>
      <c r="J25" s="456" t="str">
        <f>IF('Utility summery'!H29&lt;0,"0",'Utility summery'!H29)</f>
        <v>0</v>
      </c>
      <c r="K25" s="457" t="str">
        <f>IF('UTILITY REPORT 1'!H26&lt;0,"0",'UTILITY REPORT 1'!H26)</f>
        <v>0</v>
      </c>
      <c r="L25" s="456" t="str">
        <f>'Water-Meter'!K29</f>
        <v>0</v>
      </c>
      <c r="M25" s="457">
        <f>'Water-Meter'!H29</f>
        <v>0</v>
      </c>
      <c r="N25" s="457" t="str">
        <f>'Water-Meter'!Q29</f>
        <v>0</v>
      </c>
      <c r="O25" s="456" t="e">
        <f>K25*E25+H25*I25+#REF!*#REF!+J25*L25</f>
        <v>#REF!</v>
      </c>
      <c r="P25" s="462" t="str">
        <f>'Water-Meter'!E29</f>
        <v>0</v>
      </c>
      <c r="Q25" s="242" t="str">
        <f>IF('Water-Meter'!U29&lt;0,"0",'Water-Meter'!U29)</f>
        <v>0</v>
      </c>
      <c r="R25" s="242" t="str">
        <f>IF('Water-Meter'!X29&lt;0,"0",'Water-Meter'!X29)</f>
        <v>0</v>
      </c>
      <c r="S25" s="242" t="str">
        <f>IF('Water-Meter'!AA29&lt;0,"0",'Water-Meter'!AA29)</f>
        <v>0</v>
      </c>
      <c r="T25" s="242" t="str">
        <f>IF('Water-Meter'!AD29&lt;0,"0",'Water-Meter'!AD29)</f>
        <v>0</v>
      </c>
      <c r="U25" s="242" t="str">
        <f>IF('Water-Meter'!AG29&lt;0,"0",'Water-Meter'!AG29)</f>
        <v>0</v>
      </c>
      <c r="V25" s="242" t="str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0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 t="str">
        <f>'Water-Meter'!E29</f>
        <v>0</v>
      </c>
      <c r="H26" s="405">
        <f>'Utility report '!AC29</f>
        <v>-45291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8" t="s">
        <v>0</v>
      </c>
      <c r="B4" s="779" t="s">
        <v>141</v>
      </c>
      <c r="C4" s="780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1"/>
      <c r="R4" s="781"/>
      <c r="S4" s="782"/>
    </row>
    <row r="5" spans="1:19" ht="25.5">
      <c r="A5" s="783"/>
      <c r="B5" s="784"/>
      <c r="C5" s="785"/>
      <c r="D5" s="786" t="s">
        <v>136</v>
      </c>
      <c r="E5" s="786" t="s">
        <v>137</v>
      </c>
      <c r="F5" s="786" t="s">
        <v>121</v>
      </c>
      <c r="G5" s="787" t="s">
        <v>138</v>
      </c>
      <c r="H5" s="787" t="s">
        <v>19</v>
      </c>
      <c r="I5" s="788" t="s">
        <v>139</v>
      </c>
      <c r="J5" s="789" t="s">
        <v>142</v>
      </c>
      <c r="K5" s="789" t="s">
        <v>140</v>
      </c>
      <c r="L5" s="789" t="s">
        <v>140</v>
      </c>
      <c r="M5" s="790" t="s">
        <v>18</v>
      </c>
      <c r="N5" s="791" t="s">
        <v>144</v>
      </c>
      <c r="O5" s="791" t="s">
        <v>146</v>
      </c>
      <c r="P5" s="792" t="s">
        <v>145</v>
      </c>
      <c r="Q5" s="793" t="s">
        <v>148</v>
      </c>
      <c r="R5" s="793" t="s">
        <v>147</v>
      </c>
      <c r="S5" s="794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-45291</v>
      </c>
      <c r="H29" s="153">
        <f>'Utility report '!AE29</f>
        <v>-210718</v>
      </c>
      <c r="I29" s="296" t="str">
        <f>'Water-Meter'!E29</f>
        <v>0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-328030.03200000001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63687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1656</v>
      </c>
      <c r="J39" s="453">
        <f t="shared" si="3"/>
        <v>1955</v>
      </c>
      <c r="K39" s="453">
        <f t="shared" si="3"/>
        <v>1297</v>
      </c>
      <c r="L39" s="453">
        <f t="shared" si="3"/>
        <v>30</v>
      </c>
      <c r="M39" s="453">
        <f t="shared" si="3"/>
        <v>-325797.47200000001</v>
      </c>
      <c r="N39" s="453">
        <f t="shared" si="3"/>
        <v>89161.8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K1" activePane="topRight" state="frozen"/>
      <selection pane="topRight" activeCell="AD29" sqref="AD2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44197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9" t="s">
        <v>100</v>
      </c>
      <c r="J2" s="751" t="s">
        <v>122</v>
      </c>
      <c r="K2" s="752"/>
      <c r="L2" s="753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33639.449999999997</v>
      </c>
      <c r="I3" s="622"/>
      <c r="J3" s="754"/>
      <c r="K3" s="755" t="s">
        <v>165</v>
      </c>
      <c r="L3" s="754"/>
      <c r="M3" s="624" t="s">
        <v>111</v>
      </c>
      <c r="N3" s="754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3" t="s">
        <v>117</v>
      </c>
      <c r="AG3" s="744" t="s">
        <v>117</v>
      </c>
      <c r="AH3" s="400" t="s">
        <v>117</v>
      </c>
      <c r="AI3" s="134" t="s">
        <v>118</v>
      </c>
      <c r="AJ3" s="745" t="s">
        <v>115</v>
      </c>
      <c r="AK3" s="746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0"/>
      <c r="J4" s="764"/>
      <c r="K4" s="289"/>
      <c r="L4" s="753"/>
      <c r="M4" s="756"/>
      <c r="N4" s="284"/>
      <c r="O4" s="757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7">
        <v>2000</v>
      </c>
      <c r="AG4" s="748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9"/>
      <c r="B5" s="767"/>
      <c r="C5" s="768"/>
      <c r="D5" s="769"/>
      <c r="E5" s="769"/>
      <c r="F5" s="769"/>
      <c r="G5" s="769"/>
      <c r="H5" s="770"/>
      <c r="I5" s="770"/>
      <c r="J5" s="702"/>
      <c r="K5" s="721"/>
      <c r="L5" s="128"/>
      <c r="M5" s="470"/>
      <c r="N5" s="758"/>
      <c r="O5" s="701"/>
      <c r="P5" s="720">
        <v>19032</v>
      </c>
      <c r="Q5" s="731"/>
      <c r="R5" s="721"/>
      <c r="S5" s="701"/>
      <c r="T5" s="708">
        <v>17204</v>
      </c>
      <c r="U5" s="701"/>
      <c r="V5" s="721"/>
      <c r="W5" s="701"/>
      <c r="X5" s="713">
        <v>26759</v>
      </c>
      <c r="Y5" s="701"/>
      <c r="Z5" s="706"/>
      <c r="AA5" s="717"/>
      <c r="AB5" s="716">
        <v>43403</v>
      </c>
      <c r="AC5" s="701"/>
      <c r="AD5" s="698">
        <v>209322</v>
      </c>
      <c r="AE5" s="703"/>
      <c r="AF5" s="724">
        <v>0.85</v>
      </c>
      <c r="AG5" s="725">
        <v>0.85</v>
      </c>
      <c r="AH5" s="738">
        <v>0.85</v>
      </c>
      <c r="AI5" s="728"/>
      <c r="AJ5" s="717"/>
      <c r="AK5" s="717"/>
    </row>
    <row r="6" spans="1:37" ht="18.75">
      <c r="A6" s="760">
        <f>Gen!A11</f>
        <v>44197</v>
      </c>
      <c r="B6" s="425">
        <f>'Summery Report'!E5</f>
        <v>0</v>
      </c>
      <c r="C6" s="765">
        <f>Gen!B11</f>
        <v>0.53200000000000003</v>
      </c>
      <c r="D6" s="727">
        <f>'Summery Report'!E5</f>
        <v>0</v>
      </c>
      <c r="E6" s="727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7">
        <f>Gen!C11</f>
        <v>33639.449999999997</v>
      </c>
      <c r="I6" s="727">
        <f>Gen!E11</f>
        <v>0</v>
      </c>
      <c r="J6" s="766">
        <f>Gen!T11</f>
        <v>3884</v>
      </c>
      <c r="K6" s="771">
        <f>Gen!AK11</f>
        <v>0</v>
      </c>
      <c r="L6" s="762">
        <f t="shared" ref="L6:L13" si="1">SUM(J6:K6)</f>
        <v>3884</v>
      </c>
      <c r="M6" s="448">
        <f>'Water-Meter'!K46</f>
        <v>498.02459294333192</v>
      </c>
      <c r="N6" s="722">
        <f>'Water-Meter'!E6</f>
        <v>84</v>
      </c>
      <c r="O6" s="712"/>
      <c r="P6" s="720">
        <v>19032</v>
      </c>
      <c r="Q6" s="732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2">
        <f>T6-T5</f>
        <v>29</v>
      </c>
      <c r="V6" s="427" t="s">
        <v>246</v>
      </c>
      <c r="W6" s="712"/>
      <c r="X6" s="713">
        <v>26759</v>
      </c>
      <c r="Y6" s="732">
        <f>X6-X5</f>
        <v>0</v>
      </c>
      <c r="Z6" s="715">
        <f t="shared" ref="Z6:AA6" si="3">Y6-Y5</f>
        <v>0</v>
      </c>
      <c r="AA6" s="718">
        <f t="shared" si="3"/>
        <v>0</v>
      </c>
      <c r="AB6" s="716">
        <v>43403</v>
      </c>
      <c r="AC6" s="696">
        <f>AB6-AB5</f>
        <v>0</v>
      </c>
      <c r="AD6" s="698">
        <v>209389</v>
      </c>
      <c r="AE6" s="178">
        <f>AD6-AD5</f>
        <v>67</v>
      </c>
      <c r="AF6" s="726">
        <f>'Lpg (2)'!B10*2000/85</f>
        <v>2000</v>
      </c>
      <c r="AG6" s="266">
        <f>'Lpg (2)'!C10*1000/85</f>
        <v>1000</v>
      </c>
      <c r="AH6" s="739">
        <f>'Lpg (2)'!D10*1000/85</f>
        <v>223.52941176470588</v>
      </c>
      <c r="AI6" s="729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0">
        <f>Gen!A12</f>
        <v>44198</v>
      </c>
      <c r="B7" s="425">
        <f>'Summery Report'!E6</f>
        <v>0</v>
      </c>
      <c r="C7" s="765">
        <f>Gen!B12</f>
        <v>0.3</v>
      </c>
      <c r="D7" s="727">
        <f>'Summery Report'!E6</f>
        <v>0</v>
      </c>
      <c r="E7" s="727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7">
        <f>Gen!C12</f>
        <v>31851.749999999996</v>
      </c>
      <c r="I7" s="727">
        <f>Gen!E12</f>
        <v>0</v>
      </c>
      <c r="J7" s="766">
        <f>Gen!T12</f>
        <v>3654</v>
      </c>
      <c r="K7" s="771">
        <f>Gen!AK12</f>
        <v>0</v>
      </c>
      <c r="L7" s="762">
        <f t="shared" si="1"/>
        <v>3654</v>
      </c>
      <c r="M7" s="448">
        <f>'Water-Meter'!K47</f>
        <v>455.22510363910226</v>
      </c>
      <c r="N7" s="722">
        <f>'Water-Meter'!E7</f>
        <v>88</v>
      </c>
      <c r="O7" s="712"/>
      <c r="P7" s="720">
        <v>19032</v>
      </c>
      <c r="Q7" s="732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2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2">
        <f t="shared" ref="Y7:Y36" si="8">X7-X6</f>
        <v>0</v>
      </c>
      <c r="Z7" s="711">
        <f t="shared" ref="Z7:Z36" si="9">SUM(Y7*W7)</f>
        <v>0</v>
      </c>
      <c r="AA7" s="719">
        <f t="shared" ref="AA7:AA36" si="10">SUM(Z7*X9)</f>
        <v>0</v>
      </c>
      <c r="AB7" s="716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6">
        <f>'Lpg (2)'!B11*2000/85</f>
        <v>2000</v>
      </c>
      <c r="AG7" s="266">
        <f>'Lpg (2)'!C11*1000/85</f>
        <v>1000</v>
      </c>
      <c r="AH7" s="739">
        <f>'Lpg (2)'!D11*1000/85</f>
        <v>176.47058823529412</v>
      </c>
      <c r="AI7" s="729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0">
        <f>Gen!A13</f>
        <v>44199</v>
      </c>
      <c r="B8" s="425">
        <f>'Summery Report'!E7</f>
        <v>0</v>
      </c>
      <c r="C8" s="765">
        <f>Gen!B13</f>
        <v>0.26</v>
      </c>
      <c r="D8" s="727">
        <f>'Summery Report'!E7</f>
        <v>0</v>
      </c>
      <c r="E8" s="727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7">
        <f>Gen!C13</f>
        <v>48190.89</v>
      </c>
      <c r="I8" s="727">
        <f>Gen!E13</f>
        <v>18000</v>
      </c>
      <c r="J8" s="766">
        <f>Gen!T13</f>
        <v>3471</v>
      </c>
      <c r="K8" s="771">
        <f>Gen!AK13</f>
        <v>0</v>
      </c>
      <c r="L8" s="762">
        <f t="shared" si="1"/>
        <v>3471</v>
      </c>
      <c r="M8" s="448">
        <f>'Water-Meter'!K48</f>
        <v>396.56595598397803</v>
      </c>
      <c r="N8" s="722">
        <f>'Water-Meter'!E8</f>
        <v>68</v>
      </c>
      <c r="O8" s="712"/>
      <c r="P8" s="720">
        <v>19032</v>
      </c>
      <c r="Q8" s="732">
        <f t="shared" si="2"/>
        <v>0</v>
      </c>
      <c r="R8" s="426">
        <f t="shared" si="5"/>
        <v>0</v>
      </c>
      <c r="S8" s="707">
        <v>6.7</v>
      </c>
      <c r="T8" s="708">
        <v>17280</v>
      </c>
      <c r="U8" s="732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2">
        <f t="shared" si="8"/>
        <v>0</v>
      </c>
      <c r="Z8" s="711">
        <f t="shared" si="9"/>
        <v>0</v>
      </c>
      <c r="AA8" s="719">
        <f t="shared" si="10"/>
        <v>0</v>
      </c>
      <c r="AB8" s="716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6">
        <f>'Lpg (2)'!B12*2000/85</f>
        <v>2000</v>
      </c>
      <c r="AG8" s="266">
        <f>'Lpg (2)'!C12*1000/85</f>
        <v>1000</v>
      </c>
      <c r="AH8" s="739">
        <f>'Lpg (2)'!D12*1000/85</f>
        <v>117.64705882352941</v>
      </c>
      <c r="AI8" s="729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0">
        <f>Gen!A14</f>
        <v>44200</v>
      </c>
      <c r="B9" s="425">
        <f>'Summery Report'!E8</f>
        <v>0</v>
      </c>
      <c r="C9" s="765">
        <f>Gen!B14</f>
        <v>0.182</v>
      </c>
      <c r="D9" s="727">
        <f>'Summery Report'!E8</f>
        <v>0</v>
      </c>
      <c r="E9" s="727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7">
        <f>Gen!C14</f>
        <v>46743.22</v>
      </c>
      <c r="I9" s="727">
        <f>Gen!E14</f>
        <v>0</v>
      </c>
      <c r="J9" s="766">
        <f>Gen!T14</f>
        <v>3204</v>
      </c>
      <c r="K9" s="771">
        <f>Gen!AK14</f>
        <v>0</v>
      </c>
      <c r="L9" s="762">
        <f t="shared" si="1"/>
        <v>3204</v>
      </c>
      <c r="M9" s="448">
        <f>'Water-Meter'!K49</f>
        <v>395.41197749873857</v>
      </c>
      <c r="N9" s="722">
        <f>'Water-Meter'!E9</f>
        <v>72</v>
      </c>
      <c r="O9" s="712"/>
      <c r="P9" s="720">
        <v>19032</v>
      </c>
      <c r="Q9" s="732">
        <f t="shared" si="2"/>
        <v>0</v>
      </c>
      <c r="R9" s="426">
        <f t="shared" si="5"/>
        <v>0</v>
      </c>
      <c r="S9" s="707">
        <v>6.7</v>
      </c>
      <c r="T9" s="708">
        <v>17290</v>
      </c>
      <c r="U9" s="732">
        <f t="shared" si="6"/>
        <v>10</v>
      </c>
      <c r="V9" s="427">
        <f t="shared" si="7"/>
        <v>67</v>
      </c>
      <c r="W9" s="712"/>
      <c r="X9" s="713">
        <v>26759</v>
      </c>
      <c r="Y9" s="732">
        <f t="shared" si="8"/>
        <v>0</v>
      </c>
      <c r="Z9" s="711">
        <f t="shared" si="9"/>
        <v>0</v>
      </c>
      <c r="AA9" s="719">
        <f t="shared" si="10"/>
        <v>0</v>
      </c>
      <c r="AB9" s="716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6">
        <f>'Lpg (2)'!B13*2000/85</f>
        <v>2000</v>
      </c>
      <c r="AG9" s="266">
        <f>'Lpg (2)'!C13*1000/85</f>
        <v>1000</v>
      </c>
      <c r="AH9" s="739">
        <f>'Lpg (2)'!D13*1000/85</f>
        <v>35.294117647058826</v>
      </c>
      <c r="AI9" s="729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0">
        <f>Gen!A15</f>
        <v>44201</v>
      </c>
      <c r="B10" s="425">
        <f>'Summery Report'!E9</f>
        <v>0</v>
      </c>
      <c r="C10" s="765">
        <f>Gen!B15</f>
        <v>0.20799999999999999</v>
      </c>
      <c r="D10" s="727">
        <f>'Summery Report'!E9</f>
        <v>0</v>
      </c>
      <c r="E10" s="727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7">
        <f>Gen!C15</f>
        <v>45311.1</v>
      </c>
      <c r="I10" s="727">
        <f>Gen!E15</f>
        <v>0</v>
      </c>
      <c r="J10" s="766">
        <f>Gen!T15</f>
        <v>3451</v>
      </c>
      <c r="K10" s="771">
        <f>Gen!AK15</f>
        <v>0</v>
      </c>
      <c r="L10" s="762">
        <f t="shared" si="1"/>
        <v>3451</v>
      </c>
      <c r="M10" s="448">
        <f>'Water-Meter'!K50</f>
        <v>543.08564523621453</v>
      </c>
      <c r="N10" s="722">
        <f>'Water-Meter'!E10</f>
        <v>61</v>
      </c>
      <c r="O10" s="712"/>
      <c r="P10" s="720">
        <v>19032</v>
      </c>
      <c r="Q10" s="732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2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2">
        <f t="shared" si="8"/>
        <v>0</v>
      </c>
      <c r="Z10" s="711">
        <f t="shared" si="9"/>
        <v>0</v>
      </c>
      <c r="AA10" s="719">
        <f t="shared" si="10"/>
        <v>0</v>
      </c>
      <c r="AB10" s="716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6">
        <f>'Lpg (2)'!B14*2000/85</f>
        <v>2000</v>
      </c>
      <c r="AG10" s="266">
        <f>'Lpg (2)'!C14*1000/85</f>
        <v>1000</v>
      </c>
      <c r="AH10" s="739">
        <f>'Lpg (2)'!D14*1000/85</f>
        <v>11.764705882352942</v>
      </c>
      <c r="AI10" s="729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0">
        <f>Gen!A16</f>
        <v>44202</v>
      </c>
      <c r="B11" s="425">
        <f>'Summery Report'!E10</f>
        <v>0</v>
      </c>
      <c r="C11" s="765">
        <f>Gen!B16</f>
        <v>0.182</v>
      </c>
      <c r="D11" s="727">
        <f>'Summery Report'!E10</f>
        <v>0</v>
      </c>
      <c r="E11" s="727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7">
        <f>Gen!C16</f>
        <v>43826.78</v>
      </c>
      <c r="I11" s="727">
        <f>Gen!E16</f>
        <v>0</v>
      </c>
      <c r="J11" s="766">
        <f>Gen!T16</f>
        <v>3269</v>
      </c>
      <c r="K11" s="771">
        <f>Gen!AK16</f>
        <v>0</v>
      </c>
      <c r="L11" s="762">
        <f t="shared" si="1"/>
        <v>3269</v>
      </c>
      <c r="M11" s="448">
        <f>'Water-Meter'!K51</f>
        <v>538.30787913808285</v>
      </c>
      <c r="N11" s="722">
        <f>'Water-Meter'!E11</f>
        <v>64</v>
      </c>
      <c r="O11" s="712"/>
      <c r="P11" s="720">
        <v>19032</v>
      </c>
      <c r="Q11" s="732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2">
        <f t="shared" si="6"/>
        <v>16</v>
      </c>
      <c r="V11" s="427">
        <f t="shared" si="16"/>
        <v>107.2</v>
      </c>
      <c r="W11" s="712"/>
      <c r="X11" s="713">
        <v>26759</v>
      </c>
      <c r="Y11" s="732">
        <f t="shared" si="8"/>
        <v>0</v>
      </c>
      <c r="Z11" s="711">
        <f t="shared" si="9"/>
        <v>0</v>
      </c>
      <c r="AA11" s="719">
        <f t="shared" si="10"/>
        <v>0</v>
      </c>
      <c r="AB11" s="716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6">
        <f>'Lpg (2)'!B15*2000/85</f>
        <v>2000</v>
      </c>
      <c r="AG11" s="266">
        <f>'Lpg (2)'!C15*1000/85</f>
        <v>1000</v>
      </c>
      <c r="AH11" s="739">
        <f>'Lpg (2)'!D15*1000/85</f>
        <v>11.764705882352942</v>
      </c>
      <c r="AI11" s="729">
        <f t="shared" si="12"/>
        <v>5011764.7058823528</v>
      </c>
      <c r="AJ11" s="428">
        <f t="shared" si="4"/>
        <v>0</v>
      </c>
      <c r="AK11" s="132"/>
    </row>
    <row r="12" spans="1:37" ht="18.75">
      <c r="A12" s="760">
        <f>Gen!A17</f>
        <v>44203</v>
      </c>
      <c r="B12" s="425">
        <f>'Summery Report'!E11</f>
        <v>0</v>
      </c>
      <c r="C12" s="765">
        <f>Gen!B17</f>
        <v>0.32500000000000001</v>
      </c>
      <c r="D12" s="727">
        <f>'Summery Report'!E11</f>
        <v>0</v>
      </c>
      <c r="E12" s="727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7">
        <f>Gen!C17</f>
        <v>42495.42</v>
      </c>
      <c r="I12" s="727">
        <f>Gen!E17</f>
        <v>0</v>
      </c>
      <c r="J12" s="766">
        <f>Gen!T17</f>
        <v>3551</v>
      </c>
      <c r="K12" s="771">
        <f>Gen!AK17</f>
        <v>0</v>
      </c>
      <c r="L12" s="762">
        <f t="shared" si="1"/>
        <v>3551</v>
      </c>
      <c r="M12" s="448">
        <f>'Water-Meter'!K52</f>
        <v>594.56601305427432</v>
      </c>
      <c r="N12" s="722">
        <f>'Water-Meter'!E12</f>
        <v>67</v>
      </c>
      <c r="O12" s="712"/>
      <c r="P12" s="720">
        <v>19032</v>
      </c>
      <c r="Q12" s="732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2">
        <f t="shared" si="6"/>
        <v>40</v>
      </c>
      <c r="V12" s="427">
        <f t="shared" si="16"/>
        <v>268</v>
      </c>
      <c r="W12" s="707"/>
      <c r="X12" s="713">
        <v>26759</v>
      </c>
      <c r="Y12" s="732">
        <f t="shared" si="8"/>
        <v>0</v>
      </c>
      <c r="Z12" s="711">
        <f t="shared" si="9"/>
        <v>0</v>
      </c>
      <c r="AA12" s="719">
        <f t="shared" si="10"/>
        <v>0</v>
      </c>
      <c r="AB12" s="716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6">
        <f>'Lpg (2)'!B16*2000/85</f>
        <v>2000</v>
      </c>
      <c r="AG12" s="266">
        <f>'Lpg (2)'!C16*1000/85</f>
        <v>1000</v>
      </c>
      <c r="AH12" s="739">
        <f>'Lpg (2)'!D16*1000/85</f>
        <v>0</v>
      </c>
      <c r="AI12" s="729">
        <f t="shared" si="12"/>
        <v>5000000</v>
      </c>
      <c r="AJ12" s="428">
        <f t="shared" si="4"/>
        <v>11764.705882352777</v>
      </c>
      <c r="AK12" s="132"/>
    </row>
    <row r="13" spans="1:37" ht="18.75">
      <c r="A13" s="760">
        <f>Gen!A18</f>
        <v>44204</v>
      </c>
      <c r="B13" s="425">
        <f>'Summery Report'!E12</f>
        <v>0</v>
      </c>
      <c r="C13" s="765">
        <f>Gen!B18</f>
        <v>0.247</v>
      </c>
      <c r="D13" s="727">
        <f>'Summery Report'!E12</f>
        <v>0</v>
      </c>
      <c r="E13" s="727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7">
        <f>Gen!C18</f>
        <v>40732.11</v>
      </c>
      <c r="I13" s="727">
        <f>Gen!E18</f>
        <v>0</v>
      </c>
      <c r="J13" s="766">
        <f>Gen!T18</f>
        <v>3401</v>
      </c>
      <c r="K13" s="771">
        <f>Gen!AK18</f>
        <v>0</v>
      </c>
      <c r="L13" s="762">
        <f t="shared" si="1"/>
        <v>3401</v>
      </c>
      <c r="M13" s="448">
        <f>'Water-Meter'!K53</f>
        <v>413.01292201584886</v>
      </c>
      <c r="N13" s="722">
        <f>'Water-Meter'!E13</f>
        <v>195</v>
      </c>
      <c r="O13" s="712"/>
      <c r="P13" s="720">
        <v>19032</v>
      </c>
      <c r="Q13" s="732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2">
        <f t="shared" si="6"/>
        <v>23</v>
      </c>
      <c r="V13" s="427">
        <f t="shared" si="16"/>
        <v>147.20000000000002</v>
      </c>
      <c r="W13" s="707"/>
      <c r="X13" s="713">
        <v>26759</v>
      </c>
      <c r="Y13" s="732">
        <f t="shared" si="8"/>
        <v>0</v>
      </c>
      <c r="Z13" s="711">
        <f t="shared" si="9"/>
        <v>0</v>
      </c>
      <c r="AA13" s="719">
        <f t="shared" si="10"/>
        <v>0</v>
      </c>
      <c r="AB13" s="716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6">
        <f>'Lpg (2)'!B17*2000/85</f>
        <v>2000</v>
      </c>
      <c r="AG13" s="266">
        <f>'Lpg (2)'!C17*1000/85</f>
        <v>941.17647058823525</v>
      </c>
      <c r="AH13" s="739">
        <f>'Lpg (2)'!D17*1000/85</f>
        <v>0</v>
      </c>
      <c r="AI13" s="729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0">
        <f>Gen!A19</f>
        <v>44205</v>
      </c>
      <c r="B14" s="425">
        <f>'Summery Report'!E13</f>
        <v>0</v>
      </c>
      <c r="C14" s="765">
        <f>Gen!B19</f>
        <v>0.14000000000000001</v>
      </c>
      <c r="D14" s="727">
        <f>'Summery Report'!E13</f>
        <v>0</v>
      </c>
      <c r="E14" s="727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7">
        <f>Gen!C19</f>
        <v>39079.26</v>
      </c>
      <c r="I14" s="727">
        <f>Gen!E19</f>
        <v>0</v>
      </c>
      <c r="J14" s="766">
        <f>Gen!T19</f>
        <v>3362</v>
      </c>
      <c r="K14" s="771">
        <f>Gen!AK19</f>
        <v>0</v>
      </c>
      <c r="L14" s="762">
        <f t="shared" ref="L14:L37" si="17">SUM(J14:K14)</f>
        <v>3362</v>
      </c>
      <c r="M14" s="448">
        <f>'Water-Meter'!K54</f>
        <v>519.54246570177099</v>
      </c>
      <c r="N14" s="722">
        <f>'Water-Meter'!E14</f>
        <v>149</v>
      </c>
      <c r="O14" s="712"/>
      <c r="P14" s="720">
        <v>19032</v>
      </c>
      <c r="Q14" s="732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2">
        <f t="shared" si="6"/>
        <v>0</v>
      </c>
      <c r="V14" s="427">
        <f t="shared" si="16"/>
        <v>0</v>
      </c>
      <c r="W14" s="707"/>
      <c r="X14" s="713">
        <v>26759</v>
      </c>
      <c r="Y14" s="732">
        <f t="shared" si="8"/>
        <v>0</v>
      </c>
      <c r="Z14" s="711">
        <f t="shared" si="9"/>
        <v>0</v>
      </c>
      <c r="AA14" s="719">
        <f t="shared" si="10"/>
        <v>0</v>
      </c>
      <c r="AB14" s="716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6">
        <f>'Lpg (2)'!B18*2000/85</f>
        <v>2000</v>
      </c>
      <c r="AG14" s="266">
        <f>'Lpg (2)'!C18*1000/85</f>
        <v>929.41176470588232</v>
      </c>
      <c r="AH14" s="739">
        <f>'Lpg (2)'!D18*1000/85</f>
        <v>0</v>
      </c>
      <c r="AI14" s="729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0">
        <f>Gen!A20</f>
        <v>44206</v>
      </c>
      <c r="B15" s="425">
        <f>'Summery Report'!E14</f>
        <v>0</v>
      </c>
      <c r="C15" s="765">
        <f>Gen!B20</f>
        <v>0.221</v>
      </c>
      <c r="D15" s="727">
        <f>'Summery Report'!E14</f>
        <v>0</v>
      </c>
      <c r="E15" s="727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7">
        <f>Gen!C20</f>
        <v>37596.720000000001</v>
      </c>
      <c r="I15" s="727">
        <f>Gen!E20</f>
        <v>0</v>
      </c>
      <c r="J15" s="766">
        <f>Gen!T20</f>
        <v>3243</v>
      </c>
      <c r="K15" s="771">
        <f>Gen!AK20</f>
        <v>0</v>
      </c>
      <c r="L15" s="762">
        <f t="shared" si="17"/>
        <v>3243</v>
      </c>
      <c r="M15" s="448">
        <f>'Water-Meter'!K55</f>
        <v>519.54246570177099</v>
      </c>
      <c r="N15" s="722">
        <f>'Water-Meter'!E15</f>
        <v>71</v>
      </c>
      <c r="O15" s="712"/>
      <c r="P15" s="720">
        <v>19032</v>
      </c>
      <c r="Q15" s="732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2">
        <f t="shared" si="6"/>
        <v>0</v>
      </c>
      <c r="V15" s="427">
        <f t="shared" si="16"/>
        <v>0</v>
      </c>
      <c r="W15" s="707"/>
      <c r="X15" s="713">
        <v>26759</v>
      </c>
      <c r="Y15" s="732">
        <f t="shared" si="8"/>
        <v>0</v>
      </c>
      <c r="Z15" s="711">
        <f t="shared" si="9"/>
        <v>0</v>
      </c>
      <c r="AA15" s="719">
        <f t="shared" si="10"/>
        <v>0</v>
      </c>
      <c r="AB15" s="716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6">
        <f>'Lpg (2)'!B19*2000/85</f>
        <v>2000</v>
      </c>
      <c r="AG15" s="266">
        <f>'Lpg (2)'!C19*1000/85</f>
        <v>905.88235294117646</v>
      </c>
      <c r="AH15" s="739">
        <f>'Lpg (2)'!D19*1000/85</f>
        <v>0</v>
      </c>
      <c r="AI15" s="729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0">
        <f>Gen!A21</f>
        <v>44207</v>
      </c>
      <c r="B16" s="425">
        <f>'Summery Report'!E15</f>
        <v>0</v>
      </c>
      <c r="C16" s="765">
        <f>Gen!B21</f>
        <v>0.11700000000000001</v>
      </c>
      <c r="D16" s="727">
        <f>'Summery Report'!E15</f>
        <v>0</v>
      </c>
      <c r="E16" s="727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7">
        <f>Gen!C21</f>
        <v>35950.480000000003</v>
      </c>
      <c r="I16" s="727">
        <f>Gen!E21</f>
        <v>0</v>
      </c>
      <c r="J16" s="766">
        <f>Gen!T21</f>
        <v>3048</v>
      </c>
      <c r="K16" s="771">
        <f>Gen!AK21</f>
        <v>0</v>
      </c>
      <c r="L16" s="762">
        <f t="shared" si="17"/>
        <v>3048</v>
      </c>
      <c r="M16" s="448">
        <f>'Water-Meter'!K56</f>
        <v>518.85090726021258</v>
      </c>
      <c r="N16" s="722">
        <f>'Water-Meter'!E16</f>
        <v>70</v>
      </c>
      <c r="O16" s="712"/>
      <c r="P16" s="720">
        <v>19032</v>
      </c>
      <c r="Q16" s="732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2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2">
        <f t="shared" si="8"/>
        <v>0</v>
      </c>
      <c r="Z16" s="711">
        <f t="shared" si="9"/>
        <v>0</v>
      </c>
      <c r="AA16" s="719">
        <f t="shared" si="10"/>
        <v>0</v>
      </c>
      <c r="AB16" s="716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6">
        <f>'Lpg (2)'!B20*2000/85</f>
        <v>2000</v>
      </c>
      <c r="AG16" s="266">
        <f>'Lpg (2)'!C20*1000/85</f>
        <v>882.35294117647061</v>
      </c>
      <c r="AH16" s="739">
        <f>'Lpg (2)'!D20*1000/85</f>
        <v>0</v>
      </c>
      <c r="AI16" s="729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0">
        <f>Gen!A22</f>
        <v>44208</v>
      </c>
      <c r="B17" s="425">
        <f>'Summery Report'!E16</f>
        <v>0</v>
      </c>
      <c r="C17" s="765">
        <f>Gen!B22</f>
        <v>0.16900000000000001</v>
      </c>
      <c r="D17" s="727">
        <f>'Summery Report'!E16</f>
        <v>0</v>
      </c>
      <c r="E17" s="727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7">
        <f>Gen!C22</f>
        <v>34549.060000000005</v>
      </c>
      <c r="I17" s="727">
        <f>Gen!E22</f>
        <v>0</v>
      </c>
      <c r="J17" s="766">
        <f>Gen!T22</f>
        <v>3121</v>
      </c>
      <c r="K17" s="771">
        <f>Gen!AK22</f>
        <v>0</v>
      </c>
      <c r="L17" s="762">
        <f t="shared" si="17"/>
        <v>3121</v>
      </c>
      <c r="M17" s="448">
        <f>'Water-Meter'!K57</f>
        <v>526.97632708358003</v>
      </c>
      <c r="N17" s="722">
        <f>'Water-Meter'!E17</f>
        <v>69</v>
      </c>
      <c r="O17" s="712"/>
      <c r="P17" s="720">
        <v>19032</v>
      </c>
      <c r="Q17" s="732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2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2">
        <f t="shared" si="8"/>
        <v>12</v>
      </c>
      <c r="Z17" s="711">
        <f t="shared" si="9"/>
        <v>31.200000000000003</v>
      </c>
      <c r="AA17" s="719">
        <f t="shared" si="10"/>
        <v>836690.4</v>
      </c>
      <c r="AB17" s="716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6">
        <f>'Lpg (2)'!B21*2000/85</f>
        <v>2000</v>
      </c>
      <c r="AG17" s="266">
        <f>'Lpg (2)'!C21*1000/85</f>
        <v>858.82352941176475</v>
      </c>
      <c r="AH17" s="739">
        <f>'Lpg (2)'!D21*1000/85</f>
        <v>0</v>
      </c>
      <c r="AI17" s="729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0">
        <f>Gen!A23</f>
        <v>44209</v>
      </c>
      <c r="B18" s="425">
        <f>'Summery Report'!E17</f>
        <v>0</v>
      </c>
      <c r="C18" s="765">
        <f>Gen!B23</f>
        <v>2.5999999999999999E-2</v>
      </c>
      <c r="D18" s="727">
        <f>'Summery Report'!E17</f>
        <v>0</v>
      </c>
      <c r="E18" s="727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7">
        <f>Gen!C23</f>
        <v>33291.340000000004</v>
      </c>
      <c r="I18" s="727">
        <f>Gen!E23</f>
        <v>0</v>
      </c>
      <c r="J18" s="766">
        <f>Gen!T23</f>
        <v>2800</v>
      </c>
      <c r="K18" s="771">
        <f>Gen!AK23</f>
        <v>0</v>
      </c>
      <c r="L18" s="762">
        <f t="shared" si="17"/>
        <v>2800</v>
      </c>
      <c r="M18" s="448">
        <f>'Water-Meter'!K58</f>
        <v>610.47835988862403</v>
      </c>
      <c r="N18" s="722">
        <f>'Water-Meter'!E18</f>
        <v>55</v>
      </c>
      <c r="O18" s="712"/>
      <c r="P18" s="720">
        <v>19032</v>
      </c>
      <c r="Q18" s="732"/>
      <c r="R18" s="426">
        <f t="shared" si="5"/>
        <v>0</v>
      </c>
      <c r="S18" s="707">
        <v>6.4</v>
      </c>
      <c r="T18" s="708">
        <v>17398.419999999998</v>
      </c>
      <c r="U18" s="732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2">
        <f t="shared" si="8"/>
        <v>22</v>
      </c>
      <c r="Z18" s="711">
        <f t="shared" si="9"/>
        <v>44</v>
      </c>
      <c r="AA18" s="719">
        <f t="shared" si="10"/>
        <v>1181004</v>
      </c>
      <c r="AB18" s="716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6">
        <f>'Lpg (2)'!B22*2000/85</f>
        <v>2000</v>
      </c>
      <c r="AG18" s="266">
        <f>'Lpg (2)'!C22*1000/85</f>
        <v>705.88235294117646</v>
      </c>
      <c r="AH18" s="739">
        <f>'Lpg (2)'!D22*1000/85</f>
        <v>0</v>
      </c>
      <c r="AI18" s="729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0">
        <f>Gen!A24</f>
        <v>44210</v>
      </c>
      <c r="B19" s="425">
        <f>'Summery Report'!E18</f>
        <v>0</v>
      </c>
      <c r="C19" s="765">
        <f>Gen!B24</f>
        <v>3.9E-2</v>
      </c>
      <c r="D19" s="727">
        <f>'Summery Report'!E18</f>
        <v>0</v>
      </c>
      <c r="E19" s="727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7">
        <f>Gen!C24</f>
        <v>47078.73</v>
      </c>
      <c r="I19" s="727">
        <f>Gen!E24</f>
        <v>15000</v>
      </c>
      <c r="J19" s="766">
        <f>Gen!T24</f>
        <v>2741</v>
      </c>
      <c r="K19" s="771">
        <f>Gen!AK24</f>
        <v>0</v>
      </c>
      <c r="L19" s="762">
        <f t="shared" si="17"/>
        <v>2741</v>
      </c>
      <c r="M19" s="448">
        <f>'Water-Meter'!K59</f>
        <v>595.23655021732111</v>
      </c>
      <c r="N19" s="722">
        <f>'Water-Meter'!E19</f>
        <v>61</v>
      </c>
      <c r="O19" s="712"/>
      <c r="P19" s="720">
        <v>19032</v>
      </c>
      <c r="Q19" s="732"/>
      <c r="R19" s="426">
        <f t="shared" si="5"/>
        <v>0</v>
      </c>
      <c r="S19" s="707">
        <v>6.4</v>
      </c>
      <c r="T19" s="708">
        <v>17398.419999999998</v>
      </c>
      <c r="U19" s="732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2">
        <f t="shared" si="8"/>
        <v>24</v>
      </c>
      <c r="Z19" s="711">
        <f t="shared" si="9"/>
        <v>48</v>
      </c>
      <c r="AA19" s="719">
        <f t="shared" si="10"/>
        <v>1289520</v>
      </c>
      <c r="AB19" s="716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6">
        <f>'Lpg (2)'!B23*2000/85</f>
        <v>2000</v>
      </c>
      <c r="AG19" s="266">
        <f>'Lpg (2)'!C23*1000/85</f>
        <v>682.35294117647061</v>
      </c>
      <c r="AH19" s="739">
        <f>'Lpg (2)'!D23*1000/85</f>
        <v>0</v>
      </c>
      <c r="AI19" s="729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0">
        <f>Gen!A25</f>
        <v>44211</v>
      </c>
      <c r="B20" s="425">
        <f>'Summery Report'!E19</f>
        <v>0</v>
      </c>
      <c r="C20" s="765">
        <f>Gen!B25</f>
        <v>5.1999999999999998E-2</v>
      </c>
      <c r="D20" s="727">
        <f>'Summery Report'!E19</f>
        <v>0</v>
      </c>
      <c r="E20" s="727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7">
        <f>Gen!C25</f>
        <v>45664.450000000004</v>
      </c>
      <c r="I20" s="727">
        <f>Gen!E25</f>
        <v>0</v>
      </c>
      <c r="J20" s="766">
        <f>Gen!T25</f>
        <v>2782</v>
      </c>
      <c r="K20" s="771">
        <f>Gen!AK25</f>
        <v>0</v>
      </c>
      <c r="L20" s="762">
        <f t="shared" si="17"/>
        <v>2782</v>
      </c>
      <c r="M20" s="448">
        <f>'Water-Meter'!K60</f>
        <v>543.45816945542151</v>
      </c>
      <c r="N20" s="722">
        <f>'Water-Meter'!E20</f>
        <v>78</v>
      </c>
      <c r="O20" s="712"/>
      <c r="P20" s="720">
        <v>19032</v>
      </c>
      <c r="Q20" s="732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2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2">
        <f t="shared" si="8"/>
        <v>24</v>
      </c>
      <c r="Z20" s="711">
        <f t="shared" si="9"/>
        <v>45.599999999999994</v>
      </c>
      <c r="AA20" s="719">
        <f t="shared" si="10"/>
        <v>1226183.9999999998</v>
      </c>
      <c r="AB20" s="716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6">
        <f>'Lpg (2)'!B24*2000/85</f>
        <v>2000</v>
      </c>
      <c r="AG20" s="266">
        <f>'Lpg (2)'!C24*1000/85</f>
        <v>635.29411764705878</v>
      </c>
      <c r="AH20" s="739">
        <f>'Lpg (2)'!D24*1000/85</f>
        <v>0</v>
      </c>
      <c r="AI20" s="729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0">
        <f>Gen!A26</f>
        <v>44212</v>
      </c>
      <c r="B21" s="425">
        <f>'Summery Report'!E20</f>
        <v>0</v>
      </c>
      <c r="C21" s="765">
        <f>Gen!B26</f>
        <v>1.2999999999999999E-2</v>
      </c>
      <c r="D21" s="727">
        <f>'Summery Report'!E20</f>
        <v>0</v>
      </c>
      <c r="E21" s="727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7">
        <f>Gen!C26</f>
        <v>44278.720000000001</v>
      </c>
      <c r="I21" s="727">
        <f>Gen!E26</f>
        <v>0</v>
      </c>
      <c r="J21" s="766">
        <f>Gen!T26</f>
        <v>2569</v>
      </c>
      <c r="K21" s="771">
        <f>Gen!AK26</f>
        <v>0</v>
      </c>
      <c r="L21" s="762">
        <f t="shared" si="17"/>
        <v>2569</v>
      </c>
      <c r="M21" s="448">
        <f>'Water-Meter'!K61</f>
        <v>498.38109301290956</v>
      </c>
      <c r="N21" s="722">
        <f>'Water-Meter'!E21</f>
        <v>51</v>
      </c>
      <c r="O21" s="712"/>
      <c r="P21" s="720">
        <v>19032</v>
      </c>
      <c r="Q21" s="732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2">
        <f>T22-T20</f>
        <v>0</v>
      </c>
      <c r="V21" s="427">
        <f t="shared" si="19"/>
        <v>0</v>
      </c>
      <c r="W21" s="707">
        <v>1.9</v>
      </c>
      <c r="X21" s="713">
        <v>26865</v>
      </c>
      <c r="Y21" s="732">
        <f t="shared" si="8"/>
        <v>24</v>
      </c>
      <c r="Z21" s="711">
        <f t="shared" si="9"/>
        <v>45.599999999999994</v>
      </c>
      <c r="AA21" s="719">
        <f t="shared" si="10"/>
        <v>1226457.5999999999</v>
      </c>
      <c r="AB21" s="716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6">
        <f>'Lpg (2)'!B25*2000/85</f>
        <v>2000</v>
      </c>
      <c r="AG21" s="266">
        <f>'Lpg (2)'!C25*1000/85</f>
        <v>470.58823529411762</v>
      </c>
      <c r="AH21" s="739">
        <f>'Lpg (2)'!D25*1000/85</f>
        <v>0</v>
      </c>
      <c r="AI21" s="729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60">
        <f>Gen!A27</f>
        <v>44213</v>
      </c>
      <c r="B22" s="425">
        <f>'Summery Report'!E21</f>
        <v>0</v>
      </c>
      <c r="C22" s="765">
        <f>Gen!B27</f>
        <v>7.8E-2</v>
      </c>
      <c r="D22" s="727">
        <f>'Summery Report'!E21</f>
        <v>0</v>
      </c>
      <c r="E22" s="727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7">
        <f>Gen!C27</f>
        <v>43074.23</v>
      </c>
      <c r="I22" s="727">
        <f>Gen!E27</f>
        <v>0</v>
      </c>
      <c r="J22" s="766">
        <f>Gen!T27</f>
        <v>0</v>
      </c>
      <c r="K22" s="771">
        <f>Gen!AK27</f>
        <v>0</v>
      </c>
      <c r="L22" s="762">
        <f t="shared" si="17"/>
        <v>0</v>
      </c>
      <c r="M22" s="448">
        <f>'Water-Meter'!K62</f>
        <v>458.03162263637716</v>
      </c>
      <c r="N22" s="722">
        <f>'Water-Meter'!E22</f>
        <v>59</v>
      </c>
      <c r="O22" s="712"/>
      <c r="P22" s="720">
        <v>19032</v>
      </c>
      <c r="Q22" s="732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2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2">
        <f t="shared" si="8"/>
        <v>25</v>
      </c>
      <c r="Z22" s="711">
        <f t="shared" si="9"/>
        <v>47.5</v>
      </c>
      <c r="AA22" s="719">
        <f t="shared" si="10"/>
        <v>1277560</v>
      </c>
      <c r="AB22" s="716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6">
        <f>'Lpg (2)'!B26*2000/85</f>
        <v>2000</v>
      </c>
      <c r="AG22" s="266">
        <f>'Lpg (2)'!C26*1000/85</f>
        <v>447.05882352941177</v>
      </c>
      <c r="AH22" s="739">
        <f>'Lpg (2)'!D26*1000/85</f>
        <v>0</v>
      </c>
      <c r="AI22" s="729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60">
        <f>Gen!A28</f>
        <v>44214</v>
      </c>
      <c r="B23" s="425">
        <f>'Summery Report'!E22</f>
        <v>0</v>
      </c>
      <c r="C23" s="765">
        <f>Gen!B28</f>
        <v>9.0999999999999998E-2</v>
      </c>
      <c r="D23" s="727">
        <f>'Summery Report'!E22</f>
        <v>0</v>
      </c>
      <c r="E23" s="727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7">
        <f>Gen!C28</f>
        <v>41950.61</v>
      </c>
      <c r="I23" s="727">
        <f>Gen!E28</f>
        <v>0</v>
      </c>
      <c r="J23" s="766">
        <f>Gen!T28</f>
        <v>2618</v>
      </c>
      <c r="K23" s="771">
        <f>Gen!AK28</f>
        <v>0</v>
      </c>
      <c r="L23" s="762">
        <f t="shared" si="17"/>
        <v>2618</v>
      </c>
      <c r="M23" s="448">
        <f>'Water-Meter'!K63</f>
        <v>413.38574252439338</v>
      </c>
      <c r="N23" s="722">
        <f>'Water-Meter'!E23</f>
        <v>60</v>
      </c>
      <c r="O23" s="712"/>
      <c r="P23" s="720">
        <v>19032</v>
      </c>
      <c r="Q23" s="732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2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2">
        <f t="shared" si="8"/>
        <v>6</v>
      </c>
      <c r="Z23" s="711">
        <f t="shared" si="9"/>
        <v>11.399999999999999</v>
      </c>
      <c r="AA23" s="719">
        <f t="shared" si="10"/>
        <v>306614.39999999997</v>
      </c>
      <c r="AB23" s="716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6">
        <f>'Lpg (2)'!B27*2000/85</f>
        <v>2000</v>
      </c>
      <c r="AG23" s="266">
        <f>'Lpg (2)'!C27*1000/85</f>
        <v>411.76470588235293</v>
      </c>
      <c r="AH23" s="739">
        <f>'Lpg (2)'!D27*1000/85</f>
        <v>0</v>
      </c>
      <c r="AI23" s="729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60">
        <f>Gen!A29</f>
        <v>44215</v>
      </c>
      <c r="B24" s="425">
        <f>'Summery Report'!E23</f>
        <v>0</v>
      </c>
      <c r="C24" s="765">
        <f>Gen!B29</f>
        <v>0.13</v>
      </c>
      <c r="D24" s="727">
        <f>'Summery Report'!E23</f>
        <v>0</v>
      </c>
      <c r="E24" s="727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7">
        <f>Gen!C29</f>
        <v>40815.17</v>
      </c>
      <c r="I24" s="727">
        <f>Gen!E29</f>
        <v>0</v>
      </c>
      <c r="J24" s="766">
        <f>Gen!T29</f>
        <v>2737</v>
      </c>
      <c r="K24" s="771">
        <f>Gen!AK29</f>
        <v>0</v>
      </c>
      <c r="L24" s="762">
        <f t="shared" si="17"/>
        <v>2737</v>
      </c>
      <c r="M24" s="448">
        <f>'Water-Meter'!K64</f>
        <v>381.65484886469949</v>
      </c>
      <c r="N24" s="722">
        <f>'Water-Meter'!E24</f>
        <v>68</v>
      </c>
      <c r="O24" s="712"/>
      <c r="P24" s="720">
        <v>19032</v>
      </c>
      <c r="Q24" s="732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2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2">
        <f t="shared" si="8"/>
        <v>0</v>
      </c>
      <c r="Z24" s="711">
        <f t="shared" si="9"/>
        <v>0</v>
      </c>
      <c r="AA24" s="719">
        <f t="shared" si="10"/>
        <v>0</v>
      </c>
      <c r="AB24" s="716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6">
        <f>'Lpg (2)'!B28*2000/85</f>
        <v>2000</v>
      </c>
      <c r="AG24" s="266">
        <f>'Lpg (2)'!C28*1000/85</f>
        <v>364.70588235294116</v>
      </c>
      <c r="AH24" s="739">
        <f>'Lpg (2)'!D28*1000/85</f>
        <v>0</v>
      </c>
      <c r="AI24" s="729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60">
        <f>Gen!A30</f>
        <v>44216</v>
      </c>
      <c r="B25" s="425">
        <f>'Summery Report'!E24</f>
        <v>0</v>
      </c>
      <c r="C25" s="765">
        <f>Gen!B30</f>
        <v>6.5000000000000002E-2</v>
      </c>
      <c r="D25" s="727">
        <f>'Summery Report'!E24</f>
        <v>0</v>
      </c>
      <c r="E25" s="727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7">
        <f>Gen!C30</f>
        <v>39524.549999999996</v>
      </c>
      <c r="I25" s="727">
        <f>Gen!E30</f>
        <v>0</v>
      </c>
      <c r="J25" s="766">
        <f>Gen!T30</f>
        <v>2764</v>
      </c>
      <c r="K25" s="771">
        <f>Gen!AK30</f>
        <v>0</v>
      </c>
      <c r="L25" s="762">
        <f t="shared" si="17"/>
        <v>2764</v>
      </c>
      <c r="M25" s="448">
        <f>'Water-Meter'!K65</f>
        <v>392.9382469283488</v>
      </c>
      <c r="N25" s="722">
        <f>'Water-Meter'!E25</f>
        <v>75</v>
      </c>
      <c r="O25" s="712"/>
      <c r="P25" s="720">
        <v>19032</v>
      </c>
      <c r="Q25" s="732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2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2">
        <f t="shared" si="8"/>
        <v>0</v>
      </c>
      <c r="Z25" s="711">
        <f t="shared" si="9"/>
        <v>0</v>
      </c>
      <c r="AA25" s="719">
        <f t="shared" si="10"/>
        <v>0</v>
      </c>
      <c r="AB25" s="716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6">
        <f>'Lpg (2)'!B29*2000/85</f>
        <v>2000</v>
      </c>
      <c r="AG25" s="266">
        <f>'Lpg (2)'!C29*1000/85</f>
        <v>341.1764705882353</v>
      </c>
      <c r="AH25" s="739">
        <f>'Lpg (2)'!D29*1000/85</f>
        <v>0</v>
      </c>
      <c r="AI25" s="729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60">
        <f>Gen!A31</f>
        <v>44217</v>
      </c>
      <c r="B26" s="425">
        <f>'Summery Report'!E25</f>
        <v>0</v>
      </c>
      <c r="C26" s="765">
        <f>Gen!B31</f>
        <v>5.1999999999999998E-2</v>
      </c>
      <c r="D26" s="727">
        <f>'Summery Report'!E25</f>
        <v>0</v>
      </c>
      <c r="E26" s="727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7">
        <f>Gen!C31</f>
        <v>37732.92</v>
      </c>
      <c r="I26" s="727">
        <f>Gen!E31</f>
        <v>0</v>
      </c>
      <c r="J26" s="766">
        <f>Gen!T31</f>
        <v>2630</v>
      </c>
      <c r="K26" s="771">
        <f>Gen!AK31</f>
        <v>0</v>
      </c>
      <c r="L26" s="762">
        <f t="shared" si="17"/>
        <v>2630</v>
      </c>
      <c r="M26" s="448">
        <f>'Water-Meter'!K66</f>
        <v>423.68030630999215</v>
      </c>
      <c r="N26" s="722">
        <f>'Water-Meter'!E26</f>
        <v>60</v>
      </c>
      <c r="O26" s="712"/>
      <c r="P26" s="720">
        <v>19032</v>
      </c>
      <c r="Q26" s="732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2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2">
        <f t="shared" si="8"/>
        <v>0</v>
      </c>
      <c r="Z26" s="711">
        <f t="shared" si="9"/>
        <v>0</v>
      </c>
      <c r="AA26" s="719">
        <f t="shared" si="10"/>
        <v>0</v>
      </c>
      <c r="AB26" s="716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6">
        <f>'Lpg (2)'!B30*2000/85</f>
        <v>2000</v>
      </c>
      <c r="AG26" s="266">
        <f>'Lpg (2)'!C30*1000/85</f>
        <v>317.64705882352939</v>
      </c>
      <c r="AH26" s="739">
        <f>'Lpg (2)'!D30*1000/85</f>
        <v>0</v>
      </c>
      <c r="AI26" s="729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60">
        <f>Gen!A32</f>
        <v>44218</v>
      </c>
      <c r="B27" s="425">
        <f>'Summery Report'!E26</f>
        <v>0</v>
      </c>
      <c r="C27" s="765">
        <f>Gen!B32</f>
        <v>2.5999999999999999E-2</v>
      </c>
      <c r="D27" s="727">
        <f>'Summery Report'!E26</f>
        <v>0</v>
      </c>
      <c r="E27" s="727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7">
        <f>Gen!C32</f>
        <v>36657.409999999996</v>
      </c>
      <c r="I27" s="727">
        <f>Gen!E32</f>
        <v>0</v>
      </c>
      <c r="J27" s="766">
        <f>Gen!T32</f>
        <v>2516</v>
      </c>
      <c r="K27" s="771">
        <f>Gen!AK32</f>
        <v>0</v>
      </c>
      <c r="L27" s="762">
        <f t="shared" si="17"/>
        <v>2516</v>
      </c>
      <c r="M27" s="448">
        <f>'Water-Meter'!K67</f>
        <v>446.82608650448697</v>
      </c>
      <c r="N27" s="722">
        <f>'Water-Meter'!E27</f>
        <v>56</v>
      </c>
      <c r="O27" s="712"/>
      <c r="P27" s="720">
        <v>19032</v>
      </c>
      <c r="Q27" s="732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2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2">
        <f t="shared" si="8"/>
        <v>0</v>
      </c>
      <c r="Z27" s="711">
        <f t="shared" si="9"/>
        <v>0</v>
      </c>
      <c r="AA27" s="719">
        <f t="shared" si="10"/>
        <v>0</v>
      </c>
      <c r="AB27" s="716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6">
        <f>'Lpg (2)'!B31*2000/85</f>
        <v>2000</v>
      </c>
      <c r="AG27" s="266">
        <f>'Lpg (2)'!C31*1000/85</f>
        <v>282.35294117647061</v>
      </c>
      <c r="AH27" s="739">
        <f>'Lpg (2)'!D31*1000/85</f>
        <v>0</v>
      </c>
      <c r="AI27" s="729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60">
        <f>Gen!A33</f>
        <v>44219</v>
      </c>
      <c r="B28" s="425">
        <f>'Summery Report'!E27</f>
        <v>0</v>
      </c>
      <c r="C28" s="765">
        <f>Gen!B33</f>
        <v>0</v>
      </c>
      <c r="D28" s="727">
        <f>'Summery Report'!E27</f>
        <v>0</v>
      </c>
      <c r="E28" s="727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7">
        <f>Gen!C33</f>
        <v>35341.649999999994</v>
      </c>
      <c r="I28" s="727">
        <f>Gen!E33</f>
        <v>0</v>
      </c>
      <c r="J28" s="766">
        <f>Gen!T33</f>
        <v>2755</v>
      </c>
      <c r="K28" s="771">
        <f>Gen!AK33</f>
        <v>0</v>
      </c>
      <c r="L28" s="762">
        <f t="shared" si="17"/>
        <v>2755</v>
      </c>
      <c r="M28" s="448">
        <f>'Water-Meter'!K68</f>
        <v>510.32511582212817</v>
      </c>
      <c r="N28" s="722">
        <f>'Water-Meter'!E28</f>
        <v>59</v>
      </c>
      <c r="O28" s="712"/>
      <c r="P28" s="720">
        <v>19032</v>
      </c>
      <c r="Q28" s="732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2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2">
        <f t="shared" si="8"/>
        <v>0</v>
      </c>
      <c r="Z28" s="711">
        <f t="shared" si="9"/>
        <v>0</v>
      </c>
      <c r="AA28" s="719">
        <f t="shared" si="10"/>
        <v>0</v>
      </c>
      <c r="AB28" s="716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6">
        <f>'Lpg (2)'!B32*2000/85</f>
        <v>2000</v>
      </c>
      <c r="AG28" s="266">
        <f>'Lpg (2)'!C32*1000/85</f>
        <v>247.05882352941177</v>
      </c>
      <c r="AH28" s="739">
        <f>'Lpg (2)'!D32*1000/85</f>
        <v>0</v>
      </c>
      <c r="AI28" s="729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60">
        <f>Gen!A34</f>
        <v>44220</v>
      </c>
      <c r="B29" s="425">
        <f>'Summery Report'!E28</f>
        <v>0</v>
      </c>
      <c r="C29" s="765">
        <f>Gen!B34</f>
        <v>0</v>
      </c>
      <c r="D29" s="727">
        <f>'Summery Report'!E28</f>
        <v>0</v>
      </c>
      <c r="E29" s="727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7">
        <f>Gen!C34</f>
        <v>34118.699999999997</v>
      </c>
      <c r="I29" s="727">
        <f>Gen!E34</f>
        <v>0</v>
      </c>
      <c r="J29" s="766">
        <f>Gen!T34</f>
        <v>0</v>
      </c>
      <c r="K29" s="771">
        <f>Gen!AK34</f>
        <v>0</v>
      </c>
      <c r="L29" s="762">
        <f t="shared" si="17"/>
        <v>0</v>
      </c>
      <c r="M29" s="448">
        <f>'Water-Meter'!K69</f>
        <v>501.49009757538329</v>
      </c>
      <c r="N29" s="722" t="str">
        <f>'Water-Meter'!E29</f>
        <v>0</v>
      </c>
      <c r="O29" s="712"/>
      <c r="P29" s="720"/>
      <c r="Q29" s="732">
        <f t="shared" si="2"/>
        <v>-19032</v>
      </c>
      <c r="R29" s="426">
        <f t="shared" si="5"/>
        <v>0</v>
      </c>
      <c r="S29" s="707"/>
      <c r="T29" s="708"/>
      <c r="U29" s="732">
        <f t="shared" si="6"/>
        <v>-17478</v>
      </c>
      <c r="V29" s="427">
        <f t="shared" si="19"/>
        <v>0</v>
      </c>
      <c r="W29" s="707"/>
      <c r="X29" s="713"/>
      <c r="Y29" s="732">
        <f t="shared" si="8"/>
        <v>-26896</v>
      </c>
      <c r="Z29" s="711">
        <f t="shared" si="9"/>
        <v>0</v>
      </c>
      <c r="AA29" s="719">
        <f t="shared" si="10"/>
        <v>0</v>
      </c>
      <c r="AB29" s="716"/>
      <c r="AC29" s="696">
        <f t="shared" si="21"/>
        <v>-45291</v>
      </c>
      <c r="AD29" s="699"/>
      <c r="AE29" s="178">
        <f t="shared" si="15"/>
        <v>-210718</v>
      </c>
      <c r="AF29" s="726">
        <f>'Lpg (2)'!B33*2000/85</f>
        <v>2000</v>
      </c>
      <c r="AG29" s="266">
        <f>'Lpg (2)'!C33*1000/85</f>
        <v>223.52941176470588</v>
      </c>
      <c r="AH29" s="739">
        <f>'Lpg (2)'!D33*1000/85</f>
        <v>0</v>
      </c>
      <c r="AI29" s="729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60">
        <f>Gen!A35</f>
        <v>44221</v>
      </c>
      <c r="B30" s="425">
        <f>'Summery Report'!E29</f>
        <v>0</v>
      </c>
      <c r="C30" s="765">
        <f>Gen!B35</f>
        <v>0</v>
      </c>
      <c r="D30" s="727">
        <f>'Summery Report'!E29</f>
        <v>0</v>
      </c>
      <c r="E30" s="727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7">
        <f>Gen!C35</f>
        <v>34118.699999999997</v>
      </c>
      <c r="I30" s="727">
        <f>Gen!E35</f>
        <v>18000</v>
      </c>
      <c r="J30" s="766">
        <f>Gen!T35</f>
        <v>0</v>
      </c>
      <c r="K30" s="771">
        <f>Gen!AK35</f>
        <v>0</v>
      </c>
      <c r="L30" s="762">
        <f t="shared" si="17"/>
        <v>0</v>
      </c>
      <c r="M30" s="448">
        <f>'Water-Meter'!K70</f>
        <v>0</v>
      </c>
      <c r="N30" s="722">
        <f>'Water-Meter'!E30</f>
        <v>0</v>
      </c>
      <c r="O30" s="712"/>
      <c r="P30" s="720"/>
      <c r="Q30" s="732">
        <f t="shared" si="2"/>
        <v>0</v>
      </c>
      <c r="R30" s="426">
        <f t="shared" si="5"/>
        <v>0</v>
      </c>
      <c r="S30" s="707"/>
      <c r="T30" s="708"/>
      <c r="U30" s="732">
        <f t="shared" si="6"/>
        <v>0</v>
      </c>
      <c r="V30" s="427">
        <f t="shared" si="19"/>
        <v>0</v>
      </c>
      <c r="W30" s="707"/>
      <c r="X30" s="713"/>
      <c r="Y30" s="732">
        <f t="shared" si="8"/>
        <v>0</v>
      </c>
      <c r="Z30" s="711">
        <f t="shared" si="9"/>
        <v>0</v>
      </c>
      <c r="AA30" s="719">
        <f t="shared" si="10"/>
        <v>0</v>
      </c>
      <c r="AB30" s="716"/>
      <c r="AC30" s="696">
        <f t="shared" si="21"/>
        <v>0</v>
      </c>
      <c r="AD30" s="699"/>
      <c r="AE30" s="178">
        <f t="shared" si="15"/>
        <v>0</v>
      </c>
      <c r="AF30" s="726">
        <f>'Lpg (2)'!B34*2000/85</f>
        <v>0</v>
      </c>
      <c r="AG30" s="266">
        <f>'Lpg (2)'!C34*1000/85</f>
        <v>0</v>
      </c>
      <c r="AH30" s="739">
        <f>'Lpg (2)'!D34*1000/85</f>
        <v>0</v>
      </c>
      <c r="AI30" s="729">
        <f t="shared" si="18"/>
        <v>0</v>
      </c>
      <c r="AJ30" s="428">
        <f t="shared" si="4"/>
        <v>4223529.4117647056</v>
      </c>
      <c r="AK30" s="132"/>
    </row>
    <row r="31" spans="1:37" ht="18.75">
      <c r="A31" s="760">
        <f>Gen!A36</f>
        <v>44222</v>
      </c>
      <c r="B31" s="425">
        <f>'Summery Report'!E30</f>
        <v>0</v>
      </c>
      <c r="C31" s="765">
        <f>Gen!B36</f>
        <v>0</v>
      </c>
      <c r="D31" s="727">
        <f>'Summery Report'!E30</f>
        <v>0</v>
      </c>
      <c r="E31" s="727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7">
        <f>Gen!C36</f>
        <v>34118.699999999997</v>
      </c>
      <c r="I31" s="727">
        <f>Gen!E36</f>
        <v>0</v>
      </c>
      <c r="J31" s="766">
        <f>Gen!T36</f>
        <v>0</v>
      </c>
      <c r="K31" s="771">
        <f>Gen!AK36</f>
        <v>0</v>
      </c>
      <c r="L31" s="762">
        <f t="shared" si="17"/>
        <v>0</v>
      </c>
      <c r="M31" s="448">
        <f>'Water-Meter'!K71</f>
        <v>0</v>
      </c>
      <c r="N31" s="722">
        <f>'Water-Meter'!E31</f>
        <v>0</v>
      </c>
      <c r="O31" s="712"/>
      <c r="P31" s="720"/>
      <c r="Q31" s="732">
        <f t="shared" si="2"/>
        <v>0</v>
      </c>
      <c r="R31" s="426">
        <f t="shared" si="5"/>
        <v>0</v>
      </c>
      <c r="S31" s="707"/>
      <c r="T31" s="708"/>
      <c r="U31" s="732">
        <f t="shared" si="6"/>
        <v>0</v>
      </c>
      <c r="V31" s="427">
        <f t="shared" si="19"/>
        <v>0</v>
      </c>
      <c r="W31" s="707"/>
      <c r="X31" s="714"/>
      <c r="Y31" s="732">
        <f t="shared" si="8"/>
        <v>0</v>
      </c>
      <c r="Z31" s="711">
        <f t="shared" si="9"/>
        <v>0</v>
      </c>
      <c r="AA31" s="719">
        <f t="shared" si="10"/>
        <v>0</v>
      </c>
      <c r="AB31" s="716"/>
      <c r="AC31" s="696">
        <f t="shared" si="21"/>
        <v>0</v>
      </c>
      <c r="AD31" s="699"/>
      <c r="AE31" s="178">
        <f t="shared" si="15"/>
        <v>0</v>
      </c>
      <c r="AF31" s="726">
        <f>'Lpg (2)'!B35*2000/85</f>
        <v>0</v>
      </c>
      <c r="AG31" s="266">
        <f>'Lpg (2)'!C35*1000/85</f>
        <v>0</v>
      </c>
      <c r="AH31" s="739">
        <f>'Lpg (2)'!D35*1000/85</f>
        <v>0</v>
      </c>
      <c r="AI31" s="729">
        <f t="shared" si="18"/>
        <v>0</v>
      </c>
      <c r="AJ31" s="428">
        <f t="shared" si="4"/>
        <v>0</v>
      </c>
      <c r="AK31" s="132"/>
    </row>
    <row r="32" spans="1:37" ht="18.75">
      <c r="A32" s="760">
        <f>Gen!A37</f>
        <v>44223</v>
      </c>
      <c r="B32" s="425">
        <f>'Summery Report'!E31</f>
        <v>0</v>
      </c>
      <c r="C32" s="765">
        <f>Gen!B37</f>
        <v>0</v>
      </c>
      <c r="D32" s="727">
        <f>'Summery Report'!E31</f>
        <v>0</v>
      </c>
      <c r="E32" s="727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7">
        <f>Gen!C37</f>
        <v>34118.699999999997</v>
      </c>
      <c r="I32" s="727">
        <f>Gen!E37</f>
        <v>0</v>
      </c>
      <c r="J32" s="766">
        <f>Gen!T37</f>
        <v>0</v>
      </c>
      <c r="K32" s="771">
        <f>Gen!AK37</f>
        <v>0</v>
      </c>
      <c r="L32" s="762">
        <f t="shared" si="17"/>
        <v>0</v>
      </c>
      <c r="M32" s="448">
        <f>'Water-Meter'!K72</f>
        <v>0</v>
      </c>
      <c r="N32" s="722">
        <f>'Water-Meter'!E32</f>
        <v>0</v>
      </c>
      <c r="O32" s="712"/>
      <c r="P32" s="720"/>
      <c r="Q32" s="732">
        <f t="shared" si="2"/>
        <v>0</v>
      </c>
      <c r="R32" s="426">
        <f t="shared" si="5"/>
        <v>0</v>
      </c>
      <c r="S32" s="707"/>
      <c r="T32" s="708"/>
      <c r="U32" s="732">
        <f t="shared" si="6"/>
        <v>0</v>
      </c>
      <c r="V32" s="427">
        <f t="shared" si="19"/>
        <v>0</v>
      </c>
      <c r="W32" s="707"/>
      <c r="X32" s="713"/>
      <c r="Y32" s="732">
        <f t="shared" si="8"/>
        <v>0</v>
      </c>
      <c r="Z32" s="711">
        <f t="shared" si="9"/>
        <v>0</v>
      </c>
      <c r="AA32" s="719">
        <f t="shared" si="10"/>
        <v>0</v>
      </c>
      <c r="AB32" s="716"/>
      <c r="AC32" s="696">
        <f t="shared" si="21"/>
        <v>0</v>
      </c>
      <c r="AD32" s="699"/>
      <c r="AE32" s="178">
        <f t="shared" si="15"/>
        <v>0</v>
      </c>
      <c r="AF32" s="726">
        <f>'Lpg (2)'!B36*2000/85</f>
        <v>0</v>
      </c>
      <c r="AG32" s="266">
        <f>'Lpg (2)'!C36*1000/85</f>
        <v>0</v>
      </c>
      <c r="AH32" s="739">
        <f>'Lpg (2)'!D36*1000/85</f>
        <v>0</v>
      </c>
      <c r="AI32" s="729">
        <f t="shared" si="18"/>
        <v>0</v>
      </c>
      <c r="AJ32" s="428">
        <f t="shared" si="4"/>
        <v>0</v>
      </c>
      <c r="AK32" s="132"/>
    </row>
    <row r="33" spans="1:37" ht="18.75">
      <c r="A33" s="760">
        <f>Gen!A38</f>
        <v>44224</v>
      </c>
      <c r="B33" s="425">
        <f>'Summery Report'!E32</f>
        <v>0</v>
      </c>
      <c r="C33" s="765">
        <f>Gen!B38</f>
        <v>0</v>
      </c>
      <c r="D33" s="727">
        <f>'Summery Report'!E32</f>
        <v>0</v>
      </c>
      <c r="E33" s="727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7">
        <f>Gen!C38</f>
        <v>34118.699999999997</v>
      </c>
      <c r="I33" s="727">
        <f>Gen!E38</f>
        <v>0</v>
      </c>
      <c r="J33" s="766">
        <f>Gen!T38</f>
        <v>0</v>
      </c>
      <c r="K33" s="771">
        <f>Gen!AK38</f>
        <v>0</v>
      </c>
      <c r="L33" s="762">
        <f t="shared" si="17"/>
        <v>0</v>
      </c>
      <c r="M33" s="448">
        <f>'Water-Meter'!K73</f>
        <v>0</v>
      </c>
      <c r="N33" s="722">
        <f>'Water-Meter'!E33</f>
        <v>0</v>
      </c>
      <c r="O33" s="712"/>
      <c r="P33" s="720"/>
      <c r="Q33" s="732">
        <f t="shared" si="2"/>
        <v>0</v>
      </c>
      <c r="R33" s="426">
        <f t="shared" si="5"/>
        <v>0</v>
      </c>
      <c r="S33" s="707"/>
      <c r="T33" s="708"/>
      <c r="U33" s="732">
        <f t="shared" si="6"/>
        <v>0</v>
      </c>
      <c r="V33" s="427">
        <f t="shared" si="19"/>
        <v>0</v>
      </c>
      <c r="W33" s="707"/>
      <c r="X33" s="713"/>
      <c r="Y33" s="732">
        <f t="shared" si="8"/>
        <v>0</v>
      </c>
      <c r="Z33" s="711">
        <f t="shared" si="9"/>
        <v>0</v>
      </c>
      <c r="AA33" s="719">
        <f t="shared" si="10"/>
        <v>0</v>
      </c>
      <c r="AB33" s="716"/>
      <c r="AC33" s="696">
        <f t="shared" si="21"/>
        <v>0</v>
      </c>
      <c r="AD33" s="699"/>
      <c r="AE33" s="178">
        <f t="shared" si="15"/>
        <v>0</v>
      </c>
      <c r="AF33" s="726">
        <f>'Lpg (2)'!B37*2000/85</f>
        <v>0</v>
      </c>
      <c r="AG33" s="266">
        <f>'Lpg (2)'!C37*1000/85</f>
        <v>0</v>
      </c>
      <c r="AH33" s="739">
        <f>'Lpg (2)'!D37*1000/85</f>
        <v>0</v>
      </c>
      <c r="AI33" s="729">
        <f t="shared" si="18"/>
        <v>0</v>
      </c>
      <c r="AJ33" s="428">
        <f t="shared" si="4"/>
        <v>0</v>
      </c>
      <c r="AK33" s="132"/>
    </row>
    <row r="34" spans="1:37" ht="18.75">
      <c r="A34" s="760">
        <f>Gen!A39</f>
        <v>44225</v>
      </c>
      <c r="B34" s="425">
        <f>'Summery Report'!E33</f>
        <v>0</v>
      </c>
      <c r="C34" s="765">
        <f>Gen!B39</f>
        <v>0</v>
      </c>
      <c r="D34" s="727">
        <f>'Summery Report'!E33</f>
        <v>0</v>
      </c>
      <c r="E34" s="727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7">
        <f>Gen!C39</f>
        <v>34118.699999999997</v>
      </c>
      <c r="I34" s="727">
        <f>Gen!E39</f>
        <v>0</v>
      </c>
      <c r="J34" s="766">
        <f>Gen!T39</f>
        <v>0</v>
      </c>
      <c r="K34" s="771">
        <f>Gen!AK39</f>
        <v>0</v>
      </c>
      <c r="L34" s="762">
        <f t="shared" si="17"/>
        <v>0</v>
      </c>
      <c r="M34" s="448">
        <f>'Water-Meter'!K74</f>
        <v>0</v>
      </c>
      <c r="N34" s="722">
        <f>'Water-Meter'!E34</f>
        <v>0</v>
      </c>
      <c r="O34" s="712"/>
      <c r="P34" s="720"/>
      <c r="Q34" s="732">
        <f t="shared" si="2"/>
        <v>0</v>
      </c>
      <c r="R34" s="426">
        <f t="shared" si="5"/>
        <v>0</v>
      </c>
      <c r="S34" s="707"/>
      <c r="T34" s="708"/>
      <c r="U34" s="732">
        <f t="shared" si="6"/>
        <v>0</v>
      </c>
      <c r="V34" s="427">
        <f t="shared" si="19"/>
        <v>0</v>
      </c>
      <c r="W34" s="707"/>
      <c r="X34" s="713"/>
      <c r="Y34" s="732">
        <f t="shared" si="8"/>
        <v>0</v>
      </c>
      <c r="Z34" s="711">
        <f t="shared" si="9"/>
        <v>0</v>
      </c>
      <c r="AA34" s="719">
        <f t="shared" si="10"/>
        <v>0</v>
      </c>
      <c r="AB34" s="716"/>
      <c r="AC34" s="696">
        <f t="shared" si="21"/>
        <v>0</v>
      </c>
      <c r="AD34" s="699"/>
      <c r="AE34" s="178">
        <f t="shared" si="15"/>
        <v>0</v>
      </c>
      <c r="AF34" s="726">
        <f>'Lpg (2)'!B38*2000/85</f>
        <v>0</v>
      </c>
      <c r="AG34" s="266">
        <f>'Lpg (2)'!C38*1000/85</f>
        <v>0</v>
      </c>
      <c r="AH34" s="739">
        <f>'Lpg (2)'!D38*1000/85</f>
        <v>0</v>
      </c>
      <c r="AI34" s="729">
        <f t="shared" si="18"/>
        <v>0</v>
      </c>
      <c r="AJ34" s="428">
        <f t="shared" si="4"/>
        <v>0</v>
      </c>
      <c r="AK34" s="132"/>
    </row>
    <row r="35" spans="1:37" ht="18.75">
      <c r="A35" s="760">
        <f>Gen!A40</f>
        <v>44226</v>
      </c>
      <c r="B35" s="425">
        <f>'Summery Report'!E34</f>
        <v>0</v>
      </c>
      <c r="C35" s="765">
        <f>Gen!B40</f>
        <v>0</v>
      </c>
      <c r="D35" s="727">
        <f>'Summery Report'!E34</f>
        <v>0</v>
      </c>
      <c r="E35" s="727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7">
        <f>Gen!C40</f>
        <v>34118.699999999997</v>
      </c>
      <c r="I35" s="727">
        <f>Gen!E40</f>
        <v>0</v>
      </c>
      <c r="J35" s="766">
        <f>Gen!T40</f>
        <v>0</v>
      </c>
      <c r="K35" s="771">
        <f>Gen!AK40</f>
        <v>0</v>
      </c>
      <c r="L35" s="762">
        <f t="shared" si="17"/>
        <v>0</v>
      </c>
      <c r="M35" s="448">
        <f>'Water-Meter'!K75</f>
        <v>0</v>
      </c>
      <c r="N35" s="722">
        <f>'Water-Meter'!E35</f>
        <v>0</v>
      </c>
      <c r="O35" s="712"/>
      <c r="P35" s="720"/>
      <c r="Q35" s="732">
        <f t="shared" si="2"/>
        <v>0</v>
      </c>
      <c r="R35" s="426">
        <f t="shared" si="5"/>
        <v>0</v>
      </c>
      <c r="S35" s="707"/>
      <c r="T35" s="708"/>
      <c r="U35" s="732">
        <f t="shared" si="6"/>
        <v>0</v>
      </c>
      <c r="V35" s="427">
        <f t="shared" si="19"/>
        <v>0</v>
      </c>
      <c r="W35" s="707"/>
      <c r="X35" s="713"/>
      <c r="Y35" s="732">
        <f t="shared" si="8"/>
        <v>0</v>
      </c>
      <c r="Z35" s="711">
        <f t="shared" si="9"/>
        <v>0</v>
      </c>
      <c r="AA35" s="719">
        <f t="shared" si="10"/>
        <v>0</v>
      </c>
      <c r="AB35" s="716"/>
      <c r="AC35" s="696">
        <f t="shared" si="21"/>
        <v>0</v>
      </c>
      <c r="AD35" s="699"/>
      <c r="AE35" s="178">
        <f t="shared" si="15"/>
        <v>0</v>
      </c>
      <c r="AF35" s="726">
        <f>'Lpg (2)'!B39*2000/85</f>
        <v>0</v>
      </c>
      <c r="AG35" s="266">
        <f>'Lpg (2)'!C39*1000/85</f>
        <v>0</v>
      </c>
      <c r="AH35" s="739">
        <f>'Lpg (2)'!D39*1000/85</f>
        <v>0</v>
      </c>
      <c r="AI35" s="729">
        <f t="shared" si="18"/>
        <v>0</v>
      </c>
      <c r="AJ35" s="428">
        <f t="shared" si="4"/>
        <v>0</v>
      </c>
      <c r="AK35" s="132"/>
    </row>
    <row r="36" spans="1:37" ht="18.75">
      <c r="A36" s="760">
        <f>Gen!A41</f>
        <v>44227</v>
      </c>
      <c r="B36" s="425">
        <f>'Summery Report'!E35</f>
        <v>0</v>
      </c>
      <c r="C36" s="765">
        <f>Gen!B41</f>
        <v>0</v>
      </c>
      <c r="D36" s="727">
        <f>'Summery Report'!E35</f>
        <v>0</v>
      </c>
      <c r="E36" s="727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7">
        <f>Gen!C41</f>
        <v>34118.699999999997</v>
      </c>
      <c r="I36" s="727">
        <f>Gen!E41</f>
        <v>0</v>
      </c>
      <c r="J36" s="766">
        <f>Gen!T41</f>
        <v>0</v>
      </c>
      <c r="K36" s="771">
        <f>Gen!AK41</f>
        <v>0</v>
      </c>
      <c r="L36" s="762">
        <f t="shared" si="17"/>
        <v>0</v>
      </c>
      <c r="M36" s="448">
        <f>'Water-Meter'!K76</f>
        <v>0</v>
      </c>
      <c r="N36" s="722">
        <f>'Water-Meter'!E36</f>
        <v>0</v>
      </c>
      <c r="O36" s="712"/>
      <c r="P36" s="720"/>
      <c r="Q36" s="732">
        <f t="shared" si="2"/>
        <v>0</v>
      </c>
      <c r="R36" s="426">
        <f t="shared" si="5"/>
        <v>0</v>
      </c>
      <c r="S36" s="707"/>
      <c r="T36" s="708"/>
      <c r="U36" s="732">
        <f t="shared" si="6"/>
        <v>0</v>
      </c>
      <c r="V36" s="427">
        <f t="shared" si="19"/>
        <v>0</v>
      </c>
      <c r="W36" s="707"/>
      <c r="X36" s="713"/>
      <c r="Y36" s="732">
        <f t="shared" si="8"/>
        <v>0</v>
      </c>
      <c r="Z36" s="711">
        <f t="shared" si="9"/>
        <v>0</v>
      </c>
      <c r="AA36" s="719">
        <f t="shared" si="10"/>
        <v>0</v>
      </c>
      <c r="AB36" s="716"/>
      <c r="AC36" s="696">
        <f t="shared" si="21"/>
        <v>0</v>
      </c>
      <c r="AD36" s="699"/>
      <c r="AE36" s="178">
        <f t="shared" si="15"/>
        <v>0</v>
      </c>
      <c r="AF36" s="726">
        <f>'Lpg (2)'!B40*2000/85</f>
        <v>0</v>
      </c>
      <c r="AG36" s="266">
        <f>'Lpg (2)'!C40*1000/85</f>
        <v>0</v>
      </c>
      <c r="AH36" s="739">
        <f>'Lpg (2)'!D40*1000/85</f>
        <v>0</v>
      </c>
      <c r="AI36" s="729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1">
        <f>Gen!A42</f>
        <v>0</v>
      </c>
      <c r="B37" s="772">
        <v>0</v>
      </c>
      <c r="C37" s="773"/>
      <c r="D37" s="773"/>
      <c r="E37" s="773"/>
      <c r="F37" s="773"/>
      <c r="G37" s="773"/>
      <c r="H37" s="774"/>
      <c r="I37" s="775"/>
      <c r="J37" s="776">
        <f>SUM(J6:J36)</f>
        <v>67571</v>
      </c>
      <c r="K37" s="777"/>
      <c r="L37" s="763">
        <f t="shared" si="17"/>
        <v>67571</v>
      </c>
      <c r="M37" s="448">
        <f>'Water-Meter'!K77</f>
        <v>0</v>
      </c>
      <c r="N37" s="723">
        <f>'Water-Meter'!E37</f>
        <v>0</v>
      </c>
      <c r="O37" s="709"/>
      <c r="P37" s="710"/>
      <c r="Q37" s="733">
        <f t="shared" ref="Q37" si="22">SUM(P37-P36)</f>
        <v>0</v>
      </c>
      <c r="R37" s="734">
        <f t="shared" ref="R37" si="23">SUM(Q37*O37)</f>
        <v>0</v>
      </c>
      <c r="S37" s="709"/>
      <c r="T37" s="710"/>
      <c r="U37" s="733">
        <f t="shared" ref="U37" si="24">T37-T36</f>
        <v>0</v>
      </c>
      <c r="V37" s="735">
        <f t="shared" ref="V37" si="25">SUM(U37*S37)</f>
        <v>0</v>
      </c>
      <c r="W37" s="709"/>
      <c r="X37" s="710"/>
      <c r="Y37" s="733">
        <f t="shared" ref="Y37" si="26">X37-X36</f>
        <v>0</v>
      </c>
      <c r="Z37" s="736">
        <f t="shared" ref="Z37" si="27">SUM(Y37*W37)</f>
        <v>0</v>
      </c>
      <c r="AA37" s="737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40">
        <f>'Lpg (2)'!B41*2000/85</f>
        <v>0</v>
      </c>
      <c r="AG37" s="741">
        <f>'Lpg (2)'!C41*1000/85</f>
        <v>0</v>
      </c>
      <c r="AH37" s="742">
        <f>'Lpg (2)'!D41*1000/85</f>
        <v>0</v>
      </c>
      <c r="AI37" s="730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9" sqref="W29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1" t="s">
        <v>156</v>
      </c>
      <c r="C3" s="862"/>
      <c r="D3" s="166"/>
      <c r="E3" s="579">
        <v>9018.2000000000007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>
        <f>'Water-Meter'!J5</f>
        <v>8184</v>
      </c>
      <c r="Q3" s="165"/>
      <c r="R3" s="241"/>
      <c r="S3" s="642"/>
      <c r="T3" s="861" t="s">
        <v>156</v>
      </c>
      <c r="U3" s="862"/>
      <c r="V3" s="166"/>
      <c r="W3" s="580">
        <v>7926.8</v>
      </c>
      <c r="X3" s="590">
        <f t="shared" ref="X3:X35" si="0">(W3-V3)*200</f>
        <v>1585360</v>
      </c>
      <c r="Y3" s="861" t="s">
        <v>156</v>
      </c>
      <c r="Z3" s="862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0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0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</v>
      </c>
      <c r="B27" s="594">
        <f>Gen!A34</f>
        <v>44220</v>
      </c>
      <c r="C27" s="581"/>
      <c r="D27" s="583">
        <f t="shared" si="16"/>
        <v>9061.4</v>
      </c>
      <c r="E27" s="579"/>
      <c r="F27" s="583">
        <f t="shared" si="15"/>
        <v>-1087368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-8228</v>
      </c>
      <c r="R27" s="628">
        <f t="shared" si="14"/>
        <v>-5.094736842105263</v>
      </c>
      <c r="S27" s="629">
        <f>Gen!T34</f>
        <v>0</v>
      </c>
      <c r="T27" s="630">
        <f t="shared" si="9"/>
        <v>44220</v>
      </c>
      <c r="U27" s="581"/>
      <c r="V27" s="583">
        <f t="shared" si="5"/>
        <v>7975.6</v>
      </c>
      <c r="W27" s="580"/>
      <c r="X27" s="583">
        <f t="shared" si="0"/>
        <v>-1595120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-20850</v>
      </c>
    </row>
    <row r="28" spans="1:29" ht="19.5" thickBot="1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30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9.5" thickBot="1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30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9.5" thickBot="1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30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30">
        <f t="shared" si="9"/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30">
        <f t="shared" si="9"/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7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30">
        <f t="shared" si="9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7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0</v>
      </c>
      <c r="W34" s="580"/>
      <c r="X34" s="583">
        <f t="shared" si="0"/>
        <v>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44197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 t="e">
        <f>Gen!U27</f>
        <v>#DIV/0!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24</v>
      </c>
      <c r="C27" s="87">
        <f>Gen!B33</f>
        <v>0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-157281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 t="str">
        <f>'Water-Meter'!E29</f>
        <v>0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34118.699999999997</v>
      </c>
      <c r="K29" s="295">
        <f>'Water-Meter'!E30</f>
        <v>0</v>
      </c>
      <c r="L29" s="655">
        <f>'Lpg (2)'!G34</f>
        <v>-328030.03200000001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34118.699999999997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34118.699999999997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34118.699999999997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34118.699999999997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34118.699999999997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34118.699999999997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34118.699999999997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B30" sqref="AB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44197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1" t="s">
        <v>191</v>
      </c>
      <c r="R4" s="339" t="s">
        <v>192</v>
      </c>
      <c r="S4" s="83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6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30">
        <v>30626</v>
      </c>
      <c r="P5" s="687"/>
      <c r="Q5" s="676"/>
      <c r="R5" s="305">
        <v>35879</v>
      </c>
      <c r="S5" s="687"/>
      <c r="T5" s="676"/>
      <c r="U5" s="830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6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0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6">
        <v>14708.63</v>
      </c>
      <c r="D7" s="797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6">
        <v>13047.77</v>
      </c>
      <c r="D8" s="797">
        <v>17143.12</v>
      </c>
      <c r="E8" s="491"/>
      <c r="F8" s="796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6">
        <v>29600.11</v>
      </c>
      <c r="D9" s="797">
        <v>17143.12</v>
      </c>
      <c r="E9" s="491"/>
      <c r="F9" s="797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6">
        <v>28167.98</v>
      </c>
      <c r="D10" s="797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6">
        <v>26683.66</v>
      </c>
      <c r="D11" s="797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6">
        <v>25352.3</v>
      </c>
      <c r="D12" s="797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6">
        <v>23588.99</v>
      </c>
      <c r="D13" s="797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7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6">
        <v>22190.98</v>
      </c>
      <c r="D14" s="797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6">
        <v>20453.599999999999</v>
      </c>
      <c r="D15" s="797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6">
        <v>18807.36</v>
      </c>
      <c r="D16" s="797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6">
        <v>17581.810000000001</v>
      </c>
      <c r="D17" s="797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6">
        <v>16148.22</v>
      </c>
      <c r="D18" s="797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6">
        <v>14935.61</v>
      </c>
      <c r="D19" s="797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6">
        <v>13521.33</v>
      </c>
      <c r="D20" s="797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6">
        <v>27135.599999999999</v>
      </c>
      <c r="D21" s="797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6">
        <v>2593.11</v>
      </c>
      <c r="D22" s="797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6">
        <v>23672.59</v>
      </c>
      <c r="D23" s="797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6">
        <v>22381.43</v>
      </c>
      <c r="D24" s="797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6">
        <v>20589.080000000002</v>
      </c>
      <c r="D25" s="797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6">
        <v>19514.29</v>
      </c>
      <c r="D26" s="797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6">
        <v>18198.53</v>
      </c>
      <c r="D27" s="797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0</v>
      </c>
      <c r="C28" s="796">
        <v>16975.580000000002</v>
      </c>
      <c r="D28" s="797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35920</v>
      </c>
      <c r="S28" s="304">
        <f t="shared" si="5"/>
        <v>0</v>
      </c>
      <c r="T28" s="304">
        <f t="shared" si="6"/>
        <v>33159</v>
      </c>
      <c r="U28" s="305">
        <v>33159</v>
      </c>
      <c r="V28" s="304">
        <f t="shared" si="7"/>
        <v>0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24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</v>
      </c>
      <c r="C29" s="796"/>
      <c r="D29" s="797"/>
      <c r="E29" s="305"/>
      <c r="F29" s="305"/>
      <c r="G29" s="305"/>
      <c r="H29" s="305"/>
      <c r="I29" s="305"/>
      <c r="J29" s="679"/>
      <c r="K29" s="689">
        <f t="shared" si="0"/>
        <v>35729</v>
      </c>
      <c r="L29" s="305"/>
      <c r="M29" s="304">
        <f t="shared" si="1"/>
        <v>-35729</v>
      </c>
      <c r="N29" s="306">
        <f t="shared" si="2"/>
        <v>30654</v>
      </c>
      <c r="O29" s="305"/>
      <c r="P29" s="304">
        <f t="shared" si="3"/>
        <v>-30654</v>
      </c>
      <c r="Q29" s="304">
        <f t="shared" si="4"/>
        <v>35920</v>
      </c>
      <c r="R29" s="305"/>
      <c r="S29" s="304">
        <f t="shared" si="5"/>
        <v>-35920</v>
      </c>
      <c r="T29" s="304">
        <f t="shared" si="6"/>
        <v>33159</v>
      </c>
      <c r="U29" s="305"/>
      <c r="V29" s="304">
        <f t="shared" si="7"/>
        <v>-33159</v>
      </c>
      <c r="W29" s="306">
        <f t="shared" si="8"/>
        <v>21819</v>
      </c>
      <c r="X29" s="305"/>
      <c r="Y29" s="304">
        <f t="shared" si="9"/>
        <v>-21819</v>
      </c>
      <c r="Z29" s="307">
        <f t="shared" si="11"/>
        <v>-157281</v>
      </c>
      <c r="AA29" s="125"/>
      <c r="AB29" s="125"/>
      <c r="AC29" s="690">
        <f>Gen!AR34</f>
        <v>0</v>
      </c>
    </row>
    <row r="30" spans="1:29" ht="20.100000000000001" customHeight="1">
      <c r="A30" s="683">
        <f>Gen!A35</f>
        <v>44221</v>
      </c>
      <c r="B30" s="678">
        <f>Gen!B35</f>
        <v>0</v>
      </c>
      <c r="C30" s="796"/>
      <c r="D30" s="797"/>
      <c r="E30" s="305"/>
      <c r="F30" s="305"/>
      <c r="G30" s="305"/>
      <c r="H30" s="305"/>
      <c r="I30" s="305"/>
      <c r="J30" s="679"/>
      <c r="K30" s="689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0">
        <f>Gen!AR35</f>
        <v>0</v>
      </c>
    </row>
    <row r="31" spans="1:29" ht="20.100000000000001" customHeight="1">
      <c r="A31" s="683">
        <f>Gen!A36</f>
        <v>44222</v>
      </c>
      <c r="B31" s="678">
        <f>Gen!B36</f>
        <v>0</v>
      </c>
      <c r="C31" s="796"/>
      <c r="D31" s="797"/>
      <c r="E31" s="305"/>
      <c r="F31" s="305"/>
      <c r="G31" s="305"/>
      <c r="H31" s="305"/>
      <c r="I31" s="305"/>
      <c r="J31" s="679"/>
      <c r="K31" s="689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0">
        <f>Gen!AR36</f>
        <v>0</v>
      </c>
    </row>
    <row r="32" spans="1:29" ht="20.100000000000001" customHeight="1">
      <c r="A32" s="683">
        <f>Gen!A37</f>
        <v>44223</v>
      </c>
      <c r="B32" s="678">
        <f>Gen!B37</f>
        <v>0</v>
      </c>
      <c r="C32" s="796"/>
      <c r="D32" s="797"/>
      <c r="E32" s="305"/>
      <c r="F32" s="305"/>
      <c r="G32" s="305"/>
      <c r="H32" s="305"/>
      <c r="I32" s="305"/>
      <c r="J32" s="679"/>
      <c r="K32" s="689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0">
        <f>Gen!AR37</f>
        <v>0</v>
      </c>
    </row>
    <row r="33" spans="1:29" ht="20.100000000000001" customHeight="1">
      <c r="A33" s="683">
        <f>Gen!A38</f>
        <v>44224</v>
      </c>
      <c r="B33" s="678">
        <f>Gen!B38</f>
        <v>0</v>
      </c>
      <c r="C33" s="796"/>
      <c r="D33" s="797"/>
      <c r="E33" s="305"/>
      <c r="F33" s="305"/>
      <c r="G33" s="305"/>
      <c r="H33" s="305"/>
      <c r="I33" s="305"/>
      <c r="J33" s="679"/>
      <c r="K33" s="689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0">
        <f>Gen!AR38</f>
        <v>0</v>
      </c>
    </row>
    <row r="34" spans="1:29" ht="20.100000000000001" customHeight="1">
      <c r="A34" s="683">
        <f>Gen!A39</f>
        <v>44225</v>
      </c>
      <c r="B34" s="678">
        <f>Gen!B39</f>
        <v>0</v>
      </c>
      <c r="C34" s="796"/>
      <c r="D34" s="797"/>
      <c r="E34" s="305"/>
      <c r="F34" s="305"/>
      <c r="G34" s="305"/>
      <c r="H34" s="305"/>
      <c r="I34" s="305"/>
      <c r="J34" s="679"/>
      <c r="K34" s="689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0">
        <f>Gen!AR39</f>
        <v>0</v>
      </c>
    </row>
    <row r="35" spans="1:29" ht="20.100000000000001" customHeight="1">
      <c r="A35" s="683">
        <f>Gen!A40</f>
        <v>44226</v>
      </c>
      <c r="B35" s="678">
        <f>Gen!B40</f>
        <v>0</v>
      </c>
      <c r="C35" s="796"/>
      <c r="D35" s="797"/>
      <c r="E35" s="305"/>
      <c r="F35" s="305"/>
      <c r="G35" s="305"/>
      <c r="H35" s="305"/>
      <c r="I35" s="305"/>
      <c r="J35" s="679"/>
      <c r="K35" s="689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6"/>
      <c r="D36" s="797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N35" sqref="N35"/>
    </sheetView>
  </sheetViews>
  <sheetFormatPr defaultColWidth="9.140625" defaultRowHeight="11.25"/>
  <cols>
    <col min="1" max="1" width="9.85546875" style="798" customWidth="1"/>
    <col min="2" max="2" width="9.5703125" style="798" customWidth="1"/>
    <col min="3" max="3" width="9.85546875" style="798" bestFit="1" customWidth="1"/>
    <col min="4" max="4" width="9.140625" style="798" customWidth="1"/>
    <col min="5" max="5" width="10.140625" style="798" customWidth="1"/>
    <col min="6" max="6" width="10.7109375" style="798" customWidth="1"/>
    <col min="7" max="7" width="11.28515625" style="798" customWidth="1"/>
    <col min="8" max="8" width="9.7109375" style="798" customWidth="1"/>
    <col min="9" max="9" width="8" style="798" customWidth="1"/>
    <col min="10" max="10" width="8.7109375" style="798" customWidth="1"/>
    <col min="11" max="11" width="8.85546875" style="798" bestFit="1" customWidth="1"/>
    <col min="12" max="12" width="10.140625" style="798" customWidth="1"/>
    <col min="13" max="13" width="10.85546875" style="798" customWidth="1"/>
    <col min="14" max="14" width="11.42578125" style="798" customWidth="1"/>
    <col min="15" max="15" width="10.140625" style="798" customWidth="1"/>
    <col min="16" max="16" width="11.140625" style="798" customWidth="1"/>
    <col min="17" max="17" width="10.7109375" style="798" customWidth="1"/>
    <col min="18" max="18" width="13.140625" style="798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44197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9" t="s">
        <v>2</v>
      </c>
      <c r="D8" s="800" t="s">
        <v>38</v>
      </c>
      <c r="E8" s="800" t="s">
        <v>96</v>
      </c>
      <c r="F8" s="801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3">
        <v>33639.449999999997</v>
      </c>
      <c r="D9" s="802"/>
      <c r="E9" s="803"/>
      <c r="F9" s="804"/>
      <c r="G9" s="805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6"/>
      <c r="D10" s="807"/>
      <c r="E10" s="808"/>
      <c r="F10" s="299"/>
      <c r="G10" s="809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4">
        <v>0.53200000000000003</v>
      </c>
      <c r="C11" s="810">
        <f>SUM(C9+D11)</f>
        <v>33639.449999999997</v>
      </c>
      <c r="D11" s="811"/>
      <c r="E11" s="808"/>
      <c r="F11" s="299"/>
      <c r="G11" s="809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5">
        <v>0.3</v>
      </c>
      <c r="C12" s="810">
        <f t="shared" ref="C12:C43" si="6">SUM(C11-AR11+D12)</f>
        <v>31851.749999999996</v>
      </c>
      <c r="D12" s="811"/>
      <c r="E12" s="808"/>
      <c r="F12" s="526"/>
      <c r="G12" s="809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6">
        <v>0.26</v>
      </c>
      <c r="C13" s="810">
        <f t="shared" si="6"/>
        <v>48190.89</v>
      </c>
      <c r="D13" s="811">
        <v>18000</v>
      </c>
      <c r="E13" s="808">
        <v>18000</v>
      </c>
      <c r="F13" s="828" t="s">
        <v>318</v>
      </c>
      <c r="G13" s="809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6">
        <v>0.182</v>
      </c>
      <c r="C14" s="810">
        <f t="shared" si="6"/>
        <v>46743.22</v>
      </c>
      <c r="D14" s="811"/>
      <c r="E14" s="808"/>
      <c r="F14" s="812"/>
      <c r="G14" s="809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6">
        <v>0.20799999999999999</v>
      </c>
      <c r="C15" s="810">
        <f t="shared" si="6"/>
        <v>45311.1</v>
      </c>
      <c r="D15" s="811"/>
      <c r="E15" s="808"/>
      <c r="F15" s="812"/>
      <c r="G15" s="809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6">
        <v>0.182</v>
      </c>
      <c r="C16" s="810">
        <f t="shared" si="6"/>
        <v>43826.78</v>
      </c>
      <c r="D16" s="811"/>
      <c r="E16" s="808"/>
      <c r="F16" s="812"/>
      <c r="G16" s="809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6">
        <v>0.32500000000000001</v>
      </c>
      <c r="C17" s="810">
        <f t="shared" si="6"/>
        <v>42495.42</v>
      </c>
      <c r="D17" s="811"/>
      <c r="E17" s="808"/>
      <c r="F17" s="812"/>
      <c r="G17" s="809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6">
        <v>0.247</v>
      </c>
      <c r="C18" s="810">
        <f t="shared" si="6"/>
        <v>40732.11</v>
      </c>
      <c r="D18" s="811"/>
      <c r="E18" s="808"/>
      <c r="F18" s="812"/>
      <c r="G18" s="809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6">
        <v>0.14000000000000001</v>
      </c>
      <c r="C19" s="810">
        <f t="shared" si="6"/>
        <v>39079.26</v>
      </c>
      <c r="D19" s="811"/>
      <c r="E19" s="808"/>
      <c r="F19" s="812"/>
      <c r="G19" s="809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6">
        <v>0.221</v>
      </c>
      <c r="C20" s="810">
        <f t="shared" si="6"/>
        <v>37596.720000000001</v>
      </c>
      <c r="D20" s="811"/>
      <c r="E20" s="808"/>
      <c r="F20" s="812"/>
      <c r="G20" s="809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6">
        <v>0.11700000000000001</v>
      </c>
      <c r="C21" s="810">
        <f t="shared" si="6"/>
        <v>35950.480000000003</v>
      </c>
      <c r="D21" s="811"/>
      <c r="E21" s="808"/>
      <c r="F21" s="812"/>
      <c r="G21" s="809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6">
        <v>0.16900000000000001</v>
      </c>
      <c r="C22" s="810">
        <f t="shared" si="6"/>
        <v>34549.060000000005</v>
      </c>
      <c r="D22" s="811"/>
      <c r="E22" s="808"/>
      <c r="F22" s="813"/>
      <c r="G22" s="809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6">
        <v>2.5999999999999999E-2</v>
      </c>
      <c r="C23" s="810">
        <f t="shared" si="6"/>
        <v>33291.340000000004</v>
      </c>
      <c r="D23" s="811"/>
      <c r="E23" s="808"/>
      <c r="F23" s="813"/>
      <c r="G23" s="809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6">
        <v>3.9E-2</v>
      </c>
      <c r="C24" s="810">
        <f t="shared" si="6"/>
        <v>47078.73</v>
      </c>
      <c r="D24" s="814">
        <v>15000</v>
      </c>
      <c r="E24" s="808">
        <v>15000</v>
      </c>
      <c r="F24" s="829" t="s">
        <v>319</v>
      </c>
      <c r="G24" s="809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6">
        <v>5.1999999999999998E-2</v>
      </c>
      <c r="C25" s="810">
        <f t="shared" si="6"/>
        <v>45664.450000000004</v>
      </c>
      <c r="D25" s="811"/>
      <c r="E25" s="808"/>
      <c r="F25" s="812"/>
      <c r="G25" s="809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6">
        <v>1.2999999999999999E-2</v>
      </c>
      <c r="C26" s="810">
        <f t="shared" si="6"/>
        <v>44278.720000000001</v>
      </c>
      <c r="D26" s="811"/>
      <c r="E26" s="808"/>
      <c r="F26" s="813"/>
      <c r="G26" s="809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6">
        <v>7.8E-2</v>
      </c>
      <c r="C27" s="810">
        <f t="shared" si="6"/>
        <v>43074.23</v>
      </c>
      <c r="D27" s="811"/>
      <c r="E27" s="808"/>
      <c r="F27" s="812"/>
      <c r="G27" s="809">
        <v>1123.6199999999999</v>
      </c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6">
        <v>9.0999999999999998E-2</v>
      </c>
      <c r="C28" s="810">
        <f t="shared" si="6"/>
        <v>41950.61</v>
      </c>
      <c r="D28" s="811"/>
      <c r="E28" s="808"/>
      <c r="F28" s="812"/>
      <c r="G28" s="809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6">
        <v>0.13</v>
      </c>
      <c r="C29" s="810">
        <f t="shared" si="6"/>
        <v>40815.17</v>
      </c>
      <c r="D29" s="811"/>
      <c r="E29" s="808"/>
      <c r="F29" s="812"/>
      <c r="G29" s="809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6">
        <v>6.5000000000000002E-2</v>
      </c>
      <c r="C30" s="810">
        <f t="shared" si="6"/>
        <v>39524.549999999996</v>
      </c>
      <c r="D30" s="811"/>
      <c r="E30" s="808"/>
      <c r="F30" s="812"/>
      <c r="G30" s="809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6">
        <v>5.1999999999999998E-2</v>
      </c>
      <c r="C31" s="810">
        <f t="shared" si="6"/>
        <v>37732.92</v>
      </c>
      <c r="D31" s="811"/>
      <c r="E31" s="808"/>
      <c r="F31" s="812"/>
      <c r="G31" s="809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6">
        <v>2.5999999999999999E-2</v>
      </c>
      <c r="C32" s="810">
        <f t="shared" si="6"/>
        <v>36657.409999999996</v>
      </c>
      <c r="D32" s="811"/>
      <c r="E32" s="808"/>
      <c r="F32" s="812"/>
      <c r="G32" s="809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4.25">
      <c r="A33" s="577">
        <v>44219</v>
      </c>
      <c r="B33" s="575"/>
      <c r="C33" s="810">
        <f t="shared" si="6"/>
        <v>35341.649999999994</v>
      </c>
      <c r="D33" s="811"/>
      <c r="E33" s="808"/>
      <c r="F33" s="812"/>
      <c r="G33" s="809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4.25">
      <c r="A34" s="577">
        <v>44220</v>
      </c>
      <c r="B34" s="575"/>
      <c r="C34" s="810">
        <f t="shared" si="6"/>
        <v>34118.699999999997</v>
      </c>
      <c r="D34" s="811"/>
      <c r="E34" s="808"/>
      <c r="F34" s="812"/>
      <c r="G34" s="809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34118.699999999997</v>
      </c>
    </row>
    <row r="35" spans="1:46" ht="14.25">
      <c r="A35" s="577">
        <v>44221</v>
      </c>
      <c r="B35" s="575"/>
      <c r="C35" s="810">
        <f t="shared" si="6"/>
        <v>34118.699999999997</v>
      </c>
      <c r="D35" s="811"/>
      <c r="E35" s="808">
        <v>18000</v>
      </c>
      <c r="F35" s="828" t="s">
        <v>318</v>
      </c>
      <c r="G35" s="809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34118.699999999997</v>
      </c>
    </row>
    <row r="36" spans="1:46" ht="14.25">
      <c r="A36" s="577">
        <v>44222</v>
      </c>
      <c r="B36" s="575"/>
      <c r="C36" s="810">
        <f t="shared" si="6"/>
        <v>34118.699999999997</v>
      </c>
      <c r="D36" s="811"/>
      <c r="E36" s="808"/>
      <c r="F36" s="812"/>
      <c r="G36" s="809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34118.699999999997</v>
      </c>
    </row>
    <row r="37" spans="1:46" ht="14.25">
      <c r="A37" s="577">
        <v>44223</v>
      </c>
      <c r="B37" s="575"/>
      <c r="C37" s="810">
        <f t="shared" si="6"/>
        <v>34118.699999999997</v>
      </c>
      <c r="D37" s="811"/>
      <c r="E37" s="808"/>
      <c r="F37" s="526"/>
      <c r="G37" s="809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34118.699999999997</v>
      </c>
    </row>
    <row r="38" spans="1:46" ht="14.25">
      <c r="A38" s="577">
        <v>44224</v>
      </c>
      <c r="B38" s="575"/>
      <c r="C38" s="810">
        <f t="shared" si="6"/>
        <v>34118.699999999997</v>
      </c>
      <c r="D38" s="811"/>
      <c r="E38" s="808"/>
      <c r="F38" s="526"/>
      <c r="G38" s="809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34118.699999999997</v>
      </c>
    </row>
    <row r="39" spans="1:46" ht="14.25">
      <c r="A39" s="577">
        <v>44225</v>
      </c>
      <c r="B39" s="575"/>
      <c r="C39" s="810">
        <f t="shared" si="6"/>
        <v>34118.699999999997</v>
      </c>
      <c r="D39" s="811"/>
      <c r="E39" s="808"/>
      <c r="F39" s="526"/>
      <c r="G39" s="809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34118.699999999997</v>
      </c>
    </row>
    <row r="40" spans="1:46" ht="14.25">
      <c r="A40" s="577">
        <v>44226</v>
      </c>
      <c r="B40" s="575"/>
      <c r="C40" s="810">
        <f t="shared" si="6"/>
        <v>34118.699999999997</v>
      </c>
      <c r="D40" s="811"/>
      <c r="E40" s="808"/>
      <c r="F40" s="299"/>
      <c r="G40" s="809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34118.699999999997</v>
      </c>
    </row>
    <row r="41" spans="1:46" ht="14.25">
      <c r="A41" s="577">
        <v>44227</v>
      </c>
      <c r="B41" s="575"/>
      <c r="C41" s="810">
        <f t="shared" si="6"/>
        <v>34118.699999999997</v>
      </c>
      <c r="D41" s="811"/>
      <c r="E41" s="808"/>
      <c r="F41" s="299"/>
      <c r="G41" s="809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34118.699999999997</v>
      </c>
    </row>
    <row r="42" spans="1:46" ht="14.25">
      <c r="A42" s="577"/>
      <c r="B42" s="576"/>
      <c r="C42" s="810">
        <f t="shared" si="6"/>
        <v>34118.699999999997</v>
      </c>
      <c r="D42" s="815"/>
      <c r="E42" s="808"/>
      <c r="F42" s="299"/>
      <c r="G42" s="809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34118.699999999997</v>
      </c>
    </row>
    <row r="43" spans="1:46" ht="14.25">
      <c r="A43" s="496" t="s">
        <v>25</v>
      </c>
      <c r="B43" s="469">
        <f>AVERAGE(B11:B42)</f>
        <v>0.15704545454545452</v>
      </c>
      <c r="C43" s="806">
        <f t="shared" si="6"/>
        <v>34118.699999999997</v>
      </c>
      <c r="D43" s="815"/>
      <c r="E43" s="808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34118.699999999997</v>
      </c>
    </row>
    <row r="44" spans="1:46" ht="15" thickBot="1">
      <c r="A44" s="497"/>
      <c r="B44" s="498"/>
      <c r="C44" s="816"/>
      <c r="D44" s="817"/>
      <c r="E44" s="818"/>
      <c r="F44" s="819"/>
      <c r="G44" s="820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1"/>
      <c r="D45" s="308">
        <f>SUM(D11:D44)</f>
        <v>33000</v>
      </c>
      <c r="E45" s="313">
        <f>SUM(E11:E42)</f>
        <v>51000</v>
      </c>
      <c r="F45" s="822">
        <f t="shared" ref="F45:O45" si="8">SUM(F11:F44)</f>
        <v>0</v>
      </c>
      <c r="G45" s="313">
        <f t="shared" si="8"/>
        <v>9549.65</v>
      </c>
      <c r="H45" s="308">
        <f t="shared" si="8"/>
        <v>1222.95</v>
      </c>
      <c r="I45" s="313">
        <f t="shared" si="8"/>
        <v>0</v>
      </c>
      <c r="J45" s="308">
        <f t="shared" si="8"/>
        <v>3228.9900000000002</v>
      </c>
      <c r="K45" s="313">
        <f t="shared" si="8"/>
        <v>6683.4699999999993</v>
      </c>
      <c r="L45" s="308">
        <f t="shared" si="8"/>
        <v>8690.2000000000007</v>
      </c>
      <c r="M45" s="313">
        <f t="shared" si="8"/>
        <v>20169</v>
      </c>
      <c r="N45" s="554">
        <f t="shared" si="8"/>
        <v>2755</v>
      </c>
      <c r="O45" s="313">
        <f t="shared" si="8"/>
        <v>0</v>
      </c>
      <c r="P45" s="308">
        <f>SUM(P11:P43)</f>
        <v>7800</v>
      </c>
      <c r="Q45" s="313">
        <f>SUM(Q11:Q44)</f>
        <v>15960</v>
      </c>
      <c r="R45" s="308">
        <f>SUM(R11:R44)</f>
        <v>20887</v>
      </c>
      <c r="S45" s="552">
        <f>SUM(G45:L45)</f>
        <v>29375.26</v>
      </c>
      <c r="T45" s="308">
        <f>SUM(M45:R45)</f>
        <v>67571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205.23000000000002</v>
      </c>
      <c r="Y45" s="234">
        <f t="shared" si="9"/>
        <v>235.11</v>
      </c>
      <c r="Z45" s="547">
        <f t="shared" si="9"/>
        <v>501.3900000000001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1011</v>
      </c>
      <c r="AI45" s="234">
        <f>SUM(AI9:AI39)</f>
        <v>141</v>
      </c>
      <c r="AJ45" s="547">
        <f>SUM(AJ9:AJ44)</f>
        <v>3145.4900000000002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32520.749999999996</v>
      </c>
      <c r="AS45" s="550">
        <f>SUM(AS11:AS44)</f>
        <v>0</v>
      </c>
      <c r="AT45" s="551"/>
    </row>
    <row r="46" spans="1:46" ht="14.25" thickBot="1">
      <c r="A46" s="798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3">
        <f>AVERAGE(S11:S41)</f>
        <v>947.58903225806432</v>
      </c>
      <c r="T47" s="316">
        <f>S45*2315</f>
        <v>68003726.899999991</v>
      </c>
      <c r="U47" s="317" t="s">
        <v>244</v>
      </c>
      <c r="AR47" s="523">
        <f>AR45*2143</f>
        <v>69691967.249999985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8" t="s">
        <v>253</v>
      </c>
      <c r="T48" s="316">
        <f>T47/2289</f>
        <v>29708.923940585406</v>
      </c>
      <c r="U48" s="317" t="s">
        <v>245</v>
      </c>
      <c r="W48" s="191"/>
      <c r="X48" s="191"/>
      <c r="Y48" s="191"/>
      <c r="Z48" s="191"/>
      <c r="AA48" s="191"/>
      <c r="AR48" s="316">
        <f>AR47/2289</f>
        <v>30446.468872870242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4"/>
      <c r="I53" s="825"/>
      <c r="J53" s="825"/>
      <c r="K53" s="825"/>
      <c r="L53" s="527"/>
      <c r="N53" s="499">
        <v>44197</v>
      </c>
      <c r="O53" s="825" t="s">
        <v>323</v>
      </c>
      <c r="P53" s="826">
        <v>80</v>
      </c>
      <c r="Q53" s="826" t="s">
        <v>324</v>
      </c>
      <c r="R53" s="511" t="s">
        <v>322</v>
      </c>
      <c r="T53" s="499"/>
      <c r="U53" s="200"/>
      <c r="V53" s="614"/>
      <c r="W53" s="500"/>
      <c r="X53" s="500"/>
      <c r="Y53" s="827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-328030.03200000001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3">SUM(E10:E40)</f>
        <v>0</v>
      </c>
      <c r="F42" s="2">
        <f t="shared" si="3"/>
        <v>1709308.82</v>
      </c>
      <c r="G42" s="101">
        <f>SUM(G10:G40)</f>
        <v>5.8207660913467407E-11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6" zoomScale="94" zoomScaleNormal="94" workbookViewId="0">
      <pane xSplit="1" topLeftCell="B1" activePane="topRight" state="frozen"/>
      <selection pane="topRight" activeCell="AI30" sqref="AI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0" t="s">
        <v>315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28" t="s">
        <v>181</v>
      </c>
      <c r="T2" s="929"/>
      <c r="U2" s="930"/>
      <c r="V2" s="928" t="s">
        <v>182</v>
      </c>
      <c r="W2" s="929"/>
      <c r="X2" s="930"/>
      <c r="Y2" s="928" t="s">
        <v>183</v>
      </c>
      <c r="Z2" s="929"/>
      <c r="AA2" s="930"/>
      <c r="AB2" s="928" t="s">
        <v>184</v>
      </c>
      <c r="AC2" s="929"/>
      <c r="AD2" s="930"/>
      <c r="AE2" s="922" t="s">
        <v>239</v>
      </c>
      <c r="AF2" s="923"/>
      <c r="AG2" s="934"/>
      <c r="AH2" s="922" t="s">
        <v>243</v>
      </c>
      <c r="AI2" s="923"/>
      <c r="AJ2" s="934"/>
      <c r="AK2" s="922" t="s">
        <v>240</v>
      </c>
      <c r="AL2" s="923"/>
      <c r="AM2" s="923"/>
      <c r="AN2" s="926" t="s">
        <v>189</v>
      </c>
    </row>
    <row r="3" spans="1:40" ht="21.75" customHeight="1" thickBot="1">
      <c r="A3" s="917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6" t="s">
        <v>185</v>
      </c>
      <c r="S3" s="931"/>
      <c r="T3" s="932"/>
      <c r="U3" s="933"/>
      <c r="V3" s="931"/>
      <c r="W3" s="932"/>
      <c r="X3" s="933"/>
      <c r="Y3" s="931"/>
      <c r="Z3" s="932"/>
      <c r="AA3" s="933"/>
      <c r="AB3" s="931"/>
      <c r="AC3" s="932"/>
      <c r="AD3" s="933"/>
      <c r="AE3" s="924"/>
      <c r="AF3" s="925"/>
      <c r="AG3" s="935"/>
      <c r="AH3" s="924"/>
      <c r="AI3" s="925"/>
      <c r="AJ3" s="935"/>
      <c r="AK3" s="924"/>
      <c r="AL3" s="925"/>
      <c r="AM3" s="925"/>
      <c r="AN3" s="927"/>
    </row>
    <row r="4" spans="1:40" ht="15.75" thickTop="1">
      <c r="A4" s="918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6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/>
      <c r="E29" s="474" t="str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/>
      <c r="K29" s="474" t="str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/>
      <c r="Q29" s="474" t="str">
        <f t="shared" si="41"/>
        <v>0</v>
      </c>
      <c r="R29" s="250"/>
      <c r="S29" s="245">
        <f t="shared" si="34"/>
        <v>64163</v>
      </c>
      <c r="T29" s="384"/>
      <c r="U29" s="475" t="str">
        <f t="shared" si="35"/>
        <v>0</v>
      </c>
      <c r="V29" s="245">
        <f t="shared" si="30"/>
        <v>73031</v>
      </c>
      <c r="W29" s="384"/>
      <c r="X29" s="475" t="str">
        <f t="shared" si="17"/>
        <v>0</v>
      </c>
      <c r="Y29" s="245">
        <f t="shared" si="9"/>
        <v>89012</v>
      </c>
      <c r="Z29" s="384"/>
      <c r="AA29" s="475" t="str">
        <f t="shared" si="18"/>
        <v>0</v>
      </c>
      <c r="AB29" s="608">
        <f t="shared" si="22"/>
        <v>17698</v>
      </c>
      <c r="AC29" s="609"/>
      <c r="AD29" s="611" t="str">
        <f t="shared" si="23"/>
        <v>0</v>
      </c>
      <c r="AE29" s="245">
        <f t="shared" si="10"/>
        <v>18300</v>
      </c>
      <c r="AF29" s="385"/>
      <c r="AG29" s="475" t="str">
        <f t="shared" si="19"/>
        <v>0</v>
      </c>
      <c r="AH29" s="245">
        <f t="shared" si="11"/>
        <v>28559</v>
      </c>
      <c r="AI29" s="385"/>
      <c r="AJ29" s="475" t="str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900</v>
      </c>
    </row>
    <row r="38" spans="1:41" ht="18.75">
      <c r="A38" s="57"/>
      <c r="B38" s="21"/>
      <c r="C38" s="937" t="s">
        <v>6</v>
      </c>
      <c r="D38" s="937"/>
      <c r="E38" s="22">
        <f>SUM(E6:E36)</f>
        <v>1740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63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1740</v>
      </c>
      <c r="S38" s="247"/>
      <c r="T38" s="247"/>
      <c r="U38" s="257">
        <f>SUM(U6:U37)</f>
        <v>900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900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6"/>
      <c r="B42" s="277"/>
      <c r="C42" s="903" t="s">
        <v>222</v>
      </c>
      <c r="D42" s="904"/>
      <c r="E42" s="904"/>
      <c r="F42" s="904"/>
      <c r="G42" s="904"/>
      <c r="H42" s="904"/>
      <c r="I42" s="904"/>
      <c r="J42" s="904"/>
      <c r="K42" s="905"/>
      <c r="R42" s="19"/>
    </row>
    <row r="43" spans="1:41" ht="24.75" customHeight="1">
      <c r="A43" s="907"/>
      <c r="B43" s="19"/>
      <c r="C43" s="909" t="s">
        <v>216</v>
      </c>
      <c r="D43" s="910"/>
      <c r="E43" s="911" t="s">
        <v>237</v>
      </c>
      <c r="F43" s="912"/>
      <c r="G43" s="913" t="s">
        <v>217</v>
      </c>
      <c r="H43" s="914"/>
      <c r="I43" s="913" t="s">
        <v>238</v>
      </c>
      <c r="J43" s="914"/>
      <c r="K43" s="90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7"/>
      <c r="B44" s="19"/>
      <c r="C44" s="915" t="s">
        <v>218</v>
      </c>
      <c r="D44" s="916"/>
      <c r="E44" s="915" t="s">
        <v>219</v>
      </c>
      <c r="F44" s="916"/>
      <c r="G44" s="915" t="s">
        <v>220</v>
      </c>
      <c r="H44" s="916"/>
      <c r="I44" s="915" t="s">
        <v>221</v>
      </c>
      <c r="J44" s="916"/>
      <c r="K44" s="90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>
        <f t="shared" si="3"/>
        <v>182.09332880923785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1732424.0052424241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 t="e">
        <f t="shared" si="3"/>
        <v>#DIV/0!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 t="str">
        <f>'Water-Meter'!E29</f>
        <v>0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98.040944444422237</v>
      </c>
      <c r="V28" s="17">
        <f t="shared" si="7"/>
        <v>841387.93594444427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-328030.03200000001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-406517.01566666667</v>
      </c>
      <c r="V29" s="17">
        <f t="shared" si="7"/>
        <v>197589.67883333331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1740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5">
        <v>8470098</v>
      </c>
      <c r="D36" s="392">
        <f t="shared" si="1"/>
        <v>15727</v>
      </c>
      <c r="E36" s="795">
        <v>15726.66</v>
      </c>
      <c r="F36" s="488">
        <f t="shared" si="2"/>
        <v>0.34000000000014552</v>
      </c>
      <c r="G36" s="489">
        <f t="shared" si="3"/>
        <v>270861</v>
      </c>
      <c r="H36" s="795">
        <v>271447</v>
      </c>
      <c r="I36" s="269">
        <f t="shared" si="4"/>
        <v>586</v>
      </c>
      <c r="J36" s="795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34118.699999999997</v>
      </c>
      <c r="F28" s="396" t="str">
        <f>'Water-Meter'!E29</f>
        <v>0</v>
      </c>
      <c r="G28" s="397">
        <f>'Water-Meter'!AN29</f>
        <v>0</v>
      </c>
      <c r="H28" s="395">
        <f>'Utility report '!AC29</f>
        <v>-45291</v>
      </c>
      <c r="I28" s="394">
        <f>'Kit report'!F27</f>
        <v>-1087368</v>
      </c>
      <c r="J28" s="395">
        <f>'Kit report'!X27</f>
        <v>-1595120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34118.699999999997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34118.699999999997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34118.699999999997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34118.699999999997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34118.699999999997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34118.699999999997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34118.699999999997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34118.699999999997</v>
      </c>
      <c r="F36" s="396">
        <f>'Water-Meter'!E37</f>
        <v>0</v>
      </c>
      <c r="G36" s="397">
        <f>'Water-Meter'!AN37</f>
        <v>900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2021-01-24T05:01:31Z</dcterms:modified>
</cp:coreProperties>
</file>