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"/>
    </mc:Choice>
  </mc:AlternateContent>
  <bookViews>
    <workbookView xWindow="0" yWindow="0" windowWidth="19035" windowHeight="10935" tabRatio="620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D5" i="119" l="1"/>
  <c r="F5" i="119"/>
  <c r="H5" i="119"/>
  <c r="J5" i="119"/>
  <c r="H32" i="119" l="1"/>
  <c r="F32" i="119"/>
  <c r="D32" i="119"/>
  <c r="H20" i="119" l="1"/>
  <c r="I17" i="117" s="1"/>
  <c r="J20" i="119"/>
  <c r="K17" i="117" s="1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I29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G29" i="117"/>
  <c r="E29" i="117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E15" i="117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</calcChain>
</file>

<file path=xl/comments1.xml><?xml version="1.0" encoding="utf-8"?>
<comments xmlns="http://schemas.openxmlformats.org/spreadsheetml/2006/main">
  <authors>
    <author>Sarina Tong</author>
  </authors>
  <commentList>
    <comment ref="C18" authorId="0" shapeId="0">
      <text>
        <r>
          <rPr>
            <b/>
            <sz val="9"/>
            <color indexed="81"/>
            <rFont val="Tahoma"/>
            <charset val="1"/>
          </rPr>
          <t>Sarina Tong:</t>
        </r>
        <r>
          <rPr>
            <sz val="9"/>
            <color indexed="81"/>
            <rFont val="Tahoma"/>
            <charset val="1"/>
          </rPr>
          <t xml:space="preserve">
Change meter of TW2-1</t>
        </r>
      </text>
    </comment>
  </commentList>
</comments>
</file>

<file path=xl/sharedStrings.xml><?xml version="1.0" encoding="utf-8"?>
<sst xmlns="http://schemas.openxmlformats.org/spreadsheetml/2006/main" count="58" uniqueCount="29">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</sst>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8" fillId="0" borderId="0"/>
    <xf numFmtId="0" fontId="5" fillId="0" borderId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4" fillId="0" borderId="0"/>
    <xf numFmtId="0" fontId="3" fillId="0" borderId="0"/>
    <xf numFmtId="0" fontId="5" fillId="0" borderId="0"/>
    <xf numFmtId="0" fontId="1" fillId="0" borderId="0"/>
  </cellStyleXfs>
  <cellXfs count="45">
    <xf numFmtId="0" fontId="0" fillId="0" borderId="0" xfId="0"/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2" fillId="2" borderId="0" xfId="11" applyFont="1" applyFill="1" applyAlignment="1">
      <alignment horizontal="center"/>
    </xf>
    <xf numFmtId="1" fontId="13" fillId="2" borderId="0" xfId="11" applyNumberFormat="1" applyFont="1" applyFill="1" applyAlignment="1">
      <alignment horizontal="center"/>
    </xf>
    <xf numFmtId="1" fontId="4" fillId="0" borderId="1" xfId="11" applyNumberFormat="1" applyBorder="1" applyAlignment="1">
      <alignment horizontal="center"/>
    </xf>
    <xf numFmtId="0" fontId="4" fillId="0" borderId="0" xfId="11"/>
    <xf numFmtId="0" fontId="14" fillId="3" borderId="3" xfId="11" applyFont="1" applyFill="1" applyBorder="1" applyAlignment="1">
      <alignment horizontal="center" vertical="center" wrapText="1"/>
    </xf>
    <xf numFmtId="1" fontId="4" fillId="0" borderId="0" xfId="11" applyNumberFormat="1"/>
    <xf numFmtId="0" fontId="9" fillId="6" borderId="2" xfId="11" applyFont="1" applyFill="1" applyBorder="1" applyAlignment="1">
      <alignment horizontal="center" vertical="center"/>
    </xf>
    <xf numFmtId="0" fontId="9" fillId="7" borderId="9" xfId="11" applyFont="1" applyFill="1" applyBorder="1" applyAlignment="1">
      <alignment horizontal="center" vertical="center" wrapText="1"/>
    </xf>
    <xf numFmtId="1" fontId="9" fillId="7" borderId="2" xfId="11" applyNumberFormat="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wrapText="1"/>
    </xf>
    <xf numFmtId="1" fontId="9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4" fillId="0" borderId="1" xfId="11" applyBorder="1" applyAlignment="1">
      <alignment horizontal="center"/>
    </xf>
    <xf numFmtId="1" fontId="16" fillId="0" borderId="1" xfId="11" applyNumberFormat="1" applyFont="1" applyBorder="1" applyAlignment="1">
      <alignment horizontal="center" vertical="center"/>
    </xf>
    <xf numFmtId="0" fontId="4" fillId="0" borderId="0" xfId="11" applyAlignment="1">
      <alignment horizontal="center"/>
    </xf>
    <xf numFmtId="1" fontId="9" fillId="0" borderId="0" xfId="11" applyNumberFormat="1" applyFont="1" applyAlignment="1">
      <alignment horizontal="center"/>
    </xf>
    <xf numFmtId="1" fontId="4" fillId="0" borderId="0" xfId="11" applyNumberFormat="1" applyAlignment="1">
      <alignment horizontal="center"/>
    </xf>
    <xf numFmtId="1" fontId="9" fillId="0" borderId="1" xfId="12" applyNumberFormat="1" applyFont="1" applyBorder="1" applyAlignment="1">
      <alignment horizontal="center" wrapText="1"/>
    </xf>
    <xf numFmtId="0" fontId="11" fillId="0" borderId="1" xfId="12" applyFont="1" applyBorder="1" applyAlignment="1">
      <alignment horizontal="center" wrapText="1"/>
    </xf>
    <xf numFmtId="2" fontId="10" fillId="0" borderId="1" xfId="0" applyNumberFormat="1" applyFont="1" applyBorder="1" applyAlignment="1">
      <alignment horizontal="center"/>
    </xf>
    <xf numFmtId="0" fontId="2" fillId="0" borderId="0" xfId="11" applyFont="1" applyAlignment="1">
      <alignment horizontal="center"/>
    </xf>
    <xf numFmtId="1" fontId="16" fillId="0" borderId="14" xfId="11" applyNumberFormat="1" applyFont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/>
    </xf>
    <xf numFmtId="0" fontId="12" fillId="2" borderId="12" xfId="11" applyFont="1" applyFill="1" applyBorder="1" applyAlignment="1">
      <alignment horizontal="center"/>
    </xf>
    <xf numFmtId="0" fontId="12" fillId="2" borderId="13" xfId="11" applyFont="1" applyFill="1" applyBorder="1" applyAlignment="1">
      <alignment horizontal="center"/>
    </xf>
    <xf numFmtId="0" fontId="13" fillId="2" borderId="2" xfId="11" applyFont="1" applyFill="1" applyBorder="1" applyAlignment="1">
      <alignment horizontal="center"/>
    </xf>
    <xf numFmtId="0" fontId="15" fillId="4" borderId="4" xfId="11" applyFont="1" applyFill="1" applyBorder="1" applyAlignment="1">
      <alignment horizontal="center" vertical="center"/>
    </xf>
    <xf numFmtId="0" fontId="15" fillId="4" borderId="5" xfId="11" applyFont="1" applyFill="1" applyBorder="1" applyAlignment="1">
      <alignment horizontal="center" vertical="center"/>
    </xf>
    <xf numFmtId="0" fontId="15" fillId="4" borderId="6" xfId="11" applyFont="1" applyFill="1" applyBorder="1" applyAlignment="1">
      <alignment horizontal="center" vertical="center"/>
    </xf>
    <xf numFmtId="0" fontId="9" fillId="5" borderId="7" xfId="11" applyFont="1" applyFill="1" applyBorder="1" applyAlignment="1">
      <alignment horizontal="center" vertical="center" wrapText="1"/>
    </xf>
    <xf numFmtId="0" fontId="9" fillId="5" borderId="8" xfId="11" applyFont="1" applyFill="1" applyBorder="1" applyAlignment="1">
      <alignment horizontal="center" vertical="center" wrapText="1"/>
    </xf>
    <xf numFmtId="0" fontId="15" fillId="4" borderId="10" xfId="11" applyFont="1" applyFill="1" applyBorder="1" applyAlignment="1">
      <alignment horizontal="center" vertical="center"/>
    </xf>
    <xf numFmtId="0" fontId="15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abSelected="1" zoomScale="85" zoomScaleNormal="85" workbookViewId="0">
      <selection activeCell="K1" sqref="K1:K1048576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28" t="s">
        <v>7</v>
      </c>
      <c r="J1" s="29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2</v>
      </c>
      <c r="D2" s="7">
        <v>2023</v>
      </c>
      <c r="E2" s="9">
        <f>'Macao Daily'!D5</f>
        <v>31806</v>
      </c>
      <c r="F2" s="30">
        <v>1.2419</v>
      </c>
      <c r="G2" s="9">
        <f>'Macao Daily'!F5</f>
        <v>222.14285714284051</v>
      </c>
      <c r="H2" s="30">
        <v>6.52</v>
      </c>
      <c r="I2" s="9">
        <f>'Macao Daily'!H5</f>
        <v>16458.59999999404</v>
      </c>
      <c r="J2" s="30">
        <v>0.18</v>
      </c>
      <c r="K2" s="9">
        <f>'Macao Daily'!J5</f>
        <v>181.14039577171206</v>
      </c>
      <c r="L2" s="30">
        <v>7.7607999999999997</v>
      </c>
      <c r="M2" s="9">
        <f>'Macao Daily'!K5</f>
        <v>216</v>
      </c>
      <c r="N2" s="9">
        <f>'Macao Daily'!L5</f>
        <v>483</v>
      </c>
    </row>
    <row r="3" spans="1:14" ht="15" x14ac:dyDescent="0.25">
      <c r="A3" s="6" t="s">
        <v>13</v>
      </c>
      <c r="B3" s="7">
        <f>B2+1</f>
        <v>2</v>
      </c>
      <c r="C3" s="8">
        <v>2</v>
      </c>
      <c r="D3" s="7">
        <v>2023</v>
      </c>
      <c r="E3" s="9">
        <f>'Macao Daily'!D6</f>
        <v>32734</v>
      </c>
      <c r="F3" s="30">
        <v>1.2419</v>
      </c>
      <c r="G3" s="9">
        <f>'Macao Daily'!F6</f>
        <v>235.14285714284051</v>
      </c>
      <c r="H3" s="30">
        <v>6.52</v>
      </c>
      <c r="I3" s="9">
        <f>'Macao Daily'!H6</f>
        <v>16458.600000008941</v>
      </c>
      <c r="J3" s="30">
        <v>0.18</v>
      </c>
      <c r="K3" s="9">
        <f>'Macao Daily'!J6</f>
        <v>197.32639697054401</v>
      </c>
      <c r="L3" s="30">
        <v>7.7607999999999997</v>
      </c>
      <c r="M3" s="9">
        <f>'Macao Daily'!K6</f>
        <v>218</v>
      </c>
      <c r="N3" s="9">
        <f>'Macao Daily'!L6</f>
        <v>500</v>
      </c>
    </row>
    <row r="4" spans="1:14" ht="15" x14ac:dyDescent="0.25">
      <c r="A4" s="6" t="s">
        <v>13</v>
      </c>
      <c r="B4" s="7">
        <f t="shared" ref="B4:B29" si="0">B3+1</f>
        <v>3</v>
      </c>
      <c r="C4" s="8">
        <v>2</v>
      </c>
      <c r="D4" s="7">
        <v>2023</v>
      </c>
      <c r="E4" s="9">
        <f>'Macao Daily'!D7</f>
        <v>33370</v>
      </c>
      <c r="F4" s="30">
        <v>1.2419</v>
      </c>
      <c r="G4" s="9">
        <f>'Macao Daily'!F7</f>
        <v>239.14285714284051</v>
      </c>
      <c r="H4" s="30">
        <v>6.52</v>
      </c>
      <c r="I4" s="9">
        <f>'Macao Daily'!H7</f>
        <v>16458.5</v>
      </c>
      <c r="J4" s="30">
        <v>0.18</v>
      </c>
      <c r="K4" s="9">
        <f>'Macao Daily'!J7</f>
        <v>200.42077955277637</v>
      </c>
      <c r="L4" s="30">
        <v>7.7607999999999997</v>
      </c>
      <c r="M4" s="9">
        <f>'Macao Daily'!K7</f>
        <v>191</v>
      </c>
      <c r="N4" s="9">
        <f>'Macao Daily'!L7</f>
        <v>666</v>
      </c>
    </row>
    <row r="5" spans="1:14" ht="15" x14ac:dyDescent="0.25">
      <c r="A5" s="6" t="s">
        <v>13</v>
      </c>
      <c r="B5" s="7">
        <f t="shared" si="0"/>
        <v>4</v>
      </c>
      <c r="C5" s="8">
        <v>2</v>
      </c>
      <c r="D5" s="7">
        <v>2023</v>
      </c>
      <c r="E5" s="9">
        <f>'Macao Daily'!D8</f>
        <v>32967</v>
      </c>
      <c r="F5" s="30">
        <v>1.2419</v>
      </c>
      <c r="G5" s="9">
        <f>'Macao Daily'!F8</f>
        <v>244.14285714284051</v>
      </c>
      <c r="H5" s="30">
        <v>6.52</v>
      </c>
      <c r="I5" s="9">
        <f>'Macao Daily'!H8</f>
        <v>16458.59999999404</v>
      </c>
      <c r="J5" s="30">
        <v>0.18</v>
      </c>
      <c r="K5" s="9">
        <f>'Macao Daily'!J8</f>
        <v>199.18302652006969</v>
      </c>
      <c r="L5" s="30">
        <v>7.7607999999999997</v>
      </c>
      <c r="M5" s="9">
        <f>'Macao Daily'!K8</f>
        <v>183</v>
      </c>
      <c r="N5" s="9">
        <f>'Macao Daily'!L8</f>
        <v>675</v>
      </c>
    </row>
    <row r="6" spans="1:14" ht="15" x14ac:dyDescent="0.25">
      <c r="A6" s="6" t="s">
        <v>13</v>
      </c>
      <c r="B6" s="7">
        <f t="shared" si="0"/>
        <v>5</v>
      </c>
      <c r="C6" s="8">
        <v>2</v>
      </c>
      <c r="D6" s="7">
        <v>2023</v>
      </c>
      <c r="E6" s="9">
        <f>'Macao Daily'!D9</f>
        <v>32162</v>
      </c>
      <c r="F6" s="30">
        <v>1.2419</v>
      </c>
      <c r="G6" s="9">
        <f>'Macao Daily'!F9</f>
        <v>239.14285714284051</v>
      </c>
      <c r="H6" s="30">
        <v>6.52</v>
      </c>
      <c r="I6" s="9">
        <f>'Macao Daily'!H9</f>
        <v>16458.600000008941</v>
      </c>
      <c r="J6" s="30">
        <v>0.18</v>
      </c>
      <c r="K6" s="9">
        <f>'Macao Daily'!J9</f>
        <v>184.52041366905905</v>
      </c>
      <c r="L6" s="30">
        <v>7.7607999999999997</v>
      </c>
      <c r="M6" s="9">
        <f>'Macao Daily'!K9</f>
        <v>144</v>
      </c>
      <c r="N6" s="9">
        <f>'Macao Daily'!L9</f>
        <v>509</v>
      </c>
    </row>
    <row r="7" spans="1:14" ht="15" x14ac:dyDescent="0.25">
      <c r="A7" s="6" t="s">
        <v>13</v>
      </c>
      <c r="B7" s="7">
        <f t="shared" si="0"/>
        <v>6</v>
      </c>
      <c r="C7" s="8">
        <v>2</v>
      </c>
      <c r="D7" s="7">
        <v>2023</v>
      </c>
      <c r="E7" s="9">
        <f>'Macao Daily'!D10</f>
        <v>32017</v>
      </c>
      <c r="F7" s="30">
        <v>1.2419</v>
      </c>
      <c r="G7" s="9">
        <f>'Macao Daily'!F10</f>
        <v>227.14285714284051</v>
      </c>
      <c r="H7" s="30">
        <v>6.52</v>
      </c>
      <c r="I7" s="9">
        <f>'Macao Daily'!H10</f>
        <v>16458.59999999404</v>
      </c>
      <c r="J7" s="30">
        <v>0.18</v>
      </c>
      <c r="K7" s="9">
        <f>'Macao Daily'!J10</f>
        <v>182.66378411976621</v>
      </c>
      <c r="L7" s="30">
        <v>7.7607999999999997</v>
      </c>
      <c r="M7" s="9">
        <f>'Macao Daily'!K10</f>
        <v>137</v>
      </c>
      <c r="N7" s="9">
        <f>'Macao Daily'!L10</f>
        <v>344</v>
      </c>
    </row>
    <row r="8" spans="1:14" ht="15" x14ac:dyDescent="0.25">
      <c r="A8" s="6" t="s">
        <v>13</v>
      </c>
      <c r="B8" s="7">
        <f t="shared" si="0"/>
        <v>7</v>
      </c>
      <c r="C8" s="8">
        <v>2</v>
      </c>
      <c r="D8" s="7">
        <v>2023</v>
      </c>
      <c r="E8" s="9">
        <f>'Macao Daily'!D11</f>
        <v>31572</v>
      </c>
      <c r="F8" s="30">
        <v>1.2419</v>
      </c>
      <c r="G8" s="9">
        <f>'Macao Daily'!F11</f>
        <v>204.14285714284051</v>
      </c>
      <c r="H8" s="30">
        <v>6.52</v>
      </c>
      <c r="I8" s="9">
        <f>'Macao Daily'!H11</f>
        <v>16458.5</v>
      </c>
      <c r="J8" s="30">
        <v>0.18</v>
      </c>
      <c r="K8" s="9">
        <f>'Macao Daily'!J11</f>
        <v>171.76203625346534</v>
      </c>
      <c r="L8" s="30">
        <v>7.7607999999999997</v>
      </c>
      <c r="M8" s="9">
        <f>'Macao Daily'!K11</f>
        <v>126</v>
      </c>
      <c r="N8" s="9">
        <f>'Macao Daily'!L11</f>
        <v>243</v>
      </c>
    </row>
    <row r="9" spans="1:14" ht="15" x14ac:dyDescent="0.25">
      <c r="A9" s="6" t="s">
        <v>13</v>
      </c>
      <c r="B9" s="7">
        <f t="shared" si="0"/>
        <v>8</v>
      </c>
      <c r="C9" s="8">
        <v>2</v>
      </c>
      <c r="D9" s="7">
        <v>2023</v>
      </c>
      <c r="E9" s="9">
        <f>'Macao Daily'!D12</f>
        <v>31784</v>
      </c>
      <c r="F9" s="30">
        <v>1.2419</v>
      </c>
      <c r="G9" s="9">
        <f>'Macao Daily'!F12</f>
        <v>213.14285714284051</v>
      </c>
      <c r="H9" s="30">
        <v>6.52</v>
      </c>
      <c r="I9" s="9">
        <f>'Macao Daily'!H12</f>
        <v>16458.59999999404</v>
      </c>
      <c r="J9" s="30">
        <v>0.18</v>
      </c>
      <c r="K9" s="9">
        <f>'Macao Daily'!J12</f>
        <v>171.04794796509668</v>
      </c>
      <c r="L9" s="30">
        <v>7.7607999999999997</v>
      </c>
      <c r="M9" s="9">
        <f>'Macao Daily'!K12</f>
        <v>140</v>
      </c>
      <c r="N9" s="9">
        <f>'Macao Daily'!L12</f>
        <v>339</v>
      </c>
    </row>
    <row r="10" spans="1:14" ht="15" x14ac:dyDescent="0.25">
      <c r="A10" s="6" t="s">
        <v>13</v>
      </c>
      <c r="B10" s="7">
        <f t="shared" si="0"/>
        <v>9</v>
      </c>
      <c r="C10" s="8">
        <v>2</v>
      </c>
      <c r="D10" s="7">
        <v>2023</v>
      </c>
      <c r="E10" s="9">
        <f>'Macao Daily'!D13</f>
        <v>31923</v>
      </c>
      <c r="F10" s="30">
        <v>1.2419</v>
      </c>
      <c r="G10" s="9">
        <f>'Macao Daily'!F13</f>
        <v>228.14285714284051</v>
      </c>
      <c r="H10" s="30">
        <v>6.52</v>
      </c>
      <c r="I10" s="9">
        <f>'Macao Daily'!H13</f>
        <v>16458.600000008941</v>
      </c>
      <c r="J10" s="30">
        <v>0.18</v>
      </c>
      <c r="K10" s="9">
        <f>'Macao Daily'!J13</f>
        <v>172.66654808516614</v>
      </c>
      <c r="L10" s="30">
        <v>7.7607999999999997</v>
      </c>
      <c r="M10" s="9">
        <f>'Macao Daily'!K13</f>
        <v>161</v>
      </c>
      <c r="N10" s="9">
        <f>'Macao Daily'!L13</f>
        <v>317</v>
      </c>
    </row>
    <row r="11" spans="1:14" ht="15" x14ac:dyDescent="0.25">
      <c r="A11" s="6" t="s">
        <v>13</v>
      </c>
      <c r="B11" s="7">
        <f t="shared" si="0"/>
        <v>10</v>
      </c>
      <c r="C11" s="8">
        <v>2</v>
      </c>
      <c r="D11" s="7">
        <v>2023</v>
      </c>
      <c r="E11" s="9">
        <f>'Macao Daily'!D14</f>
        <v>35325</v>
      </c>
      <c r="F11" s="30">
        <v>1.2419</v>
      </c>
      <c r="G11" s="9">
        <f>'Macao Daily'!F14</f>
        <v>237.14285714284051</v>
      </c>
      <c r="H11" s="30">
        <v>6.52</v>
      </c>
      <c r="I11" s="9">
        <f>'Macao Daily'!H14</f>
        <v>16458.59999999404</v>
      </c>
      <c r="J11" s="30">
        <v>0.18</v>
      </c>
      <c r="K11" s="9">
        <f>'Macao Daily'!J14</f>
        <v>195.85061450838111</v>
      </c>
      <c r="L11" s="30">
        <v>7.7607999999999997</v>
      </c>
      <c r="M11" s="9">
        <f>'Macao Daily'!K14</f>
        <v>199</v>
      </c>
      <c r="N11" s="9">
        <f>'Macao Daily'!L14</f>
        <v>583</v>
      </c>
    </row>
    <row r="12" spans="1:14" ht="15" x14ac:dyDescent="0.25">
      <c r="A12" s="6" t="s">
        <v>13</v>
      </c>
      <c r="B12" s="7">
        <f t="shared" si="0"/>
        <v>11</v>
      </c>
      <c r="C12" s="8">
        <v>2</v>
      </c>
      <c r="D12" s="7">
        <v>2023</v>
      </c>
      <c r="E12" s="9">
        <f>'Macao Daily'!D15</f>
        <v>33053</v>
      </c>
      <c r="F12" s="30">
        <v>1.2419</v>
      </c>
      <c r="G12" s="9">
        <f>'Macao Daily'!F15</f>
        <v>234.14285714284051</v>
      </c>
      <c r="H12" s="30">
        <v>6.52</v>
      </c>
      <c r="I12" s="9">
        <f>'Macao Daily'!H15</f>
        <v>16458.5</v>
      </c>
      <c r="J12" s="30">
        <v>0.18</v>
      </c>
      <c r="K12" s="9">
        <f>'Macao Daily'!J15</f>
        <v>195.37455564970151</v>
      </c>
      <c r="L12" s="30">
        <v>7.7607999999999997</v>
      </c>
      <c r="M12" s="9">
        <f>'Macao Daily'!K15</f>
        <v>224</v>
      </c>
      <c r="N12" s="9">
        <f>'Macao Daily'!L15</f>
        <v>863</v>
      </c>
    </row>
    <row r="13" spans="1:14" ht="15" x14ac:dyDescent="0.25">
      <c r="A13" s="6" t="s">
        <v>13</v>
      </c>
      <c r="B13" s="7">
        <f t="shared" si="0"/>
        <v>12</v>
      </c>
      <c r="C13" s="8">
        <v>2</v>
      </c>
      <c r="D13" s="7">
        <v>2023</v>
      </c>
      <c r="E13" s="9">
        <f>'Macao Daily'!D16</f>
        <v>33964</v>
      </c>
      <c r="F13" s="30">
        <v>1.2419</v>
      </c>
      <c r="G13" s="9">
        <f>'Macao Daily'!F16</f>
        <v>233.14285714284051</v>
      </c>
      <c r="H13" s="30">
        <v>6.52</v>
      </c>
      <c r="I13" s="9">
        <f>'Macao Daily'!H16</f>
        <v>16458.600000008941</v>
      </c>
      <c r="J13" s="30">
        <v>0.18</v>
      </c>
      <c r="K13" s="9">
        <f>'Macao Daily'!J16</f>
        <v>202.61065030330792</v>
      </c>
      <c r="L13" s="30">
        <v>7.7607999999999997</v>
      </c>
      <c r="M13" s="9">
        <f>'Macao Daily'!K16</f>
        <v>138</v>
      </c>
      <c r="N13" s="9">
        <f>'Macao Daily'!L16</f>
        <v>646</v>
      </c>
    </row>
    <row r="14" spans="1:14" ht="15" x14ac:dyDescent="0.25">
      <c r="A14" s="6" t="s">
        <v>13</v>
      </c>
      <c r="B14" s="7">
        <f t="shared" si="0"/>
        <v>13</v>
      </c>
      <c r="C14" s="8">
        <v>2</v>
      </c>
      <c r="D14" s="7">
        <v>2023</v>
      </c>
      <c r="E14" s="9">
        <f>'Macao Daily'!D17</f>
        <v>31513</v>
      </c>
      <c r="F14" s="30">
        <v>1.2419</v>
      </c>
      <c r="G14" s="9">
        <f>'Macao Daily'!F17</f>
        <v>227.14285714284051</v>
      </c>
      <c r="H14" s="30">
        <v>6.52</v>
      </c>
      <c r="I14" s="9">
        <f>'Macao Daily'!H17</f>
        <v>16458.59999999404</v>
      </c>
      <c r="J14" s="30">
        <v>0.18</v>
      </c>
      <c r="K14" s="9">
        <f>'Macao Daily'!J17</f>
        <v>185.52013727254234</v>
      </c>
      <c r="L14" s="30">
        <v>7.7607999999999997</v>
      </c>
      <c r="M14" s="9">
        <f>'Macao Daily'!K17</f>
        <v>128</v>
      </c>
      <c r="N14" s="9">
        <f>'Macao Daily'!L17</f>
        <v>374</v>
      </c>
    </row>
    <row r="15" spans="1:14" ht="15" x14ac:dyDescent="0.25">
      <c r="A15" s="6" t="s">
        <v>13</v>
      </c>
      <c r="B15" s="7">
        <f t="shared" si="0"/>
        <v>14</v>
      </c>
      <c r="C15" s="8">
        <v>2</v>
      </c>
      <c r="D15" s="7">
        <v>2023</v>
      </c>
      <c r="E15" s="9">
        <f>'Macao Daily'!D18</f>
        <v>30871</v>
      </c>
      <c r="F15" s="30">
        <v>1.2419</v>
      </c>
      <c r="G15" s="9">
        <f>'Macao Daily'!F18</f>
        <v>216.14285714284051</v>
      </c>
      <c r="H15" s="30">
        <v>6.52</v>
      </c>
      <c r="I15" s="9">
        <f>'Macao Daily'!H18</f>
        <v>16458.59999999404</v>
      </c>
      <c r="J15" s="30">
        <v>0.18</v>
      </c>
      <c r="K15" s="9">
        <f>'Macao Daily'!J18</f>
        <v>186.18661967478693</v>
      </c>
      <c r="L15" s="30">
        <v>7.7607999999999997</v>
      </c>
      <c r="M15" s="9">
        <f>'Macao Daily'!K18</f>
        <v>161</v>
      </c>
      <c r="N15" s="9">
        <f>'Macao Daily'!L18</f>
        <v>462</v>
      </c>
    </row>
    <row r="16" spans="1:14" ht="15" x14ac:dyDescent="0.25">
      <c r="A16" s="6" t="s">
        <v>13</v>
      </c>
      <c r="B16" s="7">
        <f t="shared" si="0"/>
        <v>15</v>
      </c>
      <c r="C16" s="8">
        <v>2</v>
      </c>
      <c r="D16" s="7">
        <v>2023</v>
      </c>
      <c r="E16" s="9">
        <f>'Macao Daily'!D19</f>
        <v>32188</v>
      </c>
      <c r="F16" s="30">
        <v>1.2419</v>
      </c>
      <c r="G16" s="9">
        <f>'Macao Daily'!F19</f>
        <v>218.14285714284051</v>
      </c>
      <c r="H16" s="30">
        <v>6.52</v>
      </c>
      <c r="I16" s="9">
        <f>'Macao Daily'!H19</f>
        <v>16458.5</v>
      </c>
      <c r="J16" s="30">
        <v>0.18</v>
      </c>
      <c r="K16" s="9">
        <f>'Macao Daily'!J19</f>
        <v>178.71249559172429</v>
      </c>
      <c r="L16" s="30">
        <v>7.7607999999999997</v>
      </c>
      <c r="M16" s="9">
        <f>'Macao Daily'!K19</f>
        <v>151</v>
      </c>
      <c r="N16" s="9">
        <f>'Macao Daily'!L19</f>
        <v>172</v>
      </c>
    </row>
    <row r="17" spans="1:14" ht="15" x14ac:dyDescent="0.25">
      <c r="A17" s="6" t="s">
        <v>13</v>
      </c>
      <c r="B17" s="7">
        <f t="shared" si="0"/>
        <v>16</v>
      </c>
      <c r="C17" s="8">
        <v>2</v>
      </c>
      <c r="D17" s="7">
        <v>2023</v>
      </c>
      <c r="E17" s="9">
        <f>'Macao Daily'!D20</f>
        <v>32439</v>
      </c>
      <c r="F17" s="30">
        <v>1.2419</v>
      </c>
      <c r="G17" s="9">
        <f>'Macao Daily'!F20</f>
        <v>232.14285714284051</v>
      </c>
      <c r="H17" s="30">
        <v>6.52</v>
      </c>
      <c r="I17" s="9">
        <f>'Macao Daily'!H20</f>
        <v>16458.600000008941</v>
      </c>
      <c r="J17" s="30">
        <v>0.18</v>
      </c>
      <c r="K17" s="9">
        <f>'Macao Daily'!J20</f>
        <v>185.61534904432483</v>
      </c>
      <c r="L17" s="30">
        <v>7.7607999999999997</v>
      </c>
      <c r="M17" s="9">
        <f>'Macao Daily'!K20</f>
        <v>168</v>
      </c>
      <c r="N17" s="9">
        <f>'Macao Daily'!L20</f>
        <v>178</v>
      </c>
    </row>
    <row r="18" spans="1:14" ht="15" x14ac:dyDescent="0.25">
      <c r="A18" s="6" t="s">
        <v>13</v>
      </c>
      <c r="B18" s="7">
        <f t="shared" si="0"/>
        <v>17</v>
      </c>
      <c r="C18" s="8">
        <v>2</v>
      </c>
      <c r="D18" s="7">
        <v>2023</v>
      </c>
      <c r="E18" s="9">
        <f>'Macao Daily'!D21</f>
        <v>33122</v>
      </c>
      <c r="F18" s="30">
        <v>1.2419</v>
      </c>
      <c r="G18" s="9">
        <f>'Macao Daily'!F21</f>
        <v>241.14285714284051</v>
      </c>
      <c r="H18" s="30">
        <v>6.52</v>
      </c>
      <c r="I18" s="9">
        <f>'Macao Daily'!H21</f>
        <v>16458.59999999404</v>
      </c>
      <c r="J18" s="30">
        <v>0.18</v>
      </c>
      <c r="K18" s="9">
        <f>'Macao Daily'!J21</f>
        <v>202.32501498796046</v>
      </c>
      <c r="L18" s="30">
        <v>7.7607999999999997</v>
      </c>
      <c r="M18" s="9">
        <f>'Macao Daily'!K21</f>
        <v>189</v>
      </c>
      <c r="N18" s="9">
        <f>'Macao Daily'!L21</f>
        <v>595</v>
      </c>
    </row>
    <row r="19" spans="1:14" ht="15" x14ac:dyDescent="0.25">
      <c r="A19" s="6" t="s">
        <v>13</v>
      </c>
      <c r="B19" s="7">
        <f t="shared" si="0"/>
        <v>18</v>
      </c>
      <c r="C19" s="8">
        <v>2</v>
      </c>
      <c r="D19" s="7">
        <v>2023</v>
      </c>
      <c r="E19" s="9">
        <f>'Macao Daily'!D22</f>
        <v>32837</v>
      </c>
      <c r="F19" s="30">
        <v>1.2419</v>
      </c>
      <c r="G19" s="9">
        <f>'Macao Daily'!F22</f>
        <v>244.14285714284051</v>
      </c>
      <c r="H19" s="30">
        <v>6.52</v>
      </c>
      <c r="I19" s="9">
        <f>'Macao Daily'!H22</f>
        <v>16458.600000008941</v>
      </c>
      <c r="J19" s="30">
        <v>0.18</v>
      </c>
      <c r="K19" s="9">
        <f>'Macao Daily'!J22</f>
        <v>202.65825618919916</v>
      </c>
      <c r="L19" s="30">
        <v>7.7607999999999997</v>
      </c>
      <c r="M19" s="9">
        <f>'Macao Daily'!K22</f>
        <v>225</v>
      </c>
      <c r="N19" s="9">
        <f>'Macao Daily'!L22</f>
        <v>1068</v>
      </c>
    </row>
    <row r="20" spans="1:14" ht="15" x14ac:dyDescent="0.25">
      <c r="A20" s="6" t="s">
        <v>13</v>
      </c>
      <c r="B20" s="7">
        <f t="shared" si="0"/>
        <v>19</v>
      </c>
      <c r="C20" s="8">
        <v>2</v>
      </c>
      <c r="D20" s="7">
        <v>2023</v>
      </c>
      <c r="E20" s="9">
        <f>'Macao Daily'!D23</f>
        <v>32767</v>
      </c>
      <c r="F20" s="30">
        <v>1.2419</v>
      </c>
      <c r="G20" s="9">
        <f>'Macao Daily'!F23</f>
        <v>231.14285714284051</v>
      </c>
      <c r="H20" s="30">
        <v>6.52</v>
      </c>
      <c r="I20" s="9">
        <f>'Macao Daily'!H23</f>
        <v>16458.5</v>
      </c>
      <c r="J20" s="30">
        <v>0.18</v>
      </c>
      <c r="K20" s="9">
        <f>'Macao Daily'!J23</f>
        <v>207.70448009250686</v>
      </c>
      <c r="L20" s="30">
        <v>7.7607999999999997</v>
      </c>
      <c r="M20" s="9">
        <f>'Macao Daily'!K23</f>
        <v>165</v>
      </c>
      <c r="N20" s="9">
        <f>'Macao Daily'!L23</f>
        <v>703</v>
      </c>
    </row>
    <row r="21" spans="1:14" ht="15" x14ac:dyDescent="0.25">
      <c r="A21" s="6" t="s">
        <v>13</v>
      </c>
      <c r="B21" s="7">
        <f t="shared" si="0"/>
        <v>20</v>
      </c>
      <c r="C21" s="8">
        <v>2</v>
      </c>
      <c r="D21" s="7">
        <v>2023</v>
      </c>
      <c r="E21" s="9">
        <f>'Macao Daily'!D24</f>
        <v>32800</v>
      </c>
      <c r="F21" s="30">
        <v>1.2419</v>
      </c>
      <c r="G21" s="9">
        <f>'Macao Daily'!F24</f>
        <v>226.14285714284051</v>
      </c>
      <c r="H21" s="30">
        <v>6.52</v>
      </c>
      <c r="I21" s="9">
        <f>'Macao Daily'!H24</f>
        <v>16458.59999999404</v>
      </c>
      <c r="J21" s="30">
        <v>0.18</v>
      </c>
      <c r="K21" s="9">
        <f>'Macao Daily'!J24</f>
        <v>177.52234844467603</v>
      </c>
      <c r="L21" s="30">
        <v>7.7607999999999997</v>
      </c>
      <c r="M21" s="9">
        <f>'Macao Daily'!K24</f>
        <v>151</v>
      </c>
      <c r="N21" s="9">
        <f>'Macao Daily'!L24</f>
        <v>367</v>
      </c>
    </row>
    <row r="22" spans="1:14" ht="15" x14ac:dyDescent="0.25">
      <c r="A22" s="6" t="s">
        <v>13</v>
      </c>
      <c r="B22" s="7">
        <f t="shared" si="0"/>
        <v>21</v>
      </c>
      <c r="C22" s="8">
        <v>2</v>
      </c>
      <c r="D22" s="7">
        <v>2023</v>
      </c>
      <c r="E22" s="9">
        <f>'Macao Daily'!D25</f>
        <v>32949</v>
      </c>
      <c r="F22" s="30">
        <v>1.2419</v>
      </c>
      <c r="G22" s="9">
        <f>'Macao Daily'!F25</f>
        <v>210.14285714284051</v>
      </c>
      <c r="H22" s="30">
        <v>6.52</v>
      </c>
      <c r="I22" s="9">
        <f>'Macao Daily'!H25</f>
        <v>16458.59999999404</v>
      </c>
      <c r="J22" s="30">
        <v>0.18</v>
      </c>
      <c r="K22" s="9">
        <f>'Macao Daily'!J25</f>
        <v>172.66654808516614</v>
      </c>
      <c r="L22" s="30">
        <v>7.7607999999999997</v>
      </c>
      <c r="M22" s="9">
        <f>'Macao Daily'!K25</f>
        <v>150</v>
      </c>
      <c r="N22" s="9">
        <f>'Macao Daily'!L25</f>
        <v>362</v>
      </c>
    </row>
    <row r="23" spans="1:14" ht="15" x14ac:dyDescent="0.25">
      <c r="A23" s="6" t="s">
        <v>13</v>
      </c>
      <c r="B23" s="7">
        <f t="shared" si="0"/>
        <v>22</v>
      </c>
      <c r="C23" s="8">
        <v>2</v>
      </c>
      <c r="D23" s="7">
        <v>2023</v>
      </c>
      <c r="E23" s="9">
        <f>'Macao Daily'!D26</f>
        <v>34500</v>
      </c>
      <c r="F23" s="30">
        <v>1.2419</v>
      </c>
      <c r="G23" s="9">
        <f>'Macao Daily'!F26</f>
        <v>238.14285714284051</v>
      </c>
      <c r="H23" s="30">
        <v>6.52</v>
      </c>
      <c r="I23" s="9">
        <f>'Macao Daily'!H26</f>
        <v>16458.600000008941</v>
      </c>
      <c r="J23" s="30">
        <v>0.18</v>
      </c>
      <c r="K23" s="9">
        <f>'Macao Daily'!J26</f>
        <v>182.66378411976621</v>
      </c>
      <c r="L23" s="30">
        <v>7.7607999999999997</v>
      </c>
      <c r="M23" s="9">
        <f>'Macao Daily'!K26</f>
        <v>153</v>
      </c>
      <c r="N23" s="9">
        <f>'Macao Daily'!L26</f>
        <v>388</v>
      </c>
    </row>
    <row r="24" spans="1:14" ht="15" x14ac:dyDescent="0.25">
      <c r="A24" s="6" t="s">
        <v>13</v>
      </c>
      <c r="B24" s="7">
        <f t="shared" si="0"/>
        <v>23</v>
      </c>
      <c r="C24" s="8">
        <v>2</v>
      </c>
      <c r="D24" s="7">
        <v>2023</v>
      </c>
      <c r="E24" s="9">
        <f>'Macao Daily'!D27</f>
        <v>35976</v>
      </c>
      <c r="F24" s="30">
        <v>1.2419</v>
      </c>
      <c r="G24" s="9">
        <f>'Macao Daily'!F27</f>
        <v>272.14285714284051</v>
      </c>
      <c r="H24" s="30">
        <v>6.52</v>
      </c>
      <c r="I24" s="9">
        <f>'Macao Daily'!H27</f>
        <v>16458.5</v>
      </c>
      <c r="J24" s="30">
        <v>0.18</v>
      </c>
      <c r="K24" s="9">
        <f>'Macao Daily'!J27</f>
        <v>196.94554988364689</v>
      </c>
      <c r="L24" s="30">
        <v>7.7607999999999997</v>
      </c>
      <c r="M24" s="9">
        <f>'Macao Daily'!K27</f>
        <v>168</v>
      </c>
      <c r="N24" s="9">
        <f>'Macao Daily'!L27</f>
        <v>884</v>
      </c>
    </row>
    <row r="25" spans="1:14" ht="15" x14ac:dyDescent="0.25">
      <c r="A25" s="6" t="s">
        <v>13</v>
      </c>
      <c r="B25" s="7">
        <f t="shared" si="0"/>
        <v>24</v>
      </c>
      <c r="C25" s="8">
        <v>2</v>
      </c>
      <c r="D25" s="7">
        <v>2023</v>
      </c>
      <c r="E25" s="9">
        <f>'Macao Daily'!D28</f>
        <v>36553</v>
      </c>
      <c r="F25" s="30">
        <v>1.2419</v>
      </c>
      <c r="G25" s="9">
        <f>'Macao Daily'!F28</f>
        <v>261.14285714284051</v>
      </c>
      <c r="H25" s="30">
        <v>6.52</v>
      </c>
      <c r="I25" s="9">
        <f>'Macao Daily'!H28</f>
        <v>16458.59999999404</v>
      </c>
      <c r="J25" s="30">
        <v>0.18</v>
      </c>
      <c r="K25" s="9">
        <f>'Macao Daily'!J28</f>
        <v>196.42188513884321</v>
      </c>
      <c r="L25" s="30">
        <v>7.7607999999999997</v>
      </c>
      <c r="M25" s="9">
        <f>'Macao Daily'!K28</f>
        <v>214</v>
      </c>
      <c r="N25" s="9">
        <f>'Macao Daily'!L28</f>
        <v>848</v>
      </c>
    </row>
    <row r="26" spans="1:14" ht="15" x14ac:dyDescent="0.25">
      <c r="A26" s="6" t="s">
        <v>13</v>
      </c>
      <c r="B26" s="7">
        <f>B25+1</f>
        <v>25</v>
      </c>
      <c r="C26" s="8">
        <v>2</v>
      </c>
      <c r="D26" s="7">
        <v>2023</v>
      </c>
      <c r="E26" s="9">
        <f>'Macao Daily'!D29</f>
        <v>35945</v>
      </c>
      <c r="F26" s="30">
        <v>1.2419</v>
      </c>
      <c r="G26" s="9">
        <f>'Macao Daily'!F29</f>
        <v>251.14285714284051</v>
      </c>
      <c r="H26" s="30">
        <v>6.52</v>
      </c>
      <c r="I26" s="9">
        <f>'Macao Daily'!H29</f>
        <v>16458.600000008941</v>
      </c>
      <c r="J26" s="30">
        <v>0.18</v>
      </c>
      <c r="K26" s="9">
        <f>'Macao Daily'!J29</f>
        <v>214.22648645797744</v>
      </c>
      <c r="L26" s="30">
        <v>7.7607999999999997</v>
      </c>
      <c r="M26" s="9">
        <f>'Macao Daily'!K29</f>
        <v>231</v>
      </c>
      <c r="N26" s="9">
        <f>'Macao Daily'!L29</f>
        <v>1035</v>
      </c>
    </row>
    <row r="27" spans="1:14" ht="15" x14ac:dyDescent="0.25">
      <c r="A27" s="6" t="s">
        <v>13</v>
      </c>
      <c r="B27" s="7">
        <f t="shared" si="0"/>
        <v>26</v>
      </c>
      <c r="C27" s="8">
        <v>2</v>
      </c>
      <c r="D27" s="7">
        <v>2023</v>
      </c>
      <c r="E27" s="9">
        <f>'Macao Daily'!D30</f>
        <v>35430</v>
      </c>
      <c r="F27" s="30">
        <v>1.2419</v>
      </c>
      <c r="G27" s="9">
        <f>'Macao Daily'!F30</f>
        <v>236.14285714284051</v>
      </c>
      <c r="H27" s="30">
        <v>6.52</v>
      </c>
      <c r="I27" s="9">
        <f>'Macao Daily'!H30</f>
        <v>16458.59999999404</v>
      </c>
      <c r="J27" s="30">
        <v>0.18</v>
      </c>
      <c r="K27" s="9">
        <f>'Macao Daily'!J30</f>
        <v>199.18302652006969</v>
      </c>
      <c r="L27" s="30">
        <v>7.7607999999999997</v>
      </c>
      <c r="M27" s="9">
        <f>'Macao Daily'!K30</f>
        <v>187</v>
      </c>
      <c r="N27" s="9">
        <f>'Macao Daily'!L30</f>
        <v>1041</v>
      </c>
    </row>
    <row r="28" spans="1:14" ht="15" x14ac:dyDescent="0.25">
      <c r="A28" s="6" t="s">
        <v>13</v>
      </c>
      <c r="B28" s="7">
        <f t="shared" si="0"/>
        <v>27</v>
      </c>
      <c r="C28" s="8">
        <v>2</v>
      </c>
      <c r="D28" s="7">
        <v>2023</v>
      </c>
      <c r="E28" s="9">
        <f>'Macao Daily'!D31</f>
        <v>34179</v>
      </c>
      <c r="F28" s="30">
        <v>1.2419</v>
      </c>
      <c r="G28" s="9">
        <f>'Macao Daily'!F31</f>
        <v>222.14285714284051</v>
      </c>
      <c r="H28" s="30">
        <v>6.52</v>
      </c>
      <c r="I28" s="9">
        <f>'Macao Daily'!H31</f>
        <v>16458.59999999404</v>
      </c>
      <c r="J28" s="30">
        <v>0.18</v>
      </c>
      <c r="K28" s="9">
        <f>'Macao Daily'!J31</f>
        <v>189.61424345825799</v>
      </c>
      <c r="L28" s="30">
        <v>7.7607999999999997</v>
      </c>
      <c r="M28" s="9">
        <f>'Macao Daily'!K31</f>
        <v>152</v>
      </c>
      <c r="N28" s="9">
        <f>'Macao Daily'!L31</f>
        <v>442</v>
      </c>
    </row>
    <row r="29" spans="1:14" ht="15" x14ac:dyDescent="0.25">
      <c r="A29" s="6" t="s">
        <v>13</v>
      </c>
      <c r="B29" s="7">
        <f t="shared" si="0"/>
        <v>28</v>
      </c>
      <c r="C29" s="8">
        <v>2</v>
      </c>
      <c r="D29" s="7">
        <v>2023</v>
      </c>
      <c r="E29" s="9">
        <f>'Macao Daily'!D32</f>
        <v>34133</v>
      </c>
      <c r="F29" s="30">
        <v>1.2419</v>
      </c>
      <c r="G29" s="9">
        <f>'Macao Daily'!F32</f>
        <v>206.14285714284051</v>
      </c>
      <c r="H29" s="30">
        <v>6.52</v>
      </c>
      <c r="I29" s="9">
        <f>'Macao Daily'!H32</f>
        <v>16458.5</v>
      </c>
      <c r="J29" s="30">
        <v>0.18</v>
      </c>
      <c r="K29" s="9">
        <f>'Macao Daily'!J32</f>
        <v>191.70890243677422</v>
      </c>
      <c r="L29" s="30">
        <v>7.7607999999999997</v>
      </c>
      <c r="M29" s="9">
        <f>'Macao Daily'!K32</f>
        <v>158</v>
      </c>
      <c r="N29" s="9">
        <f>'Macao Daily'!L32</f>
        <v>389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L34"/>
  <sheetViews>
    <sheetView zoomScale="70" zoomScaleNormal="70" workbookViewId="0">
      <pane xSplit="1" topLeftCell="B1" activePane="topRight" state="frozen"/>
      <selection pane="topRight" activeCell="M7" sqref="M7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5" bestFit="1" customWidth="1"/>
    <col min="4" max="4" width="13.5703125" style="26" customWidth="1"/>
    <col min="5" max="5" width="14.85546875" style="13" customWidth="1"/>
    <col min="6" max="8" width="14.85546875" style="25" customWidth="1"/>
    <col min="9" max="9" width="8.85546875" style="13" customWidth="1"/>
    <col min="10" max="10" width="12.5703125" style="13" customWidth="1"/>
    <col min="11" max="12" width="13" style="27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5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2" ht="35.25" customHeight="1" thickBot="1" x14ac:dyDescent="0.3">
      <c r="A2" s="14" t="s">
        <v>14</v>
      </c>
      <c r="B2" s="36"/>
      <c r="C2" s="38" t="s">
        <v>15</v>
      </c>
      <c r="D2" s="39"/>
      <c r="E2" s="40" t="s">
        <v>16</v>
      </c>
      <c r="F2" s="40"/>
      <c r="G2" s="43" t="s">
        <v>17</v>
      </c>
      <c r="H2" s="44"/>
      <c r="I2" s="41" t="s">
        <v>18</v>
      </c>
      <c r="J2" s="42"/>
      <c r="K2" s="15"/>
      <c r="L2" s="15"/>
    </row>
    <row r="3" spans="1:12" ht="44.25" customHeight="1" x14ac:dyDescent="0.25">
      <c r="A3" s="16" t="s">
        <v>19</v>
      </c>
      <c r="B3" s="36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ht="45" customHeight="1" x14ac:dyDescent="0.25">
      <c r="A4" s="22">
        <v>44957</v>
      </c>
      <c r="B4" s="36"/>
      <c r="C4" s="34">
        <v>44379876</v>
      </c>
      <c r="D4" s="24"/>
      <c r="E4" s="34">
        <v>631903.99999999255</v>
      </c>
      <c r="F4" s="24"/>
      <c r="G4" s="34">
        <v>128192038</v>
      </c>
      <c r="H4" s="24"/>
      <c r="I4" s="23">
        <v>1150297.5881148218</v>
      </c>
      <c r="J4" s="32"/>
      <c r="K4" s="33">
        <v>234</v>
      </c>
      <c r="L4" s="33">
        <v>642</v>
      </c>
    </row>
    <row r="5" spans="1:12" ht="33" customHeight="1" x14ac:dyDescent="0.25">
      <c r="A5" s="22">
        <v>44958</v>
      </c>
      <c r="B5" s="36"/>
      <c r="C5" s="34">
        <v>44411682</v>
      </c>
      <c r="D5" s="24">
        <f t="shared" ref="D5:D19" si="0">IF((C5-C4&lt;0), "0",C5-C4)</f>
        <v>31806</v>
      </c>
      <c r="E5" s="34">
        <v>632126.14285713539</v>
      </c>
      <c r="F5" s="24">
        <f>IF((E5-E4&lt;0), "0",E5-E4)</f>
        <v>222.14285714284051</v>
      </c>
      <c r="G5" s="34">
        <v>128208496.59999999</v>
      </c>
      <c r="H5" s="24">
        <f>IF((G5-G4&lt;0), "0",G5-G4)</f>
        <v>16458.59999999404</v>
      </c>
      <c r="I5" s="23">
        <v>1150478.7285105935</v>
      </c>
      <c r="J5" s="32">
        <f>IF((I5-I4&lt;0), "0",I5-I4)</f>
        <v>181.14039577171206</v>
      </c>
      <c r="K5" s="33">
        <v>216</v>
      </c>
      <c r="L5" s="33">
        <v>483</v>
      </c>
    </row>
    <row r="6" spans="1:12" ht="45" customHeight="1" x14ac:dyDescent="0.25">
      <c r="A6" s="22">
        <v>44959</v>
      </c>
      <c r="B6" s="36"/>
      <c r="C6" s="34">
        <v>44444416</v>
      </c>
      <c r="D6" s="24">
        <f t="shared" si="0"/>
        <v>32734</v>
      </c>
      <c r="E6" s="34">
        <v>632361.28571427823</v>
      </c>
      <c r="F6" s="24">
        <f t="shared" ref="F6:F19" si="1">IF((E6-E5&lt;0), "0",E6-E5)</f>
        <v>235.14285714284051</v>
      </c>
      <c r="G6" s="34">
        <v>128224955.2</v>
      </c>
      <c r="H6" s="24">
        <f t="shared" ref="H6:H32" si="2">IF((G6-G5&lt;0), "0",G6-G5)</f>
        <v>16458.600000008941</v>
      </c>
      <c r="I6" s="23">
        <v>1150676.0549075641</v>
      </c>
      <c r="J6" s="32">
        <f t="shared" ref="J6:J32" si="3">IF((I6-I5&lt;0), "0",I6-I5)</f>
        <v>197.32639697054401</v>
      </c>
      <c r="K6" s="33">
        <v>218</v>
      </c>
      <c r="L6" s="33">
        <v>500</v>
      </c>
    </row>
    <row r="7" spans="1:12" ht="45" customHeight="1" x14ac:dyDescent="0.25">
      <c r="A7" s="22">
        <v>44960</v>
      </c>
      <c r="B7" s="36"/>
      <c r="C7" s="34">
        <v>44477786</v>
      </c>
      <c r="D7" s="24">
        <f t="shared" si="0"/>
        <v>33370</v>
      </c>
      <c r="E7" s="34">
        <v>632600.42857142107</v>
      </c>
      <c r="F7" s="24">
        <f t="shared" si="1"/>
        <v>239.14285714284051</v>
      </c>
      <c r="G7" s="34">
        <v>128241413.7</v>
      </c>
      <c r="H7" s="24">
        <f t="shared" si="2"/>
        <v>16458.5</v>
      </c>
      <c r="I7" s="23">
        <v>1150876.4756871169</v>
      </c>
      <c r="J7" s="32">
        <f t="shared" si="3"/>
        <v>200.42077955277637</v>
      </c>
      <c r="K7" s="33">
        <v>191</v>
      </c>
      <c r="L7" s="33">
        <v>666</v>
      </c>
    </row>
    <row r="8" spans="1:12" ht="45" customHeight="1" x14ac:dyDescent="0.25">
      <c r="A8" s="22">
        <v>44961</v>
      </c>
      <c r="B8" s="36"/>
      <c r="C8" s="34">
        <v>44510753</v>
      </c>
      <c r="D8" s="24">
        <f t="shared" si="0"/>
        <v>32967</v>
      </c>
      <c r="E8" s="34">
        <v>632844.57142856391</v>
      </c>
      <c r="F8" s="24">
        <f t="shared" si="1"/>
        <v>244.14285714284051</v>
      </c>
      <c r="G8" s="34">
        <v>128257872.3</v>
      </c>
      <c r="H8" s="24">
        <f t="shared" si="2"/>
        <v>16458.59999999404</v>
      </c>
      <c r="I8" s="23">
        <v>1151075.6587136369</v>
      </c>
      <c r="J8" s="32">
        <f t="shared" si="3"/>
        <v>199.18302652006969</v>
      </c>
      <c r="K8" s="33">
        <v>183</v>
      </c>
      <c r="L8" s="33">
        <v>675</v>
      </c>
    </row>
    <row r="9" spans="1:12" ht="45" customHeight="1" x14ac:dyDescent="0.25">
      <c r="A9" s="22">
        <v>44962</v>
      </c>
      <c r="B9" s="36"/>
      <c r="C9" s="34">
        <v>44542915</v>
      </c>
      <c r="D9" s="24">
        <f t="shared" si="0"/>
        <v>32162</v>
      </c>
      <c r="E9" s="34">
        <v>633083.71428570675</v>
      </c>
      <c r="F9" s="24">
        <f t="shared" si="1"/>
        <v>239.14285714284051</v>
      </c>
      <c r="G9" s="34">
        <v>128274330.90000001</v>
      </c>
      <c r="H9" s="24">
        <f t="shared" si="2"/>
        <v>16458.600000008941</v>
      </c>
      <c r="I9" s="23">
        <v>1151260.179127306</v>
      </c>
      <c r="J9" s="32">
        <f t="shared" si="3"/>
        <v>184.52041366905905</v>
      </c>
      <c r="K9" s="33">
        <v>144</v>
      </c>
      <c r="L9" s="33">
        <v>509</v>
      </c>
    </row>
    <row r="10" spans="1:12" ht="45" customHeight="1" x14ac:dyDescent="0.25">
      <c r="A10" s="22">
        <v>44963</v>
      </c>
      <c r="B10" s="36"/>
      <c r="C10" s="34">
        <v>44574932</v>
      </c>
      <c r="D10" s="24">
        <f t="shared" si="0"/>
        <v>32017</v>
      </c>
      <c r="E10" s="34">
        <v>633310.85714284959</v>
      </c>
      <c r="F10" s="24">
        <f t="shared" si="1"/>
        <v>227.14285714284051</v>
      </c>
      <c r="G10" s="34">
        <v>128290789.5</v>
      </c>
      <c r="H10" s="24">
        <f t="shared" si="2"/>
        <v>16458.59999999404</v>
      </c>
      <c r="I10" s="23">
        <v>1151442.8429114257</v>
      </c>
      <c r="J10" s="32">
        <f t="shared" si="3"/>
        <v>182.66378411976621</v>
      </c>
      <c r="K10" s="33">
        <v>137</v>
      </c>
      <c r="L10" s="33">
        <v>344</v>
      </c>
    </row>
    <row r="11" spans="1:12" ht="45" customHeight="1" x14ac:dyDescent="0.25">
      <c r="A11" s="22">
        <v>44964</v>
      </c>
      <c r="B11" s="36"/>
      <c r="C11" s="34">
        <v>44606504</v>
      </c>
      <c r="D11" s="24">
        <f t="shared" si="0"/>
        <v>31572</v>
      </c>
      <c r="E11" s="34">
        <v>633514.99999999243</v>
      </c>
      <c r="F11" s="24">
        <f t="shared" si="1"/>
        <v>204.14285714284051</v>
      </c>
      <c r="G11" s="34">
        <v>128307248</v>
      </c>
      <c r="H11" s="24">
        <f t="shared" si="2"/>
        <v>16458.5</v>
      </c>
      <c r="I11" s="23">
        <v>1151614.6049476792</v>
      </c>
      <c r="J11" s="32">
        <f t="shared" si="3"/>
        <v>171.76203625346534</v>
      </c>
      <c r="K11" s="33">
        <v>126</v>
      </c>
      <c r="L11" s="33">
        <v>243</v>
      </c>
    </row>
    <row r="12" spans="1:12" ht="45" customHeight="1" x14ac:dyDescent="0.25">
      <c r="A12" s="22">
        <v>44965</v>
      </c>
      <c r="B12" s="36"/>
      <c r="C12" s="34">
        <v>44638288</v>
      </c>
      <c r="D12" s="24">
        <f t="shared" si="0"/>
        <v>31784</v>
      </c>
      <c r="E12" s="34">
        <v>633728.14285713527</v>
      </c>
      <c r="F12" s="24">
        <f t="shared" si="1"/>
        <v>213.14285714284051</v>
      </c>
      <c r="G12" s="34">
        <v>128323706.59999999</v>
      </c>
      <c r="H12" s="24">
        <f t="shared" si="2"/>
        <v>16458.59999999404</v>
      </c>
      <c r="I12" s="23">
        <v>1151785.6528956443</v>
      </c>
      <c r="J12" s="32">
        <f t="shared" si="3"/>
        <v>171.04794796509668</v>
      </c>
      <c r="K12" s="33">
        <v>140</v>
      </c>
      <c r="L12" s="33">
        <v>339</v>
      </c>
    </row>
    <row r="13" spans="1:12" ht="45" customHeight="1" x14ac:dyDescent="0.25">
      <c r="A13" s="22">
        <v>44966</v>
      </c>
      <c r="B13" s="36"/>
      <c r="C13" s="34">
        <v>44670211</v>
      </c>
      <c r="D13" s="24">
        <f t="shared" si="0"/>
        <v>31923</v>
      </c>
      <c r="E13" s="34">
        <v>633956.28571427811</v>
      </c>
      <c r="F13" s="24">
        <f t="shared" si="1"/>
        <v>228.14285714284051</v>
      </c>
      <c r="G13" s="34">
        <v>128340165.2</v>
      </c>
      <c r="H13" s="24">
        <f t="shared" si="2"/>
        <v>16458.600000008941</v>
      </c>
      <c r="I13" s="23">
        <v>1151958.3194437295</v>
      </c>
      <c r="J13" s="32">
        <f t="shared" si="3"/>
        <v>172.66654808516614</v>
      </c>
      <c r="K13" s="33">
        <v>161</v>
      </c>
      <c r="L13" s="33">
        <v>317</v>
      </c>
    </row>
    <row r="14" spans="1:12" ht="45" customHeight="1" x14ac:dyDescent="0.25">
      <c r="A14" s="22">
        <v>44967</v>
      </c>
      <c r="B14" s="36"/>
      <c r="C14" s="34">
        <v>44705536</v>
      </c>
      <c r="D14" s="24">
        <f t="shared" si="0"/>
        <v>35325</v>
      </c>
      <c r="E14" s="34">
        <v>634193.42857142095</v>
      </c>
      <c r="F14" s="24">
        <f t="shared" si="1"/>
        <v>237.14285714284051</v>
      </c>
      <c r="G14" s="34">
        <v>128356623.8</v>
      </c>
      <c r="H14" s="24">
        <f t="shared" si="2"/>
        <v>16458.59999999404</v>
      </c>
      <c r="I14" s="23">
        <v>1152154.1700582379</v>
      </c>
      <c r="J14" s="32">
        <f t="shared" si="3"/>
        <v>195.85061450838111</v>
      </c>
      <c r="K14" s="33">
        <v>199</v>
      </c>
      <c r="L14" s="33">
        <v>583</v>
      </c>
    </row>
    <row r="15" spans="1:12" ht="45" customHeight="1" x14ac:dyDescent="0.25">
      <c r="A15" s="22">
        <v>44968</v>
      </c>
      <c r="B15" s="36"/>
      <c r="C15" s="34">
        <v>44738589</v>
      </c>
      <c r="D15" s="24">
        <f t="shared" si="0"/>
        <v>33053</v>
      </c>
      <c r="E15" s="34">
        <v>634427.5714285638</v>
      </c>
      <c r="F15" s="24">
        <f t="shared" si="1"/>
        <v>234.14285714284051</v>
      </c>
      <c r="G15" s="34">
        <v>128373082.3</v>
      </c>
      <c r="H15" s="24">
        <f t="shared" si="2"/>
        <v>16458.5</v>
      </c>
      <c r="I15" s="23">
        <v>1152349.5446138876</v>
      </c>
      <c r="J15" s="32">
        <f t="shared" si="3"/>
        <v>195.37455564970151</v>
      </c>
      <c r="K15" s="33">
        <v>224</v>
      </c>
      <c r="L15" s="33">
        <v>863</v>
      </c>
    </row>
    <row r="16" spans="1:12" ht="45" customHeight="1" x14ac:dyDescent="0.25">
      <c r="A16" s="22">
        <v>44969</v>
      </c>
      <c r="B16" s="36"/>
      <c r="C16" s="34">
        <v>44772553</v>
      </c>
      <c r="D16" s="24">
        <f t="shared" si="0"/>
        <v>33964</v>
      </c>
      <c r="E16" s="34">
        <v>634660.71428570664</v>
      </c>
      <c r="F16" s="24">
        <f t="shared" si="1"/>
        <v>233.14285714284051</v>
      </c>
      <c r="G16" s="34">
        <v>128389540.90000001</v>
      </c>
      <c r="H16" s="24">
        <f t="shared" si="2"/>
        <v>16458.600000008941</v>
      </c>
      <c r="I16" s="23">
        <v>1152552.1552641909</v>
      </c>
      <c r="J16" s="32">
        <f t="shared" si="3"/>
        <v>202.61065030330792</v>
      </c>
      <c r="K16" s="33">
        <v>138</v>
      </c>
      <c r="L16" s="33">
        <v>646</v>
      </c>
    </row>
    <row r="17" spans="1:12" ht="45" customHeight="1" x14ac:dyDescent="0.25">
      <c r="A17" s="22">
        <v>44970</v>
      </c>
      <c r="B17" s="36"/>
      <c r="C17" s="34">
        <v>44804066</v>
      </c>
      <c r="D17" s="24">
        <f t="shared" si="0"/>
        <v>31513</v>
      </c>
      <c r="E17" s="34">
        <v>634887.85714284948</v>
      </c>
      <c r="F17" s="24">
        <f t="shared" si="1"/>
        <v>227.14285714284051</v>
      </c>
      <c r="G17" s="34">
        <v>128405999.5</v>
      </c>
      <c r="H17" s="24">
        <f t="shared" si="2"/>
        <v>16458.59999999404</v>
      </c>
      <c r="I17" s="23">
        <v>1152737.6754014634</v>
      </c>
      <c r="J17" s="32">
        <f t="shared" si="3"/>
        <v>185.52013727254234</v>
      </c>
      <c r="K17" s="33">
        <v>128</v>
      </c>
      <c r="L17" s="33">
        <v>374</v>
      </c>
    </row>
    <row r="18" spans="1:12" ht="45" customHeight="1" x14ac:dyDescent="0.25">
      <c r="A18" s="22">
        <v>44971</v>
      </c>
      <c r="B18" s="36"/>
      <c r="C18" s="34">
        <v>28793567</v>
      </c>
      <c r="D18" s="24">
        <v>30871</v>
      </c>
      <c r="E18" s="34">
        <v>635103.99999999232</v>
      </c>
      <c r="F18" s="24">
        <f t="shared" si="1"/>
        <v>216.14285714284051</v>
      </c>
      <c r="G18" s="34">
        <v>128422458.09999999</v>
      </c>
      <c r="H18" s="24">
        <f t="shared" si="2"/>
        <v>16458.59999999404</v>
      </c>
      <c r="I18" s="23">
        <v>1152923.8620211382</v>
      </c>
      <c r="J18" s="32">
        <f t="shared" si="3"/>
        <v>186.18661967478693</v>
      </c>
      <c r="K18" s="33">
        <v>161</v>
      </c>
      <c r="L18" s="33">
        <v>462</v>
      </c>
    </row>
    <row r="19" spans="1:12" ht="45" customHeight="1" x14ac:dyDescent="0.25">
      <c r="A19" s="22">
        <v>44972</v>
      </c>
      <c r="B19" s="36"/>
      <c r="C19" s="34">
        <v>28825755</v>
      </c>
      <c r="D19" s="24">
        <f t="shared" si="0"/>
        <v>32188</v>
      </c>
      <c r="E19" s="34">
        <v>635322.14285713516</v>
      </c>
      <c r="F19" s="24">
        <f t="shared" si="1"/>
        <v>218.14285714284051</v>
      </c>
      <c r="G19" s="34">
        <v>128438916.59999999</v>
      </c>
      <c r="H19" s="24">
        <f t="shared" si="2"/>
        <v>16458.5</v>
      </c>
      <c r="I19" s="23">
        <v>1153102.5745167299</v>
      </c>
      <c r="J19" s="32">
        <f t="shared" si="3"/>
        <v>178.71249559172429</v>
      </c>
      <c r="K19" s="33">
        <v>151</v>
      </c>
      <c r="L19" s="33">
        <v>172</v>
      </c>
    </row>
    <row r="20" spans="1:12" ht="45" customHeight="1" x14ac:dyDescent="0.25">
      <c r="A20" s="22">
        <v>44973</v>
      </c>
      <c r="B20" s="36"/>
      <c r="C20" s="34">
        <v>28858194</v>
      </c>
      <c r="D20" s="24">
        <f t="shared" ref="D20:D32" si="4">IF((C20-C19&lt;0), "0",C20-C19)</f>
        <v>32439</v>
      </c>
      <c r="E20" s="34">
        <v>635554.285714278</v>
      </c>
      <c r="F20" s="24">
        <f t="shared" ref="F20:F32" si="5">IF((E20-E19&lt;0), "0",E20-E19)</f>
        <v>232.14285714284051</v>
      </c>
      <c r="G20" s="34">
        <v>128455375.2</v>
      </c>
      <c r="H20" s="24">
        <f t="shared" si="2"/>
        <v>16458.600000008941</v>
      </c>
      <c r="I20" s="23">
        <v>1153288.1898657742</v>
      </c>
      <c r="J20" s="32">
        <f t="shared" si="3"/>
        <v>185.61534904432483</v>
      </c>
      <c r="K20" s="33">
        <v>168</v>
      </c>
      <c r="L20" s="33">
        <v>178</v>
      </c>
    </row>
    <row r="21" spans="1:12" ht="45" customHeight="1" x14ac:dyDescent="0.25">
      <c r="A21" s="22">
        <v>44974</v>
      </c>
      <c r="B21" s="36"/>
      <c r="C21" s="34">
        <v>28891316</v>
      </c>
      <c r="D21" s="24">
        <f t="shared" si="4"/>
        <v>33122</v>
      </c>
      <c r="E21" s="34">
        <v>635795.42857142084</v>
      </c>
      <c r="F21" s="24">
        <f t="shared" si="5"/>
        <v>241.14285714284051</v>
      </c>
      <c r="G21" s="34">
        <v>128471833.8</v>
      </c>
      <c r="H21" s="24">
        <f t="shared" si="2"/>
        <v>16458.59999999404</v>
      </c>
      <c r="I21" s="23">
        <v>1153490.5148807622</v>
      </c>
      <c r="J21" s="32">
        <f t="shared" si="3"/>
        <v>202.32501498796046</v>
      </c>
      <c r="K21" s="33">
        <v>189</v>
      </c>
      <c r="L21" s="33">
        <v>595</v>
      </c>
    </row>
    <row r="22" spans="1:12" ht="45" customHeight="1" x14ac:dyDescent="0.25">
      <c r="A22" s="22">
        <v>44975</v>
      </c>
      <c r="B22" s="36"/>
      <c r="C22" s="34">
        <v>28924153</v>
      </c>
      <c r="D22" s="24">
        <f t="shared" si="4"/>
        <v>32837</v>
      </c>
      <c r="E22" s="34">
        <v>636039.57142856368</v>
      </c>
      <c r="F22" s="24">
        <f t="shared" si="5"/>
        <v>244.14285714284051</v>
      </c>
      <c r="G22" s="34">
        <v>128488292.40000001</v>
      </c>
      <c r="H22" s="24">
        <f t="shared" si="2"/>
        <v>16458.600000008941</v>
      </c>
      <c r="I22" s="23">
        <v>1153693.1731369514</v>
      </c>
      <c r="J22" s="32">
        <f t="shared" si="3"/>
        <v>202.65825618919916</v>
      </c>
      <c r="K22" s="33">
        <v>225</v>
      </c>
      <c r="L22" s="33">
        <v>1068</v>
      </c>
    </row>
    <row r="23" spans="1:12" ht="45" customHeight="1" x14ac:dyDescent="0.25">
      <c r="A23" s="22">
        <v>44976</v>
      </c>
      <c r="B23" s="36"/>
      <c r="C23" s="34">
        <v>28956920</v>
      </c>
      <c r="D23" s="24">
        <f t="shared" si="4"/>
        <v>32767</v>
      </c>
      <c r="E23" s="34">
        <v>636270.71428570652</v>
      </c>
      <c r="F23" s="24">
        <f t="shared" si="5"/>
        <v>231.14285714284051</v>
      </c>
      <c r="G23" s="34">
        <v>128504750.90000001</v>
      </c>
      <c r="H23" s="24">
        <f t="shared" si="2"/>
        <v>16458.5</v>
      </c>
      <c r="I23" s="23">
        <v>1153900.8776170439</v>
      </c>
      <c r="J23" s="32">
        <f t="shared" si="3"/>
        <v>207.70448009250686</v>
      </c>
      <c r="K23" s="33">
        <v>165</v>
      </c>
      <c r="L23" s="33">
        <v>703</v>
      </c>
    </row>
    <row r="24" spans="1:12" ht="45" customHeight="1" x14ac:dyDescent="0.25">
      <c r="A24" s="22">
        <v>44977</v>
      </c>
      <c r="B24" s="36"/>
      <c r="C24" s="34">
        <v>28989720</v>
      </c>
      <c r="D24" s="24">
        <f t="shared" si="4"/>
        <v>32800</v>
      </c>
      <c r="E24" s="34">
        <v>636496.85714284936</v>
      </c>
      <c r="F24" s="24">
        <f t="shared" si="5"/>
        <v>226.14285714284051</v>
      </c>
      <c r="G24" s="34">
        <v>128521209.5</v>
      </c>
      <c r="H24" s="24">
        <f t="shared" si="2"/>
        <v>16458.59999999404</v>
      </c>
      <c r="I24" s="23">
        <v>1154078.3999654886</v>
      </c>
      <c r="J24" s="32">
        <f t="shared" si="3"/>
        <v>177.52234844467603</v>
      </c>
      <c r="K24" s="33">
        <v>151</v>
      </c>
      <c r="L24" s="33">
        <v>367</v>
      </c>
    </row>
    <row r="25" spans="1:12" ht="45" customHeight="1" x14ac:dyDescent="0.25">
      <c r="A25" s="22">
        <v>44978</v>
      </c>
      <c r="B25" s="36"/>
      <c r="C25" s="34">
        <v>29022669</v>
      </c>
      <c r="D25" s="24">
        <f t="shared" si="4"/>
        <v>32949</v>
      </c>
      <c r="E25" s="34">
        <v>636706.9999999922</v>
      </c>
      <c r="F25" s="24">
        <f t="shared" si="5"/>
        <v>210.14285714284051</v>
      </c>
      <c r="G25" s="34">
        <v>128537668.09999999</v>
      </c>
      <c r="H25" s="24">
        <f t="shared" si="2"/>
        <v>16458.59999999404</v>
      </c>
      <c r="I25" s="23">
        <v>1154251.0665135738</v>
      </c>
      <c r="J25" s="32">
        <f t="shared" si="3"/>
        <v>172.66654808516614</v>
      </c>
      <c r="K25" s="33">
        <v>150</v>
      </c>
      <c r="L25" s="33">
        <v>362</v>
      </c>
    </row>
    <row r="26" spans="1:12" ht="45" customHeight="1" x14ac:dyDescent="0.25">
      <c r="A26" s="22">
        <v>44979</v>
      </c>
      <c r="B26" s="36"/>
      <c r="C26" s="34">
        <v>29057169</v>
      </c>
      <c r="D26" s="24">
        <f t="shared" si="4"/>
        <v>34500</v>
      </c>
      <c r="E26" s="34">
        <v>636945.14285713504</v>
      </c>
      <c r="F26" s="24">
        <f t="shared" si="5"/>
        <v>238.14285714284051</v>
      </c>
      <c r="G26" s="34">
        <v>128554126.7</v>
      </c>
      <c r="H26" s="24">
        <f t="shared" si="2"/>
        <v>16458.600000008941</v>
      </c>
      <c r="I26" s="23">
        <v>1154433.7302976935</v>
      </c>
      <c r="J26" s="32">
        <f t="shared" si="3"/>
        <v>182.66378411976621</v>
      </c>
      <c r="K26" s="33">
        <v>153</v>
      </c>
      <c r="L26" s="33">
        <v>388</v>
      </c>
    </row>
    <row r="27" spans="1:12" ht="45" customHeight="1" x14ac:dyDescent="0.25">
      <c r="A27" s="22">
        <v>44980</v>
      </c>
      <c r="B27" s="36"/>
      <c r="C27" s="34">
        <v>29093145</v>
      </c>
      <c r="D27" s="24">
        <f t="shared" si="4"/>
        <v>35976</v>
      </c>
      <c r="E27" s="34">
        <v>637217.28571427788</v>
      </c>
      <c r="F27" s="24">
        <f t="shared" si="5"/>
        <v>272.14285714284051</v>
      </c>
      <c r="G27" s="34">
        <v>128570585.2</v>
      </c>
      <c r="H27" s="24">
        <f t="shared" si="2"/>
        <v>16458.5</v>
      </c>
      <c r="I27" s="23">
        <v>1154630.6758475772</v>
      </c>
      <c r="J27" s="32">
        <f t="shared" si="3"/>
        <v>196.94554988364689</v>
      </c>
      <c r="K27" s="33">
        <v>168</v>
      </c>
      <c r="L27" s="33">
        <v>884</v>
      </c>
    </row>
    <row r="28" spans="1:12" ht="45" customHeight="1" x14ac:dyDescent="0.25">
      <c r="A28" s="22">
        <v>44981</v>
      </c>
      <c r="B28" s="36"/>
      <c r="C28" s="34">
        <v>29129698</v>
      </c>
      <c r="D28" s="24">
        <f t="shared" si="4"/>
        <v>36553</v>
      </c>
      <c r="E28" s="34">
        <v>637478.42857142072</v>
      </c>
      <c r="F28" s="24">
        <f t="shared" si="5"/>
        <v>261.14285714284051</v>
      </c>
      <c r="G28" s="34">
        <v>128587043.8</v>
      </c>
      <c r="H28" s="24">
        <f t="shared" si="2"/>
        <v>16458.59999999404</v>
      </c>
      <c r="I28" s="23">
        <v>1154827.097732716</v>
      </c>
      <c r="J28" s="32">
        <f t="shared" si="3"/>
        <v>196.42188513884321</v>
      </c>
      <c r="K28" s="33">
        <v>214</v>
      </c>
      <c r="L28" s="33">
        <v>848</v>
      </c>
    </row>
    <row r="29" spans="1:12" ht="45" customHeight="1" x14ac:dyDescent="0.25">
      <c r="A29" s="22">
        <v>44982</v>
      </c>
      <c r="B29" s="36"/>
      <c r="C29" s="34">
        <v>29165643</v>
      </c>
      <c r="D29" s="24">
        <f t="shared" si="4"/>
        <v>35945</v>
      </c>
      <c r="E29" s="34">
        <v>637729.57142856356</v>
      </c>
      <c r="F29" s="24">
        <f t="shared" si="5"/>
        <v>251.14285714284051</v>
      </c>
      <c r="G29" s="34">
        <v>128603502.40000001</v>
      </c>
      <c r="H29" s="24">
        <f t="shared" si="2"/>
        <v>16458.600000008941</v>
      </c>
      <c r="I29" s="23">
        <v>1155041.324219174</v>
      </c>
      <c r="J29" s="32">
        <f t="shared" si="3"/>
        <v>214.22648645797744</v>
      </c>
      <c r="K29" s="33">
        <v>231</v>
      </c>
      <c r="L29" s="33">
        <v>1035</v>
      </c>
    </row>
    <row r="30" spans="1:12" ht="45" customHeight="1" x14ac:dyDescent="0.25">
      <c r="A30" s="22">
        <v>44983</v>
      </c>
      <c r="B30" s="36"/>
      <c r="C30" s="34">
        <v>29201073</v>
      </c>
      <c r="D30" s="24">
        <f t="shared" si="4"/>
        <v>35430</v>
      </c>
      <c r="E30" s="34">
        <v>637965.7142857064</v>
      </c>
      <c r="F30" s="24">
        <f t="shared" si="5"/>
        <v>236.14285714284051</v>
      </c>
      <c r="G30" s="34">
        <v>128619961</v>
      </c>
      <c r="H30" s="24">
        <f t="shared" si="2"/>
        <v>16458.59999999404</v>
      </c>
      <c r="I30" s="23">
        <v>1155240.5072456941</v>
      </c>
      <c r="J30" s="32">
        <f t="shared" si="3"/>
        <v>199.18302652006969</v>
      </c>
      <c r="K30" s="33">
        <v>187</v>
      </c>
      <c r="L30" s="33">
        <v>1041</v>
      </c>
    </row>
    <row r="31" spans="1:12" ht="45" customHeight="1" x14ac:dyDescent="0.25">
      <c r="A31" s="22">
        <v>44984</v>
      </c>
      <c r="B31" s="36"/>
      <c r="C31" s="34">
        <v>29235252</v>
      </c>
      <c r="D31" s="24">
        <f t="shared" si="4"/>
        <v>34179</v>
      </c>
      <c r="E31" s="34">
        <v>638187.85714284924</v>
      </c>
      <c r="F31" s="24">
        <f t="shared" si="5"/>
        <v>222.14285714284051</v>
      </c>
      <c r="G31" s="34">
        <v>128636419.59999999</v>
      </c>
      <c r="H31" s="24">
        <f t="shared" si="2"/>
        <v>16458.59999999404</v>
      </c>
      <c r="I31" s="23">
        <v>1155430.1214891523</v>
      </c>
      <c r="J31" s="32">
        <f t="shared" si="3"/>
        <v>189.61424345825799</v>
      </c>
      <c r="K31" s="33">
        <v>152</v>
      </c>
      <c r="L31" s="33">
        <v>442</v>
      </c>
    </row>
    <row r="32" spans="1:12" ht="45" customHeight="1" x14ac:dyDescent="0.25">
      <c r="A32" s="22">
        <v>44985</v>
      </c>
      <c r="B32" s="36"/>
      <c r="C32" s="34">
        <v>29269385</v>
      </c>
      <c r="D32" s="24">
        <f t="shared" si="4"/>
        <v>34133</v>
      </c>
      <c r="E32" s="34">
        <v>638393.99999999208</v>
      </c>
      <c r="F32" s="24">
        <f t="shared" si="5"/>
        <v>206.14285714284051</v>
      </c>
      <c r="G32" s="34">
        <v>128652878.09999999</v>
      </c>
      <c r="H32" s="24">
        <f t="shared" si="2"/>
        <v>16458.5</v>
      </c>
      <c r="I32" s="23">
        <v>1155621.8303915891</v>
      </c>
      <c r="J32" s="32">
        <f t="shared" si="3"/>
        <v>191.70890243677422</v>
      </c>
      <c r="K32" s="33">
        <v>158</v>
      </c>
      <c r="L32" s="33">
        <v>389</v>
      </c>
    </row>
    <row r="34" spans="3:3" ht="15.75" customHeight="1" x14ac:dyDescent="0.25">
      <c r="C34" s="31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2023-03-07T06:54:32Z</dcterms:modified>
  <cp:category/>
  <cp:contentStatus/>
</cp:coreProperties>
</file>