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1E2A3253-8FB0-46B2-8F5D-09B3747EC7D3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MAY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3" l="1"/>
  <c r="I31" i="3"/>
  <c r="I30" i="3"/>
  <c r="I29" i="3"/>
  <c r="I28" i="3"/>
  <c r="G32" i="3"/>
  <c r="G31" i="3"/>
  <c r="G30" i="3"/>
  <c r="G29" i="3"/>
  <c r="G28" i="3"/>
  <c r="P28" i="3"/>
  <c r="O28" i="3"/>
  <c r="M28" i="3"/>
  <c r="AB30" i="2"/>
  <c r="Y30" i="2"/>
  <c r="W30" i="2"/>
  <c r="N31" i="2"/>
  <c r="N30" i="2"/>
  <c r="M32" i="3"/>
  <c r="M31" i="3"/>
  <c r="M30" i="3"/>
  <c r="P32" i="3"/>
  <c r="O32" i="3"/>
  <c r="P31" i="3"/>
  <c r="O31" i="3"/>
  <c r="P30" i="3"/>
  <c r="O30" i="3"/>
  <c r="P29" i="3"/>
  <c r="O29" i="3"/>
  <c r="P27" i="3"/>
  <c r="O27" i="3"/>
  <c r="P26" i="3"/>
  <c r="O26" i="3"/>
  <c r="K31" i="3"/>
  <c r="G32" i="2" l="1"/>
  <c r="G31" i="2"/>
  <c r="G30" i="2"/>
  <c r="G29" i="2"/>
  <c r="G28" i="2"/>
  <c r="E32" i="2"/>
  <c r="E31" i="2"/>
  <c r="E30" i="2"/>
  <c r="E29" i="2"/>
  <c r="C31" i="2"/>
  <c r="C30" i="2"/>
  <c r="AB31" i="2"/>
  <c r="K28" i="3" s="1"/>
  <c r="Y31" i="2"/>
  <c r="W31" i="2"/>
  <c r="S31" i="2"/>
  <c r="K31" i="2"/>
  <c r="E9" i="2"/>
  <c r="E8" i="2"/>
  <c r="E7" i="2"/>
  <c r="E6" i="2"/>
  <c r="E5" i="2"/>
  <c r="K32" i="3"/>
  <c r="K30" i="3"/>
  <c r="E31" i="3" l="1"/>
  <c r="F31" i="3"/>
  <c r="H31" i="2"/>
  <c r="I31" i="2" s="1"/>
  <c r="AB32" i="2"/>
  <c r="Y32" i="2"/>
  <c r="W32" i="2"/>
  <c r="N32" i="2"/>
  <c r="C32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W28" i="2"/>
  <c r="W27" i="2"/>
  <c r="N33" i="2"/>
  <c r="M29" i="3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U30" i="2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28" i="3" l="1"/>
  <c r="E28" i="3"/>
  <c r="F32" i="3"/>
  <c r="E32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U29" i="2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F12" i="3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3" i="2" l="1"/>
  <c r="W4" i="2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J31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32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<sst xmlns="http://schemas.openxmlformats.org/spreadsheetml/2006/main" count="77" uniqueCount="40">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</sst>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opLeftCell="A7" workbookViewId="0">
      <selection activeCell="G27" sqref="G27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5946</v>
      </c>
      <c r="F26" s="109">
        <f>('MAY  2026'!C26*0.27)/('MAY  2026'!C26+'MAY  2026'!E26)</f>
        <v>0.1956659939455096</v>
      </c>
      <c r="G26" s="96">
        <f>'MAY  2026'!U26</f>
        <v>51</v>
      </c>
      <c r="H26" s="112">
        <v>0.62</v>
      </c>
      <c r="I26" s="97">
        <f>'MAY  2026'!W26</f>
        <v>129</v>
      </c>
      <c r="J26" s="98">
        <v>2.42</v>
      </c>
      <c r="K26" s="105">
        <f>'MAY  2026'!AB26*5.04</f>
        <v>0</v>
      </c>
      <c r="L26" s="115">
        <v>0.11509999999999999</v>
      </c>
      <c r="M26" s="106" t="str">
        <f>'MAY  2026'!N26</f>
        <v>0</v>
      </c>
      <c r="N26" s="118">
        <v>0.88</v>
      </c>
      <c r="O26" s="99">
        <f>'MAY  2026'!AC26</f>
        <v>201</v>
      </c>
      <c r="P26" s="99">
        <f>'MAY  2026'!AD26</f>
        <v>422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6541</v>
      </c>
      <c r="F27" s="109">
        <f>('MAY  2026'!C27*0.27)/('MAY  2026'!C27+'MAY  2026'!E27)</f>
        <v>0.20160220149824187</v>
      </c>
      <c r="G27" s="96">
        <f>'MAY  2026'!U27</f>
        <v>100</v>
      </c>
      <c r="H27" s="112">
        <v>0.62</v>
      </c>
      <c r="I27" s="97">
        <f>'MAY  2026'!W27</f>
        <v>158</v>
      </c>
      <c r="J27" s="98">
        <v>2.42</v>
      </c>
      <c r="K27" s="105">
        <f>'MAY  2026'!AB27*5.04</f>
        <v>0</v>
      </c>
      <c r="L27" s="115">
        <v>0.11509999999999999</v>
      </c>
      <c r="M27" s="106" t="str">
        <f>'MAY  2026'!N27</f>
        <v>0</v>
      </c>
      <c r="N27" s="118">
        <v>0.88</v>
      </c>
      <c r="O27" s="99">
        <f>'MAY  2026'!AC27</f>
        <v>191</v>
      </c>
      <c r="P27" s="99">
        <f>'MAY  2026'!AD27</f>
        <v>406</v>
      </c>
    </row>
    <row r="28" spans="1:16" ht="15" x14ac:dyDescent="0.25">
      <c r="A28" s="94" t="s">
        <v>37</v>
      </c>
      <c r="B28" s="5">
        <v>27</v>
      </c>
      <c r="C28" s="121">
        <v>5</v>
      </c>
      <c r="D28" s="4">
        <v>2026</v>
      </c>
      <c r="E28" s="95">
        <f>IF('MAY  2026'!C27&lt;0,"0",'MAY  2026'!C27)+(IF('MAY  2026'!E27&lt;0,"0",'MAY  2026'!E27)-(IF('MAY  2026'!G27&lt;0,"0",'MAY  2026'!G27)))</f>
        <v>6541</v>
      </c>
      <c r="F28" s="109">
        <f>('MAY  2026'!C27*0.27)/('MAY  2026'!C27+'MAY  2026'!E27)</f>
        <v>0.20160220149824187</v>
      </c>
      <c r="G28" s="96">
        <f>'MAY  2026'!U28</f>
        <v>125</v>
      </c>
      <c r="H28" s="112">
        <v>0.62</v>
      </c>
      <c r="I28" s="97">
        <f>'MAY  2026'!W28</f>
        <v>115</v>
      </c>
      <c r="J28" s="98">
        <v>2.42</v>
      </c>
      <c r="K28" s="105">
        <f>'MAY  2026'!AB31*5.04</f>
        <v>0</v>
      </c>
      <c r="L28" s="115">
        <v>0.11509999999999999</v>
      </c>
      <c r="M28" s="106" t="str">
        <f>'MAY  2026'!N31</f>
        <v>0</v>
      </c>
      <c r="N28" s="118">
        <v>0.88</v>
      </c>
      <c r="O28" s="99">
        <f>'MAY  2026'!AC27</f>
        <v>191</v>
      </c>
      <c r="P28" s="99">
        <f>'MAY  2026'!AD27</f>
        <v>406</v>
      </c>
    </row>
    <row r="29" spans="1:16" ht="15" x14ac:dyDescent="0.25">
      <c r="A29" s="94" t="s">
        <v>37</v>
      </c>
      <c r="B29" s="5">
        <v>28</v>
      </c>
      <c r="C29" s="121">
        <v>5</v>
      </c>
      <c r="D29" s="4">
        <v>2026</v>
      </c>
      <c r="E29" s="95">
        <f>IF('MAY  2026'!C28&lt;0,"0",'MAY  2026'!C28)+(IF('MAY  2026'!E28&lt;0,"0",'MAY  2026'!E28)-(IF('MAY  2026'!G28&lt;0,"0",'MAY  2026'!G28)))</f>
        <v>6471</v>
      </c>
      <c r="F29" s="109">
        <f>('MAY  2026'!C28*0.27)/('MAY  2026'!C28+'MAY  2026'!E28)</f>
        <v>0.20132127955493742</v>
      </c>
      <c r="G29" s="96">
        <f>'MAY  2026'!U29</f>
        <v>95</v>
      </c>
      <c r="H29" s="112">
        <v>0.62</v>
      </c>
      <c r="I29" s="97">
        <f>'MAY  2026'!W29</f>
        <v>108</v>
      </c>
      <c r="J29" s="98">
        <v>2.42</v>
      </c>
      <c r="K29" s="105">
        <f>'MAY  2026'!AB32*5.04</f>
        <v>0</v>
      </c>
      <c r="L29" s="115">
        <v>0.11509999999999999</v>
      </c>
      <c r="M29" s="106" t="str">
        <f>'MAY  2026'!N32</f>
        <v>0</v>
      </c>
      <c r="N29" s="118">
        <v>0.88</v>
      </c>
      <c r="O29" s="99">
        <f>'MAY  2026'!AC28</f>
        <v>202</v>
      </c>
      <c r="P29" s="99">
        <f>'MAY  2026'!AD28</f>
        <v>427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2026'!C29&lt;0,"0",'MAY  2026'!C29)+(IF('MAY  2026'!E29&lt;0,"0",'MAY  2026'!E29)-(IF('MAY  2026'!G29&lt;0,"0",'MAY  2026'!G29)))</f>
        <v>6883</v>
      </c>
      <c r="F30" s="109">
        <f>('MAY  2026'!C29*0.27)/('MAY  2026'!C29+'MAY  2026'!E29)</f>
        <v>0.21178701147755338</v>
      </c>
      <c r="G30" s="96">
        <f>'MAY  2026'!U30</f>
        <v>160</v>
      </c>
      <c r="H30" s="112">
        <v>0.62</v>
      </c>
      <c r="I30" s="97">
        <f>'MAY  2026'!W30</f>
        <v>127</v>
      </c>
      <c r="J30" s="98">
        <v>2.42</v>
      </c>
      <c r="K30" s="105">
        <f>'MAY  2026'!AB33*5.04</f>
        <v>0</v>
      </c>
      <c r="L30" s="115">
        <v>0.11509999999999999</v>
      </c>
      <c r="M30" s="106" t="str">
        <f>'MAY  2026'!N33</f>
        <v>0</v>
      </c>
      <c r="N30" s="118">
        <v>0.88</v>
      </c>
      <c r="O30" s="99">
        <f>'MAY  2026'!AC29</f>
        <v>194</v>
      </c>
      <c r="P30" s="99">
        <f>'MAY  2026'!AD29</f>
        <v>406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6832</v>
      </c>
      <c r="F31" s="109">
        <f>('MAY  2026'!C31*0.27)/('MAY  2026'!C31+'MAY  2026'!E31)</f>
        <v>0.2030927985948478</v>
      </c>
      <c r="G31" s="96">
        <f>'MAY  2026'!U31</f>
        <v>255</v>
      </c>
      <c r="H31" s="112">
        <v>0.62</v>
      </c>
      <c r="I31" s="97">
        <f>'MAY  2026'!W31</f>
        <v>126</v>
      </c>
      <c r="J31" s="98">
        <v>2.42</v>
      </c>
      <c r="K31" s="105">
        <f>'MAY  2026'!AB35*5.04</f>
        <v>0</v>
      </c>
      <c r="L31" s="115">
        <v>0.11509999999999999</v>
      </c>
      <c r="M31" s="106">
        <f>'MAY  2026'!N35</f>
        <v>0</v>
      </c>
      <c r="N31" s="118">
        <v>0.88</v>
      </c>
      <c r="O31" s="99">
        <f>'MAY  2026'!AC31</f>
        <v>227</v>
      </c>
      <c r="P31" s="99">
        <f>'MAY  2026'!AD31</f>
        <v>465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6588</v>
      </c>
      <c r="F32" s="109">
        <f>('MAY  2026'!C32*0.27)/('MAY  2026'!C32+'MAY  2026'!E32)</f>
        <v>0.24274590163934426</v>
      </c>
      <c r="G32" s="96">
        <f>'MAY  2026'!U32</f>
        <v>65</v>
      </c>
      <c r="H32" s="112">
        <v>0.62</v>
      </c>
      <c r="I32" s="97">
        <f>'MAY  2026'!W32</f>
        <v>95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2026'!N36</f>
        <v>0</v>
      </c>
      <c r="N32" s="118">
        <v>0.88</v>
      </c>
      <c r="O32" s="99">
        <f>'MAY  2026'!AC32</f>
        <v>196</v>
      </c>
      <c r="P32" s="99">
        <f>'MAY  2026'!AD32</f>
        <v>406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5" zoomScale="115" zoomScaleNormal="115" workbookViewId="0">
      <selection activeCell="O27" sqref="O2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31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9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ref="N10:N33" si="13">IF((L10-L11+M10)=L10,"0",(L10-L11+M10))</f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13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13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13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4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13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4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13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4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13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4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13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v>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4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13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4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13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4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13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5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6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4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13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5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6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4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13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5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6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4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13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5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6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4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13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5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6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4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-358.94000000000233</v>
      </c>
      <c r="K25" s="20">
        <f t="shared" si="7"/>
        <v>46166</v>
      </c>
      <c r="L25" s="33">
        <v>6675</v>
      </c>
      <c r="M25" s="34">
        <v>0</v>
      </c>
      <c r="N25" s="32">
        <f t="shared" si="13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5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>
        <f t="shared" si="2"/>
        <v>4309</v>
      </c>
      <c r="D26" s="11">
        <v>1125154</v>
      </c>
      <c r="E26" s="14">
        <f t="shared" si="14"/>
        <v>1637</v>
      </c>
      <c r="F26" s="27">
        <v>1704</v>
      </c>
      <c r="G26" s="66">
        <f t="shared" si="4"/>
        <v>0</v>
      </c>
      <c r="H26" s="68">
        <f t="shared" si="5"/>
        <v>5946</v>
      </c>
      <c r="I26" s="72">
        <f t="shared" si="6"/>
        <v>-40222.300000000003</v>
      </c>
      <c r="J26" s="32">
        <f t="shared" si="0"/>
        <v>593.57000000000698</v>
      </c>
      <c r="K26" s="20">
        <f t="shared" si="7"/>
        <v>46167</v>
      </c>
      <c r="L26" s="33">
        <v>6221</v>
      </c>
      <c r="M26" s="34">
        <v>0</v>
      </c>
      <c r="N26" s="32" t="str">
        <f t="shared" si="13"/>
        <v>0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5"/>
        <v>51</v>
      </c>
      <c r="V26" s="40">
        <v>6909</v>
      </c>
      <c r="W26" s="32">
        <f t="shared" si="1"/>
        <v>129</v>
      </c>
      <c r="X26" s="43">
        <v>61909</v>
      </c>
      <c r="Y26" s="14">
        <f>IF((X27-X26)&lt;0,"0",X27-X26)</f>
        <v>17</v>
      </c>
      <c r="Z26" s="46">
        <v>0</v>
      </c>
      <c r="AA26" s="51"/>
      <c r="AB26" s="32" t="str">
        <f t="shared" si="12"/>
        <v>0</v>
      </c>
      <c r="AC26" s="13">
        <v>201</v>
      </c>
      <c r="AD26" s="18">
        <v>422</v>
      </c>
    </row>
    <row r="27" spans="1:30" ht="20.65" customHeight="1" x14ac:dyDescent="0.2">
      <c r="A27" s="19">
        <v>46168</v>
      </c>
      <c r="B27" s="10">
        <v>414167</v>
      </c>
      <c r="C27" s="14">
        <f t="shared" si="2"/>
        <v>4884</v>
      </c>
      <c r="D27" s="11">
        <v>1126791</v>
      </c>
      <c r="E27" s="14">
        <f t="shared" si="14"/>
        <v>1657</v>
      </c>
      <c r="F27" s="27">
        <v>1704</v>
      </c>
      <c r="G27" s="66">
        <f t="shared" si="4"/>
        <v>0</v>
      </c>
      <c r="H27" s="68">
        <f t="shared" si="5"/>
        <v>6541</v>
      </c>
      <c r="I27" s="72">
        <f t="shared" si="6"/>
        <v>-39628.729999999996</v>
      </c>
      <c r="J27" s="32">
        <f t="shared" si="0"/>
        <v>-70.950000000004366</v>
      </c>
      <c r="K27" s="20">
        <f t="shared" si="7"/>
        <v>46168</v>
      </c>
      <c r="L27" s="33"/>
      <c r="M27" s="34">
        <v>0</v>
      </c>
      <c r="N27" s="32" t="str">
        <f t="shared" si="13"/>
        <v>0</v>
      </c>
      <c r="O27" s="84">
        <v>0.85</v>
      </c>
      <c r="P27" s="85">
        <v>0.82</v>
      </c>
      <c r="Q27" s="84">
        <v>0.88</v>
      </c>
      <c r="R27" s="85">
        <v>0.82</v>
      </c>
      <c r="S27" s="37">
        <f t="shared" si="9"/>
        <v>5025</v>
      </c>
      <c r="T27" s="122"/>
      <c r="U27" s="32">
        <f t="shared" si="15"/>
        <v>100</v>
      </c>
      <c r="V27" s="40">
        <v>7038</v>
      </c>
      <c r="W27" s="32">
        <f t="shared" si="1"/>
        <v>158</v>
      </c>
      <c r="X27" s="43">
        <v>61926</v>
      </c>
      <c r="Y27" s="14">
        <f t="shared" ref="Y27:Y32" si="17">IF((X28-X27)&lt;0,"0",X28-X27)</f>
        <v>19</v>
      </c>
      <c r="Z27" s="46">
        <v>0</v>
      </c>
      <c r="AA27" s="51"/>
      <c r="AB27" s="32" t="str">
        <f t="shared" si="12"/>
        <v>0</v>
      </c>
      <c r="AC27" s="13">
        <v>191</v>
      </c>
      <c r="AD27" s="18">
        <v>406</v>
      </c>
    </row>
    <row r="28" spans="1:30" ht="20.65" customHeight="1" x14ac:dyDescent="0.2">
      <c r="A28" s="19">
        <v>46169</v>
      </c>
      <c r="B28" s="10">
        <v>419051</v>
      </c>
      <c r="C28" s="14">
        <f t="shared" si="2"/>
        <v>4825</v>
      </c>
      <c r="D28" s="11">
        <v>1128448</v>
      </c>
      <c r="E28" s="14">
        <f t="shared" si="14"/>
        <v>1646</v>
      </c>
      <c r="F28" s="27">
        <v>1704</v>
      </c>
      <c r="G28" s="66">
        <f t="shared" si="4"/>
        <v>0</v>
      </c>
      <c r="H28" s="68">
        <f t="shared" ref="H28" si="18">C28+E28-G28</f>
        <v>6471</v>
      </c>
      <c r="I28" s="72">
        <f t="shared" ref="I28" si="19">H28-K28-M28-O28-Q28</f>
        <v>-39699.68</v>
      </c>
      <c r="J28" s="32">
        <f t="shared" si="0"/>
        <v>411.05999999999767</v>
      </c>
      <c r="K28" s="20">
        <f t="shared" ref="K28" si="20">A28</f>
        <v>46169</v>
      </c>
      <c r="L28" s="33"/>
      <c r="M28" s="34">
        <v>0</v>
      </c>
      <c r="N28" s="32" t="str">
        <f t="shared" si="13"/>
        <v>0</v>
      </c>
      <c r="O28" s="84">
        <v>0.83</v>
      </c>
      <c r="P28" s="85">
        <v>0.82</v>
      </c>
      <c r="Q28" s="84">
        <v>0.85</v>
      </c>
      <c r="R28" s="85">
        <v>0.75</v>
      </c>
      <c r="S28" s="37">
        <f t="shared" ref="S28" si="21">(2500*O28)+(2500*P28)+(500*Q28)+(500*R28)</f>
        <v>4925</v>
      </c>
      <c r="T28" s="122"/>
      <c r="U28" s="32">
        <f t="shared" ref="U28" si="22">IF((S28-S29+T28)=S28,"0",(S28-S29+T28))</f>
        <v>125</v>
      </c>
      <c r="V28" s="40">
        <v>7196</v>
      </c>
      <c r="W28" s="32">
        <f t="shared" si="1"/>
        <v>115</v>
      </c>
      <c r="X28" s="43">
        <v>61945</v>
      </c>
      <c r="Y28" s="14">
        <f t="shared" si="17"/>
        <v>24</v>
      </c>
      <c r="Z28" s="46">
        <v>0</v>
      </c>
      <c r="AA28" s="51"/>
      <c r="AB28" s="32" t="str">
        <f t="shared" si="12"/>
        <v>0</v>
      </c>
      <c r="AC28" s="13">
        <v>202</v>
      </c>
      <c r="AD28" s="18">
        <v>427</v>
      </c>
    </row>
    <row r="29" spans="1:30" ht="20.65" customHeight="1" x14ac:dyDescent="0.2">
      <c r="A29" s="19">
        <v>46170</v>
      </c>
      <c r="B29" s="10">
        <v>423876</v>
      </c>
      <c r="C29" s="14">
        <f t="shared" si="2"/>
        <v>5399</v>
      </c>
      <c r="D29" s="11">
        <v>1130094</v>
      </c>
      <c r="E29" s="14">
        <f t="shared" si="14"/>
        <v>1484</v>
      </c>
      <c r="F29" s="27">
        <v>1704</v>
      </c>
      <c r="G29" s="66">
        <f t="shared" si="4"/>
        <v>0</v>
      </c>
      <c r="H29" s="68">
        <f t="shared" si="5"/>
        <v>6883</v>
      </c>
      <c r="I29" s="72">
        <f t="shared" si="6"/>
        <v>-39288.620000000003</v>
      </c>
      <c r="J29" s="32">
        <f t="shared" si="0"/>
        <v>-331.93999999999505</v>
      </c>
      <c r="K29" s="20">
        <f t="shared" si="7"/>
        <v>46170</v>
      </c>
      <c r="L29" s="33"/>
      <c r="M29" s="34">
        <v>0</v>
      </c>
      <c r="N29" s="32" t="str">
        <f t="shared" si="13"/>
        <v>0</v>
      </c>
      <c r="O29" s="84">
        <v>0.8</v>
      </c>
      <c r="P29" s="85">
        <v>0.81</v>
      </c>
      <c r="Q29" s="84">
        <v>0.82</v>
      </c>
      <c r="R29" s="85">
        <v>0.73</v>
      </c>
      <c r="S29" s="37">
        <f t="shared" si="9"/>
        <v>4800</v>
      </c>
      <c r="T29" s="122"/>
      <c r="U29" s="32">
        <f t="shared" ref="U29:U31" si="23">IF((S29-S30+T29)=S29,"0",(S29-S30+T29))</f>
        <v>95</v>
      </c>
      <c r="V29" s="40">
        <v>7311</v>
      </c>
      <c r="W29" s="32">
        <f t="shared" si="1"/>
        <v>108</v>
      </c>
      <c r="X29" s="43">
        <v>61969</v>
      </c>
      <c r="Y29" s="14">
        <f t="shared" si="17"/>
        <v>8</v>
      </c>
      <c r="Z29" s="46">
        <v>0</v>
      </c>
      <c r="AA29" s="51"/>
      <c r="AB29" s="32" t="str">
        <f t="shared" si="12"/>
        <v>0</v>
      </c>
      <c r="AC29" s="13">
        <v>194</v>
      </c>
      <c r="AD29" s="18">
        <v>406</v>
      </c>
    </row>
    <row r="30" spans="1:30" ht="20.65" customHeight="1" x14ac:dyDescent="0.2">
      <c r="A30" s="19">
        <v>46171</v>
      </c>
      <c r="B30" s="10">
        <v>429275</v>
      </c>
      <c r="C30" s="14">
        <f t="shared" si="2"/>
        <v>5004</v>
      </c>
      <c r="D30" s="11">
        <v>1131578</v>
      </c>
      <c r="E30" s="14">
        <f t="shared" si="14"/>
        <v>1548</v>
      </c>
      <c r="F30" s="27">
        <v>1704</v>
      </c>
      <c r="G30" s="66">
        <f t="shared" si="4"/>
        <v>0</v>
      </c>
      <c r="H30" s="68">
        <f t="shared" ref="H30:H31" si="24">C30+E30-G30</f>
        <v>6552</v>
      </c>
      <c r="I30" s="72">
        <f t="shared" ref="I30:I31" si="25">H30-K30-M30-O30-Q30</f>
        <v>-39620.559999999998</v>
      </c>
      <c r="J30" s="32">
        <f t="shared" si="0"/>
        <v>279.09999999999854</v>
      </c>
      <c r="K30" s="20">
        <f t="shared" ref="K30:K31" si="26">A30</f>
        <v>46171</v>
      </c>
      <c r="L30" s="33"/>
      <c r="M30" s="34">
        <v>0</v>
      </c>
      <c r="N30" s="32" t="str">
        <f t="shared" si="13"/>
        <v>0</v>
      </c>
      <c r="O30" s="84">
        <v>0.79</v>
      </c>
      <c r="P30" s="85">
        <v>0.8</v>
      </c>
      <c r="Q30" s="84">
        <v>0.77</v>
      </c>
      <c r="R30" s="85">
        <v>0.69</v>
      </c>
      <c r="S30" s="37">
        <f t="shared" ref="S30:S31" si="27">(2500*O30)+(2500*P30)+(500*Q30)+(500*R30)</f>
        <v>4705</v>
      </c>
      <c r="T30" s="122"/>
      <c r="U30" s="32">
        <f t="shared" si="23"/>
        <v>160</v>
      </c>
      <c r="V30" s="40">
        <v>7419</v>
      </c>
      <c r="W30" s="32">
        <f t="shared" si="1"/>
        <v>127</v>
      </c>
      <c r="X30" s="43">
        <v>61977</v>
      </c>
      <c r="Y30" s="14">
        <f t="shared" si="17"/>
        <v>6</v>
      </c>
      <c r="Z30" s="46">
        <v>0</v>
      </c>
      <c r="AA30" s="51"/>
      <c r="AB30" s="32" t="str">
        <f t="shared" si="12"/>
        <v>0</v>
      </c>
      <c r="AC30" s="13">
        <v>209</v>
      </c>
      <c r="AD30" s="18">
        <v>433</v>
      </c>
    </row>
    <row r="31" spans="1:30" ht="20.65" customHeight="1" x14ac:dyDescent="0.2">
      <c r="A31" s="19">
        <v>46172</v>
      </c>
      <c r="B31" s="10">
        <v>434279</v>
      </c>
      <c r="C31" s="14">
        <f t="shared" si="2"/>
        <v>5139</v>
      </c>
      <c r="D31" s="11">
        <v>1133126</v>
      </c>
      <c r="E31" s="14">
        <f t="shared" si="14"/>
        <v>1693</v>
      </c>
      <c r="F31" s="27">
        <v>1704</v>
      </c>
      <c r="G31" s="66">
        <f t="shared" si="4"/>
        <v>0</v>
      </c>
      <c r="H31" s="68">
        <f t="shared" si="24"/>
        <v>6832</v>
      </c>
      <c r="I31" s="72">
        <f t="shared" si="25"/>
        <v>-39341.46</v>
      </c>
      <c r="J31" s="32">
        <f t="shared" si="0"/>
        <v>-244.88999999999942</v>
      </c>
      <c r="K31" s="20">
        <f t="shared" si="26"/>
        <v>46172</v>
      </c>
      <c r="L31" s="33"/>
      <c r="M31" s="34">
        <v>0</v>
      </c>
      <c r="N31" s="32" t="str">
        <f t="shared" si="13"/>
        <v>0</v>
      </c>
      <c r="O31" s="84">
        <v>0.77</v>
      </c>
      <c r="P31" s="85">
        <v>0.78</v>
      </c>
      <c r="Q31" s="84">
        <v>0.69</v>
      </c>
      <c r="R31" s="85">
        <v>0.65</v>
      </c>
      <c r="S31" s="37">
        <f t="shared" si="27"/>
        <v>4545</v>
      </c>
      <c r="T31" s="122"/>
      <c r="U31" s="32">
        <f t="shared" si="23"/>
        <v>255</v>
      </c>
      <c r="V31" s="40">
        <v>7546</v>
      </c>
      <c r="W31" s="32">
        <f t="shared" ref="W31" si="28">IF(V32-V31&lt;0,"0",V32-V31)</f>
        <v>126</v>
      </c>
      <c r="X31" s="43">
        <v>61983</v>
      </c>
      <c r="Y31" s="14">
        <f t="shared" ref="Y31" si="29">IF((X32-X31)&lt;0,"0",X32-X31)</f>
        <v>3</v>
      </c>
      <c r="Z31" s="46">
        <v>0</v>
      </c>
      <c r="AA31" s="51"/>
      <c r="AB31" s="32" t="str">
        <f t="shared" ref="AB31" si="30">IF((Z31-Z32+AA31)=Z31,"0",(Z31-Z32+AA31))</f>
        <v>0</v>
      </c>
      <c r="AC31" s="13">
        <v>227</v>
      </c>
      <c r="AD31" s="18">
        <v>465</v>
      </c>
    </row>
    <row r="32" spans="1:30" ht="20.65" customHeight="1" thickBot="1" x14ac:dyDescent="0.25">
      <c r="A32" s="19">
        <v>46173</v>
      </c>
      <c r="B32" s="10">
        <v>439418</v>
      </c>
      <c r="C32" s="14">
        <f t="shared" si="2"/>
        <v>5923</v>
      </c>
      <c r="D32" s="11">
        <v>1134819</v>
      </c>
      <c r="E32" s="14">
        <f t="shared" si="14"/>
        <v>665</v>
      </c>
      <c r="F32" s="27">
        <v>1704</v>
      </c>
      <c r="G32" s="66">
        <f t="shared" si="4"/>
        <v>0</v>
      </c>
      <c r="H32" s="68">
        <f t="shared" si="5"/>
        <v>6588</v>
      </c>
      <c r="I32" s="72">
        <f t="shared" si="6"/>
        <v>-39586.35</v>
      </c>
      <c r="J32" s="32">
        <f t="shared" ref="J32" si="31">I33-I32</f>
        <v>39586.35</v>
      </c>
      <c r="K32" s="20">
        <f t="shared" si="7"/>
        <v>46173</v>
      </c>
      <c r="L32" s="33"/>
      <c r="M32" s="34">
        <v>0</v>
      </c>
      <c r="N32" s="32" t="str">
        <f t="shared" si="13"/>
        <v>0</v>
      </c>
      <c r="O32" s="84">
        <v>0.72</v>
      </c>
      <c r="P32" s="85">
        <v>0.75</v>
      </c>
      <c r="Q32" s="84">
        <v>0.63</v>
      </c>
      <c r="R32" s="85">
        <v>0.6</v>
      </c>
      <c r="S32" s="37">
        <f t="shared" si="9"/>
        <v>4290</v>
      </c>
      <c r="T32" s="122"/>
      <c r="U32" s="32">
        <f t="shared" ref="U32" si="32">IF((S32-S33+T32)=S32,"0",(S32-S33+T32))</f>
        <v>65</v>
      </c>
      <c r="V32" s="40">
        <v>7672</v>
      </c>
      <c r="W32" s="32">
        <f t="shared" si="1"/>
        <v>95</v>
      </c>
      <c r="X32" s="43">
        <v>61986</v>
      </c>
      <c r="Y32" s="14">
        <f t="shared" si="17"/>
        <v>1</v>
      </c>
      <c r="Z32" s="46">
        <v>0</v>
      </c>
      <c r="AA32" s="51"/>
      <c r="AB32" s="32" t="str">
        <f t="shared" si="12"/>
        <v>0</v>
      </c>
      <c r="AC32" s="13">
        <v>196</v>
      </c>
      <c r="AD32" s="18">
        <v>406</v>
      </c>
    </row>
    <row r="33" spans="1:30" ht="20.65" customHeight="1" thickTop="1" thickBot="1" x14ac:dyDescent="0.25">
      <c r="A33" s="19">
        <v>46174</v>
      </c>
      <c r="B33" s="52">
        <v>445341</v>
      </c>
      <c r="C33" s="62"/>
      <c r="D33" s="61">
        <v>1135484</v>
      </c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/>
      <c r="M33" s="64">
        <v>0</v>
      </c>
      <c r="N33" s="32" t="str">
        <f t="shared" si="13"/>
        <v>0</v>
      </c>
      <c r="O33" s="86">
        <v>0.72</v>
      </c>
      <c r="P33" s="87">
        <v>0.75</v>
      </c>
      <c r="Q33" s="86">
        <v>0.55000000000000004</v>
      </c>
      <c r="R33" s="87">
        <v>0.55000000000000004</v>
      </c>
      <c r="S33" s="37">
        <f t="shared" si="9"/>
        <v>4225</v>
      </c>
      <c r="T33" s="53"/>
      <c r="U33" s="62"/>
      <c r="V33" s="59">
        <v>7767</v>
      </c>
      <c r="W33" s="62"/>
      <c r="X33" s="58">
        <v>61987</v>
      </c>
      <c r="Y33" s="62"/>
      <c r="Z33" s="57">
        <v>0</v>
      </c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148633</v>
      </c>
      <c r="D34" s="76"/>
      <c r="E34" s="75">
        <f>SUM(E2:E33)</f>
        <v>34871</v>
      </c>
      <c r="F34" s="77"/>
      <c r="G34" s="75">
        <f>SUM(G2:G33)</f>
        <v>0</v>
      </c>
      <c r="H34" s="76">
        <f>SUM(H2:H33)</f>
        <v>183504</v>
      </c>
      <c r="I34" s="75">
        <f>SUM(I2:I32)</f>
        <v>-1255438.3800000004</v>
      </c>
      <c r="J34" s="75">
        <f>SUM(J2:J33)</f>
        <v>40560.11</v>
      </c>
      <c r="K34" s="74"/>
      <c r="L34" s="76"/>
      <c r="M34" s="76"/>
      <c r="N34" s="75">
        <f>SUM(N2:N33)</f>
        <v>9444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3375</v>
      </c>
      <c r="V34" s="74"/>
      <c r="W34" s="75">
        <f>SUM(W2:W33)</f>
        <v>3267</v>
      </c>
      <c r="X34" s="74"/>
      <c r="Y34" s="75">
        <f>SUM(Y2:Y33)</f>
        <v>320</v>
      </c>
      <c r="Z34" s="74"/>
      <c r="AA34" s="74">
        <f>SUM(AA2:AA33)</f>
        <v>0</v>
      </c>
      <c r="AB34" s="75">
        <f>SUM(AB2:AB33)</f>
        <v>0</v>
      </c>
      <c r="AC34" s="78">
        <f>SUM(AC2:AC33)</f>
        <v>5925</v>
      </c>
      <c r="AD34" s="79">
        <f>SUM(AD2:AD33)</f>
        <v>11110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2026-06-02T06:55:46Z</dcterms:modified>
  <cp:category/>
  <cp:contentStatus/>
</cp:coreProperties>
</file>