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8-18-2022\Readings 2021\"/>
    </mc:Choice>
  </mc:AlternateContent>
  <xr:revisionPtr revIDLastSave="0" documentId="13_ncr:1_{EE8EEF34-F0BA-42D9-B64B-07BD588F92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3" r:id="rId1"/>
    <sheet name="Submetering" sheetId="12" r:id="rId2"/>
    <sheet name="Elect" sheetId="1" r:id="rId3"/>
    <sheet name="Sheet1" sheetId="14" r:id="rId4"/>
    <sheet name="Gas" sheetId="6" r:id="rId5"/>
    <sheet name="Water" sheetId="2" r:id="rId6"/>
    <sheet name="Consp" sheetId="9" state="hidden" r:id="rId7"/>
    <sheet name="Temp." sheetId="4" state="hidden" r:id="rId8"/>
    <sheet name="M-Rep" sheetId="7" state="hidden" r:id="rId9"/>
    <sheet name="YTD" sheetId="10" state="hidden" r:id="rId10"/>
    <sheet name="Utility Consnsumption" sheetId="11" r:id="rId11"/>
  </sheets>
  <definedNames>
    <definedName name="_xlnm.Print_Area" localSheetId="6">Consp!$A$1:$BQ$40</definedName>
    <definedName name="_xlnm.Print_Area" localSheetId="2">Elect!$A$1:$BZ$40</definedName>
    <definedName name="_xlnm.Print_Area" localSheetId="4">Gas!$A$1:$J$40</definedName>
    <definedName name="_xlnm.Print_Area" localSheetId="7">Temp.!$A$1:$J$45</definedName>
    <definedName name="_xlnm.Print_Area" localSheetId="10">'Utility Consnsumption'!$A$1:$M$62</definedName>
    <definedName name="_xlnm.Print_Area" localSheetId="5">Water!$A$1:$Z$50</definedName>
    <definedName name="_xlnm.Print_Area" localSheetId="9">YTD!$A$1:$Q$2370</definedName>
    <definedName name="_xlnm.Print_Titles" localSheetId="6">Consp!$A:$A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2" i="13"/>
  <c r="BJ2" i="1"/>
  <c r="N29" i="14"/>
  <c r="I29" i="14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E26" i="2"/>
  <c r="E27" i="2"/>
  <c r="E28" i="2"/>
  <c r="E29" i="2"/>
  <c r="E30" i="2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P24" i="9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J34" i="6"/>
  <c r="AJ32" i="9" s="1"/>
  <c r="I7" i="6"/>
  <c r="H12" i="6"/>
  <c r="J18" i="6"/>
  <c r="AJ16" i="9" s="1"/>
  <c r="AO2" i="12"/>
  <c r="AM19" i="12"/>
  <c r="K24" i="6"/>
  <c r="J8" i="6"/>
  <c r="AJ6" i="9" s="1"/>
  <c r="AH22" i="9"/>
  <c r="F52" i="11"/>
  <c r="G52" i="11" s="1"/>
  <c r="I19" i="9"/>
  <c r="I26" i="9"/>
  <c r="H28" i="2"/>
  <c r="BN24" i="9"/>
  <c r="K26" i="6"/>
  <c r="AJ12" i="12"/>
  <c r="I8" i="9"/>
  <c r="J25" i="6"/>
  <c r="AJ23" i="9" s="1"/>
  <c r="K6" i="6"/>
  <c r="H26" i="6"/>
  <c r="AN21" i="12"/>
  <c r="AH8" i="9"/>
  <c r="AM12" i="12"/>
  <c r="AM20" i="12"/>
  <c r="AH23" i="9"/>
  <c r="K25" i="6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J20" i="6"/>
  <c r="AJ18" i="9" s="1"/>
  <c r="AJ8" i="12"/>
  <c r="AH14" i="9"/>
  <c r="K16" i="6"/>
  <c r="AM11" i="12"/>
  <c r="I17" i="6"/>
  <c r="K14" i="6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AC3" i="12"/>
  <c r="AG3" i="12"/>
  <c r="K22" i="6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I37" i="6"/>
  <c r="H36" i="6"/>
  <c r="K35" i="6"/>
  <c r="K32" i="9"/>
  <c r="K34" i="6"/>
  <c r="H34" i="6"/>
  <c r="AN29" i="12"/>
  <c r="K32" i="6"/>
  <c r="H32" i="6"/>
  <c r="K33" i="6"/>
  <c r="AM26" i="12"/>
  <c r="K31" i="6"/>
  <c r="BB37" i="1"/>
  <c r="BB38" i="1" s="1"/>
  <c r="C32" i="9"/>
  <c r="U37" i="1"/>
  <c r="U38" i="1" s="1"/>
  <c r="K32" i="1"/>
  <c r="G28" i="12" s="1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H8" i="6"/>
  <c r="K12" i="6"/>
  <c r="H10" i="6"/>
  <c r="K18" i="6"/>
  <c r="K11" i="6"/>
  <c r="AM13" i="12"/>
  <c r="H23" i="2"/>
  <c r="AJ15" i="12"/>
  <c r="I21" i="9"/>
  <c r="J22" i="6"/>
  <c r="AJ20" i="9" s="1"/>
  <c r="H22" i="6"/>
  <c r="AM18" i="12"/>
  <c r="AH21" i="9"/>
  <c r="I21" i="6"/>
  <c r="K20" i="6"/>
  <c r="I19" i="6"/>
  <c r="AH17" i="9"/>
  <c r="H19" i="2"/>
  <c r="I18" i="9"/>
  <c r="H20" i="2"/>
  <c r="X37" i="2"/>
  <c r="Y37" i="2" s="1"/>
  <c r="H12" i="2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C23" i="9"/>
  <c r="AG2" i="12"/>
  <c r="N4" i="12"/>
  <c r="AR37" i="1"/>
  <c r="AR38" i="1" s="1"/>
  <c r="G19" i="9"/>
  <c r="C12" i="9"/>
  <c r="I10" i="4"/>
  <c r="AN2" i="12"/>
  <c r="K15" i="6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BJ20" i="1" l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U32" i="2"/>
  <c r="W34" i="2"/>
  <c r="BN32" i="9" s="1"/>
  <c r="U34" i="2"/>
  <c r="W25" i="2"/>
  <c r="U25" i="2"/>
  <c r="P21" i="9"/>
  <c r="W23" i="2"/>
  <c r="U23" i="2"/>
  <c r="W29" i="2"/>
  <c r="U29" i="2"/>
  <c r="W31" i="2"/>
  <c r="U31" i="2"/>
  <c r="P31" i="9"/>
  <c r="W33" i="2"/>
  <c r="BN31" i="9" s="1"/>
  <c r="U33" i="2"/>
  <c r="BM31" i="9" s="1"/>
  <c r="W24" i="2"/>
  <c r="U24" i="2"/>
  <c r="W28" i="2"/>
  <c r="U28" i="2"/>
  <c r="BM26" i="9" s="1"/>
  <c r="BJ18" i="1"/>
  <c r="BJ7" i="1"/>
  <c r="BJ15" i="1"/>
  <c r="X7" i="2"/>
  <c r="X8" i="2"/>
  <c r="W8" i="2"/>
  <c r="U8" i="2"/>
  <c r="BM6" i="9" s="1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BN26" i="9"/>
  <c r="P26" i="9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BN22" i="9"/>
  <c r="X24" i="2"/>
  <c r="J39" i="4"/>
  <c r="Q24" i="2"/>
  <c r="X22" i="9" s="1"/>
  <c r="BM22" i="9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BN29" i="9"/>
  <c r="Q31" i="2"/>
  <c r="X29" i="9" s="1"/>
  <c r="I21" i="4"/>
  <c r="I34" i="4"/>
  <c r="J28" i="4"/>
  <c r="J23" i="4"/>
  <c r="J31" i="4"/>
  <c r="BM27" i="9"/>
  <c r="X29" i="2"/>
  <c r="BN27" i="9"/>
  <c r="Q29" i="2"/>
  <c r="X27" i="9" s="1"/>
  <c r="P27" i="9"/>
  <c r="AC12" i="12"/>
  <c r="X23" i="2"/>
  <c r="Y23" i="2" s="1"/>
  <c r="BP21" i="9" s="1"/>
  <c r="BN21" i="9"/>
  <c r="Q23" i="2"/>
  <c r="X21" i="9" s="1"/>
  <c r="BM21" i="9"/>
  <c r="BS24" i="1"/>
  <c r="AC20" i="12"/>
  <c r="Q19" i="2"/>
  <c r="X17" i="9" s="1"/>
  <c r="BM17" i="9"/>
  <c r="X20" i="2"/>
  <c r="Q20" i="2"/>
  <c r="X18" i="9" s="1"/>
  <c r="P18" i="9"/>
  <c r="Y26" i="2"/>
  <c r="BP24" i="9" s="1"/>
  <c r="Z26" i="2"/>
  <c r="BQ24" i="9" s="1"/>
  <c r="BO24" i="9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X10" i="2"/>
  <c r="Y10" i="2" s="1"/>
  <c r="BP8" i="9" s="1"/>
  <c r="P8" i="9"/>
  <c r="BN8" i="9"/>
  <c r="Q13" i="2"/>
  <c r="X11" i="9" s="1"/>
  <c r="X15" i="2"/>
  <c r="Y15" i="2" s="1"/>
  <c r="BP13" i="9" s="1"/>
  <c r="H38" i="6"/>
  <c r="H39" i="6" s="1"/>
  <c r="AC31" i="12"/>
  <c r="BS35" i="1"/>
  <c r="BX35" i="1" s="1"/>
  <c r="I37" i="4"/>
  <c r="I35" i="4"/>
  <c r="I38" i="4"/>
  <c r="BN6" i="9"/>
  <c r="Q8" i="2"/>
  <c r="X6" i="9" s="1"/>
  <c r="P6" i="9"/>
  <c r="X35" i="2"/>
  <c r="Q35" i="2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BN30" i="9"/>
  <c r="P30" i="9"/>
  <c r="BM30" i="9"/>
  <c r="X32" i="2"/>
  <c r="Q32" i="2"/>
  <c r="X30" i="9" s="1"/>
  <c r="X34" i="2"/>
  <c r="BM32" i="9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2" i="4"/>
  <c r="I14" i="4"/>
  <c r="I24" i="4"/>
  <c r="I13" i="4"/>
  <c r="I23" i="4"/>
  <c r="I25" i="4"/>
  <c r="J34" i="4"/>
  <c r="J35" i="4"/>
  <c r="I33" i="9"/>
  <c r="C39" i="2"/>
  <c r="I34" i="9" s="1"/>
  <c r="X36" i="2"/>
  <c r="P13" i="9"/>
  <c r="Q30" i="2"/>
  <c r="X28" i="9" s="1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BM23" i="9"/>
  <c r="BN23" i="9"/>
  <c r="Q25" i="2"/>
  <c r="X23" i="9" s="1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BM19" i="9"/>
  <c r="P15" i="9"/>
  <c r="BM15" i="9"/>
  <c r="Q17" i="2"/>
  <c r="X15" i="9" s="1"/>
  <c r="BN15" i="9"/>
  <c r="X17" i="2"/>
  <c r="P7" i="9"/>
  <c r="X9" i="2"/>
  <c r="Q9" i="2"/>
  <c r="X7" i="9" s="1"/>
  <c r="BN7" i="9"/>
  <c r="BM7" i="9"/>
  <c r="H38" i="2"/>
  <c r="C27" i="7" s="1"/>
  <c r="X11" i="2"/>
  <c r="P9" i="9"/>
  <c r="Q11" i="2"/>
  <c r="X9" i="9" s="1"/>
  <c r="X14" i="2"/>
  <c r="P12" i="9"/>
  <c r="Q14" i="2"/>
  <c r="X12" i="9" s="1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BX30" i="1"/>
  <c r="BX18" i="1"/>
  <c r="BW31" i="1"/>
  <c r="BX31" i="1"/>
  <c r="BW27" i="1"/>
  <c r="BX27" i="1"/>
  <c r="BS25" i="1"/>
  <c r="BX25" i="1" s="1"/>
  <c r="BO13" i="9"/>
  <c r="BS28" i="1"/>
  <c r="BU8" i="1"/>
  <c r="BZ9" i="1"/>
  <c r="BY9" i="1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BW36" i="1"/>
  <c r="BZ31" i="1"/>
  <c r="BU31" i="1"/>
  <c r="BY36" i="1"/>
  <c r="BU30" i="1"/>
  <c r="BW8" i="1"/>
  <c r="BY30" i="1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Y33" i="2"/>
  <c r="BP31" i="9" s="1"/>
  <c r="BO8" i="9"/>
  <c r="BY16" i="1"/>
  <c r="BZ12" i="1"/>
  <c r="BU12" i="1"/>
  <c r="BW12" i="1"/>
  <c r="BU9" i="1"/>
  <c r="BU16" i="1"/>
  <c r="BW16" i="1"/>
  <c r="BU33" i="1"/>
  <c r="BZ33" i="1"/>
  <c r="BW33" i="1"/>
  <c r="BW32" i="1"/>
  <c r="BU32" i="1"/>
  <c r="Y31" i="2"/>
  <c r="BP29" i="9" s="1"/>
  <c r="Z31" i="2"/>
  <c r="BQ29" i="9" s="1"/>
  <c r="BO29" i="9"/>
  <c r="Z13" i="2"/>
  <c r="BQ11" i="9" s="1"/>
  <c r="Y29" i="2"/>
  <c r="BP27" i="9" s="1"/>
  <c r="BO27" i="9"/>
  <c r="Z29" i="2"/>
  <c r="BQ27" i="9" s="1"/>
  <c r="BW9" i="1"/>
  <c r="BY10" i="1"/>
  <c r="BU10" i="1"/>
  <c r="BU13" i="1"/>
  <c r="BW28" i="1"/>
  <c r="BU28" i="1"/>
  <c r="BU29" i="1"/>
  <c r="BU24" i="1"/>
  <c r="BW26" i="1"/>
  <c r="Z23" i="2"/>
  <c r="BQ21" i="9" s="1"/>
  <c r="BO21" i="9"/>
  <c r="BW7" i="1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BY17" i="1"/>
  <c r="BU20" i="1"/>
  <c r="BW20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BU22" i="1"/>
  <c r="BW22" i="1"/>
  <c r="BU21" i="1"/>
  <c r="BW21" i="1"/>
  <c r="BU19" i="1"/>
  <c r="BW19" i="1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BY32" i="1"/>
  <c r="BZ32" i="1"/>
  <c r="BX34" i="1" l="1"/>
  <c r="BW14" i="1"/>
  <c r="BX14" i="1"/>
  <c r="BX28" i="1"/>
  <c r="BY28" i="1" s="1"/>
  <c r="BW25" i="1"/>
  <c r="BU25" i="1"/>
  <c r="BZ14" i="1"/>
  <c r="BZ8" i="1"/>
  <c r="BY8" i="1"/>
  <c r="BU14" i="1"/>
  <c r="BZ7" i="1"/>
  <c r="BY7" i="1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<sst xmlns="http://schemas.openxmlformats.org/spreadsheetml/2006/main" count="888" uniqueCount="417">
  <si>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</si>
  <si>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</si>
  <si>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</si>
  <si>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</si>
  <si>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</si>
  <si>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</si>
  <si>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</si>
  <si>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</si>
  <si>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</si>
  <si>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</si>
  <si>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</si>
  <si>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</si>
  <si>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</si>
  <si>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</si>
  <si>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</si>
  <si>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</si>
  <si>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</si>
  <si>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</si>
  <si>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</si>
  <si>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</si>
  <si>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</si>
  <si>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</si>
  <si>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</si>
  <si>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</si>
  <si>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</si>
  <si>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</si>
  <si>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</si>
  <si>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</si>
  <si>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</si>
  <si>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</si>
  <si>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</si>
  <si>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</si>
  <si>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</si>
  <si>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</si>
  <si>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</si>
  <si>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</si>
  <si>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</si>
  <si>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</si>
  <si>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</si>
  <si>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</si>
  <si>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</si>
  <si>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</si>
  <si>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</si>
  <si>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</si>
  <si>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</si>
  <si>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</si>
  <si>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</si>
  <si>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</si>
  <si>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</si>
  <si>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</si>
  <si>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</si>
  <si>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August</t>
  </si>
  <si>
    <t>Gourmandise UP</t>
  </si>
  <si>
    <t>Power Taxes</t>
  </si>
  <si>
    <t>Max Demand</t>
  </si>
  <si>
    <t>Electricity UP</t>
  </si>
  <si>
    <t xml:space="preserve"> Chiller 5 Meter was miswired and was corrected on 21st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</si>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</sst>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2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4" borderId="5" xfId="0" applyNumberFormat="1" applyFont="1" applyFill="1" applyBorder="1" applyAlignment="1">
      <alignment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4" borderId="9" xfId="0" applyNumberFormat="1" applyFont="1" applyFill="1" applyBorder="1" applyAlignment="1">
      <alignment vertical="center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3" fontId="60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3" fontId="51" fillId="2" borderId="55" xfId="0" applyNumberFormat="1" applyFont="1" applyFill="1" applyBorder="1" applyAlignment="1" applyProtection="1">
      <alignment horizontal="center" vertical="center"/>
      <protection locked="0"/>
    </xf>
    <xf numFmtId="2" fontId="0" fillId="0" borderId="2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 applyProtection="1">
      <alignment horizontal="center" vertical="center"/>
      <protection locked="0"/>
    </xf>
    <xf numFmtId="167" fontId="2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4"/>
  <sheetViews>
    <sheetView tabSelected="1" workbookViewId="0">
      <selection activeCell="E34" sqref="E34:K35"/>
    </sheetView>
  </sheetViews>
  <sheetFormatPr defaultColWidth="11.5703125" defaultRowHeight="12.75"/>
  <cols>
    <col min="1" max="1" width="24" style="731" bestFit="1" customWidth="1"/>
    <col min="2" max="3" width="11.5703125" style="732"/>
    <col min="4" max="4" width="13.42578125" style="732" customWidth="1"/>
    <col min="5" max="5" width="20.7109375" style="97" customWidth="1"/>
    <col min="6" max="6" width="20.140625" style="732" customWidth="1"/>
    <col min="7" max="7" width="18.28515625" style="97" customWidth="1"/>
    <col min="8" max="8" width="17.42578125" style="732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4" customFormat="1" ht="30">
      <c r="A1" s="749" t="s">
        <v>0</v>
      </c>
      <c r="B1" s="750" t="s">
        <v>1</v>
      </c>
      <c r="C1" s="750" t="s">
        <v>2</v>
      </c>
      <c r="D1" s="750" t="s">
        <v>3</v>
      </c>
      <c r="E1" s="745" t="s">
        <v>4</v>
      </c>
      <c r="F1" s="746" t="s">
        <v>5</v>
      </c>
      <c r="G1" s="745" t="s">
        <v>6</v>
      </c>
      <c r="H1" s="746" t="s">
        <v>7</v>
      </c>
      <c r="I1" s="745" t="s">
        <v>8</v>
      </c>
      <c r="J1" s="745" t="s">
        <v>9</v>
      </c>
      <c r="K1" s="745" t="s">
        <v>10</v>
      </c>
    </row>
    <row r="2" spans="1:12">
      <c r="A2" s="751" t="s">
        <v>11</v>
      </c>
      <c r="B2" s="752">
        <v>1</v>
      </c>
      <c r="C2" s="773">
        <v>8</v>
      </c>
      <c r="D2" s="753">
        <v>2021</v>
      </c>
      <c r="E2" s="803">
        <v>37967.61</v>
      </c>
      <c r="F2" s="747">
        <v>1.32</v>
      </c>
      <c r="G2" s="803">
        <f>879.8+233.93</f>
        <v>1113.73</v>
      </c>
      <c r="H2" s="747">
        <v>3.89</v>
      </c>
      <c r="I2" s="803">
        <v>492.1</v>
      </c>
      <c r="J2" s="747">
        <v>10</v>
      </c>
      <c r="K2" s="748">
        <v>164</v>
      </c>
    </row>
    <row r="3" spans="1:12">
      <c r="A3" s="754" t="s">
        <v>11</v>
      </c>
      <c r="B3" s="732">
        <f>B2+1</f>
        <v>2</v>
      </c>
      <c r="C3" s="773">
        <v>8</v>
      </c>
      <c r="D3" s="753">
        <v>2021</v>
      </c>
      <c r="E3" s="803">
        <v>37967.61</v>
      </c>
      <c r="F3" s="747">
        <f>F2</f>
        <v>1.32</v>
      </c>
      <c r="G3" s="803">
        <f t="shared" ref="G3:G32" si="0">879.8+233.93</f>
        <v>1113.73</v>
      </c>
      <c r="H3" s="747">
        <v>3.89</v>
      </c>
      <c r="I3" s="803">
        <v>492.1</v>
      </c>
      <c r="J3" s="747">
        <v>10</v>
      </c>
      <c r="K3" s="748">
        <v>164</v>
      </c>
    </row>
    <row r="4" spans="1:12">
      <c r="A4" s="754" t="s">
        <v>11</v>
      </c>
      <c r="B4" s="732">
        <f t="shared" ref="B4:B32" si="1">B3+1</f>
        <v>3</v>
      </c>
      <c r="C4" s="773">
        <v>8</v>
      </c>
      <c r="D4" s="753">
        <v>2021</v>
      </c>
      <c r="E4" s="803">
        <v>37967.61</v>
      </c>
      <c r="F4" s="747">
        <f t="shared" ref="F4:F32" si="2">F3</f>
        <v>1.32</v>
      </c>
      <c r="G4" s="803">
        <f t="shared" si="0"/>
        <v>1113.73</v>
      </c>
      <c r="H4" s="747">
        <v>3.89</v>
      </c>
      <c r="I4" s="803">
        <v>492.1</v>
      </c>
      <c r="J4" s="747">
        <v>10</v>
      </c>
      <c r="K4" s="748">
        <v>164</v>
      </c>
    </row>
    <row r="5" spans="1:12">
      <c r="A5" s="754" t="s">
        <v>11</v>
      </c>
      <c r="B5" s="732">
        <f t="shared" si="1"/>
        <v>4</v>
      </c>
      <c r="C5" s="773">
        <v>8</v>
      </c>
      <c r="D5" s="753">
        <v>2021</v>
      </c>
      <c r="E5" s="803">
        <v>37967.61</v>
      </c>
      <c r="F5" s="747">
        <f t="shared" si="2"/>
        <v>1.32</v>
      </c>
      <c r="G5" s="803">
        <f t="shared" si="0"/>
        <v>1113.73</v>
      </c>
      <c r="H5" s="747">
        <v>3.89</v>
      </c>
      <c r="I5" s="803">
        <v>492.1</v>
      </c>
      <c r="J5" s="747">
        <v>10</v>
      </c>
      <c r="K5" s="748">
        <v>164</v>
      </c>
    </row>
    <row r="6" spans="1:12">
      <c r="A6" s="754" t="s">
        <v>11</v>
      </c>
      <c r="B6" s="732">
        <f t="shared" si="1"/>
        <v>5</v>
      </c>
      <c r="C6" s="773">
        <v>8</v>
      </c>
      <c r="D6" s="753">
        <v>2021</v>
      </c>
      <c r="E6" s="803">
        <v>37967.61</v>
      </c>
      <c r="F6" s="747">
        <f t="shared" si="2"/>
        <v>1.32</v>
      </c>
      <c r="G6" s="803">
        <f t="shared" si="0"/>
        <v>1113.73</v>
      </c>
      <c r="H6" s="747">
        <v>3.89</v>
      </c>
      <c r="I6" s="803">
        <v>492.1</v>
      </c>
      <c r="J6" s="747">
        <v>10</v>
      </c>
      <c r="K6" s="748">
        <v>164</v>
      </c>
    </row>
    <row r="7" spans="1:12">
      <c r="A7" s="754" t="s">
        <v>11</v>
      </c>
      <c r="B7" s="732">
        <f t="shared" si="1"/>
        <v>6</v>
      </c>
      <c r="C7" s="773">
        <v>8</v>
      </c>
      <c r="D7" s="753">
        <v>2021</v>
      </c>
      <c r="E7" s="803">
        <v>37967.61</v>
      </c>
      <c r="F7" s="747">
        <f t="shared" si="2"/>
        <v>1.32</v>
      </c>
      <c r="G7" s="803">
        <f t="shared" si="0"/>
        <v>1113.73</v>
      </c>
      <c r="H7" s="747">
        <v>3.89</v>
      </c>
      <c r="I7" s="803">
        <v>492.1</v>
      </c>
      <c r="J7" s="747">
        <v>10</v>
      </c>
      <c r="K7" s="748">
        <v>164</v>
      </c>
    </row>
    <row r="8" spans="1:12">
      <c r="A8" s="754" t="s">
        <v>11</v>
      </c>
      <c r="B8" s="732">
        <f t="shared" si="1"/>
        <v>7</v>
      </c>
      <c r="C8" s="773">
        <v>8</v>
      </c>
      <c r="D8" s="753">
        <v>2021</v>
      </c>
      <c r="E8" s="803">
        <v>37967.61</v>
      </c>
      <c r="F8" s="747">
        <f t="shared" si="2"/>
        <v>1.32</v>
      </c>
      <c r="G8" s="803">
        <f t="shared" si="0"/>
        <v>1113.73</v>
      </c>
      <c r="H8" s="747">
        <v>3.89</v>
      </c>
      <c r="I8" s="803">
        <v>492.1</v>
      </c>
      <c r="J8" s="747">
        <v>10</v>
      </c>
      <c r="K8" s="748">
        <v>164</v>
      </c>
    </row>
    <row r="9" spans="1:12">
      <c r="A9" s="754" t="s">
        <v>11</v>
      </c>
      <c r="B9" s="732">
        <f t="shared" si="1"/>
        <v>8</v>
      </c>
      <c r="C9" s="773">
        <v>8</v>
      </c>
      <c r="D9" s="753">
        <v>2021</v>
      </c>
      <c r="E9" s="803">
        <v>37967.61</v>
      </c>
      <c r="F9" s="747">
        <f t="shared" si="2"/>
        <v>1.32</v>
      </c>
      <c r="G9" s="803">
        <f t="shared" si="0"/>
        <v>1113.73</v>
      </c>
      <c r="H9" s="747">
        <v>3.89</v>
      </c>
      <c r="I9" s="803">
        <v>492.1</v>
      </c>
      <c r="J9" s="747">
        <v>10</v>
      </c>
      <c r="K9" s="748">
        <v>164</v>
      </c>
    </row>
    <row r="10" spans="1:12">
      <c r="A10" s="754" t="s">
        <v>11</v>
      </c>
      <c r="B10" s="732">
        <f t="shared" si="1"/>
        <v>9</v>
      </c>
      <c r="C10" s="773">
        <v>8</v>
      </c>
      <c r="D10" s="753">
        <v>2021</v>
      </c>
      <c r="E10" s="803">
        <v>37967.61</v>
      </c>
      <c r="F10" s="747">
        <f t="shared" si="2"/>
        <v>1.32</v>
      </c>
      <c r="G10" s="803">
        <f t="shared" si="0"/>
        <v>1113.73</v>
      </c>
      <c r="H10" s="747">
        <v>3.89</v>
      </c>
      <c r="I10" s="803">
        <v>492.1</v>
      </c>
      <c r="J10" s="747">
        <v>10</v>
      </c>
      <c r="K10" s="748">
        <v>164</v>
      </c>
    </row>
    <row r="11" spans="1:12">
      <c r="A11" s="754" t="s">
        <v>11</v>
      </c>
      <c r="B11" s="732">
        <f t="shared" si="1"/>
        <v>10</v>
      </c>
      <c r="C11" s="773">
        <v>8</v>
      </c>
      <c r="D11" s="753">
        <v>2021</v>
      </c>
      <c r="E11" s="803">
        <v>37967.61</v>
      </c>
      <c r="F11" s="747">
        <f t="shared" si="2"/>
        <v>1.32</v>
      </c>
      <c r="G11" s="803">
        <f t="shared" si="0"/>
        <v>1113.73</v>
      </c>
      <c r="H11" s="747">
        <v>3.89</v>
      </c>
      <c r="I11" s="803">
        <v>492.1</v>
      </c>
      <c r="J11" s="747">
        <v>10</v>
      </c>
      <c r="K11" s="748">
        <v>164</v>
      </c>
    </row>
    <row r="12" spans="1:12">
      <c r="A12" s="754" t="s">
        <v>11</v>
      </c>
      <c r="B12" s="732">
        <f t="shared" si="1"/>
        <v>11</v>
      </c>
      <c r="C12" s="773">
        <v>8</v>
      </c>
      <c r="D12" s="753">
        <v>2021</v>
      </c>
      <c r="E12" s="803">
        <v>37967.61</v>
      </c>
      <c r="F12" s="747">
        <f t="shared" si="2"/>
        <v>1.32</v>
      </c>
      <c r="G12" s="803">
        <f t="shared" si="0"/>
        <v>1113.73</v>
      </c>
      <c r="H12" s="747">
        <v>3.89</v>
      </c>
      <c r="I12" s="803">
        <v>492.1</v>
      </c>
      <c r="J12" s="747">
        <v>10</v>
      </c>
      <c r="K12" s="748">
        <v>164</v>
      </c>
      <c r="L12" s="735" t="s">
        <v>12</v>
      </c>
    </row>
    <row r="13" spans="1:12">
      <c r="A13" s="754" t="s">
        <v>11</v>
      </c>
      <c r="B13" s="732">
        <f t="shared" si="1"/>
        <v>12</v>
      </c>
      <c r="C13" s="773">
        <v>8</v>
      </c>
      <c r="D13" s="753">
        <v>2021</v>
      </c>
      <c r="E13" s="803">
        <v>37967.61</v>
      </c>
      <c r="F13" s="747">
        <f t="shared" si="2"/>
        <v>1.32</v>
      </c>
      <c r="G13" s="803">
        <f t="shared" si="0"/>
        <v>1113.73</v>
      </c>
      <c r="H13" s="747">
        <v>3.89</v>
      </c>
      <c r="I13" s="803">
        <v>492.1</v>
      </c>
      <c r="J13" s="747">
        <v>10</v>
      </c>
      <c r="K13" s="748">
        <v>164</v>
      </c>
      <c r="L13" s="735" t="s">
        <v>13</v>
      </c>
    </row>
    <row r="14" spans="1:12">
      <c r="A14" s="754" t="s">
        <v>11</v>
      </c>
      <c r="B14" s="732">
        <f t="shared" si="1"/>
        <v>13</v>
      </c>
      <c r="C14" s="773">
        <v>8</v>
      </c>
      <c r="D14" s="753">
        <v>2021</v>
      </c>
      <c r="E14" s="803">
        <v>37967.61</v>
      </c>
      <c r="F14" s="747">
        <f t="shared" si="2"/>
        <v>1.32</v>
      </c>
      <c r="G14" s="803">
        <f t="shared" si="0"/>
        <v>1113.73</v>
      </c>
      <c r="H14" s="747">
        <v>3.89</v>
      </c>
      <c r="I14" s="803">
        <v>492.1</v>
      </c>
      <c r="J14" s="747">
        <v>10</v>
      </c>
      <c r="K14" s="748">
        <v>164</v>
      </c>
    </row>
    <row r="15" spans="1:12">
      <c r="A15" s="754" t="s">
        <v>11</v>
      </c>
      <c r="B15" s="732">
        <f t="shared" si="1"/>
        <v>14</v>
      </c>
      <c r="C15" s="773">
        <v>8</v>
      </c>
      <c r="D15" s="753">
        <v>2021</v>
      </c>
      <c r="E15" s="803">
        <v>37967.61</v>
      </c>
      <c r="F15" s="747">
        <f t="shared" si="2"/>
        <v>1.32</v>
      </c>
      <c r="G15" s="803">
        <f t="shared" si="0"/>
        <v>1113.73</v>
      </c>
      <c r="H15" s="747">
        <v>3.89</v>
      </c>
      <c r="I15" s="803">
        <v>492.1</v>
      </c>
      <c r="J15" s="747">
        <v>10</v>
      </c>
      <c r="K15" s="748">
        <v>164</v>
      </c>
    </row>
    <row r="16" spans="1:12">
      <c r="A16" s="754" t="s">
        <v>11</v>
      </c>
      <c r="B16" s="732">
        <f t="shared" si="1"/>
        <v>15</v>
      </c>
      <c r="C16" s="773">
        <v>8</v>
      </c>
      <c r="D16" s="753">
        <v>2021</v>
      </c>
      <c r="E16" s="803">
        <v>37967.61</v>
      </c>
      <c r="F16" s="747">
        <f t="shared" si="2"/>
        <v>1.32</v>
      </c>
      <c r="G16" s="803">
        <f t="shared" si="0"/>
        <v>1113.73</v>
      </c>
      <c r="H16" s="747">
        <v>3.89</v>
      </c>
      <c r="I16" s="803">
        <v>492.1</v>
      </c>
      <c r="J16" s="747">
        <v>10</v>
      </c>
      <c r="K16" s="748">
        <v>164</v>
      </c>
    </row>
    <row r="17" spans="1:11">
      <c r="A17" s="754" t="s">
        <v>11</v>
      </c>
      <c r="B17" s="732">
        <f t="shared" si="1"/>
        <v>16</v>
      </c>
      <c r="C17" s="773">
        <v>8</v>
      </c>
      <c r="D17" s="753">
        <v>2021</v>
      </c>
      <c r="E17" s="803">
        <v>37967.61</v>
      </c>
      <c r="F17" s="747">
        <f t="shared" si="2"/>
        <v>1.32</v>
      </c>
      <c r="G17" s="803">
        <f t="shared" si="0"/>
        <v>1113.73</v>
      </c>
      <c r="H17" s="747">
        <v>3.89</v>
      </c>
      <c r="I17" s="803">
        <v>492.1</v>
      </c>
      <c r="J17" s="747">
        <v>10</v>
      </c>
      <c r="K17" s="748">
        <v>164</v>
      </c>
    </row>
    <row r="18" spans="1:11">
      <c r="A18" s="754" t="s">
        <v>11</v>
      </c>
      <c r="B18" s="732">
        <f t="shared" si="1"/>
        <v>17</v>
      </c>
      <c r="C18" s="773">
        <v>8</v>
      </c>
      <c r="D18" s="753">
        <v>2021</v>
      </c>
      <c r="E18" s="803">
        <v>37967.61</v>
      </c>
      <c r="F18" s="747">
        <f t="shared" si="2"/>
        <v>1.32</v>
      </c>
      <c r="G18" s="803">
        <f t="shared" si="0"/>
        <v>1113.73</v>
      </c>
      <c r="H18" s="747">
        <v>3.89</v>
      </c>
      <c r="I18" s="803">
        <v>492.1</v>
      </c>
      <c r="J18" s="747">
        <v>10</v>
      </c>
      <c r="K18" s="748">
        <v>164</v>
      </c>
    </row>
    <row r="19" spans="1:11">
      <c r="A19" s="754" t="s">
        <v>11</v>
      </c>
      <c r="B19" s="732">
        <f t="shared" si="1"/>
        <v>18</v>
      </c>
      <c r="C19" s="773">
        <v>8</v>
      </c>
      <c r="D19" s="753">
        <v>2021</v>
      </c>
      <c r="E19" s="803">
        <v>37967.61</v>
      </c>
      <c r="F19" s="747">
        <f t="shared" si="2"/>
        <v>1.32</v>
      </c>
      <c r="G19" s="803">
        <f t="shared" si="0"/>
        <v>1113.73</v>
      </c>
      <c r="H19" s="747">
        <v>3.89</v>
      </c>
      <c r="I19" s="803">
        <v>492.1</v>
      </c>
      <c r="J19" s="747">
        <v>10</v>
      </c>
      <c r="K19" s="748">
        <v>164</v>
      </c>
    </row>
    <row r="20" spans="1:11">
      <c r="A20" s="754" t="s">
        <v>11</v>
      </c>
      <c r="B20" s="732">
        <f t="shared" si="1"/>
        <v>19</v>
      </c>
      <c r="C20" s="773">
        <v>8</v>
      </c>
      <c r="D20" s="753">
        <v>2021</v>
      </c>
      <c r="E20" s="803">
        <v>37967.61</v>
      </c>
      <c r="F20" s="747">
        <f t="shared" si="2"/>
        <v>1.32</v>
      </c>
      <c r="G20" s="803">
        <f t="shared" si="0"/>
        <v>1113.73</v>
      </c>
      <c r="H20" s="747">
        <v>3.89</v>
      </c>
      <c r="I20" s="803">
        <v>492.1</v>
      </c>
      <c r="J20" s="747">
        <v>10</v>
      </c>
      <c r="K20" s="748">
        <v>164</v>
      </c>
    </row>
    <row r="21" spans="1:11">
      <c r="A21" s="754" t="s">
        <v>11</v>
      </c>
      <c r="B21" s="732">
        <f t="shared" si="1"/>
        <v>20</v>
      </c>
      <c r="C21" s="773">
        <v>8</v>
      </c>
      <c r="D21" s="753">
        <v>2021</v>
      </c>
      <c r="E21" s="803">
        <v>37967.61</v>
      </c>
      <c r="F21" s="747">
        <f t="shared" si="2"/>
        <v>1.32</v>
      </c>
      <c r="G21" s="803">
        <f t="shared" si="0"/>
        <v>1113.73</v>
      </c>
      <c r="H21" s="747">
        <v>3.89</v>
      </c>
      <c r="I21" s="803">
        <v>492.1</v>
      </c>
      <c r="J21" s="747">
        <v>10</v>
      </c>
      <c r="K21" s="748">
        <v>164</v>
      </c>
    </row>
    <row r="22" spans="1:11">
      <c r="A22" s="754" t="s">
        <v>11</v>
      </c>
      <c r="B22" s="732">
        <f t="shared" si="1"/>
        <v>21</v>
      </c>
      <c r="C22" s="773">
        <v>8</v>
      </c>
      <c r="D22" s="753">
        <v>2021</v>
      </c>
      <c r="E22" s="803">
        <v>37967.61</v>
      </c>
      <c r="F22" s="747">
        <f t="shared" si="2"/>
        <v>1.32</v>
      </c>
      <c r="G22" s="803">
        <f t="shared" si="0"/>
        <v>1113.73</v>
      </c>
      <c r="H22" s="747">
        <v>3.89</v>
      </c>
      <c r="I22" s="803">
        <v>492.1</v>
      </c>
      <c r="J22" s="747">
        <v>10</v>
      </c>
      <c r="K22" s="748">
        <v>164</v>
      </c>
    </row>
    <row r="23" spans="1:11">
      <c r="A23" s="754" t="s">
        <v>11</v>
      </c>
      <c r="B23" s="732">
        <f t="shared" si="1"/>
        <v>22</v>
      </c>
      <c r="C23" s="773">
        <v>8</v>
      </c>
      <c r="D23" s="753">
        <v>2021</v>
      </c>
      <c r="E23" s="803">
        <v>37967.61</v>
      </c>
      <c r="F23" s="747">
        <f t="shared" si="2"/>
        <v>1.32</v>
      </c>
      <c r="G23" s="803">
        <f t="shared" si="0"/>
        <v>1113.73</v>
      </c>
      <c r="H23" s="747">
        <v>3.89</v>
      </c>
      <c r="I23" s="803">
        <v>492.1</v>
      </c>
      <c r="J23" s="747">
        <v>10</v>
      </c>
      <c r="K23" s="748">
        <v>164</v>
      </c>
    </row>
    <row r="24" spans="1:11">
      <c r="A24" s="754" t="s">
        <v>11</v>
      </c>
      <c r="B24" s="732">
        <f t="shared" si="1"/>
        <v>23</v>
      </c>
      <c r="C24" s="773">
        <v>8</v>
      </c>
      <c r="D24" s="753">
        <v>2021</v>
      </c>
      <c r="E24" s="803">
        <v>37967.61</v>
      </c>
      <c r="F24" s="747">
        <f t="shared" si="2"/>
        <v>1.32</v>
      </c>
      <c r="G24" s="803">
        <f t="shared" si="0"/>
        <v>1113.73</v>
      </c>
      <c r="H24" s="747">
        <v>3.89</v>
      </c>
      <c r="I24" s="803">
        <v>492.1</v>
      </c>
      <c r="J24" s="747">
        <v>10</v>
      </c>
      <c r="K24" s="748">
        <v>164</v>
      </c>
    </row>
    <row r="25" spans="1:11">
      <c r="A25" s="754" t="s">
        <v>11</v>
      </c>
      <c r="B25" s="732">
        <f t="shared" si="1"/>
        <v>24</v>
      </c>
      <c r="C25" s="773">
        <v>8</v>
      </c>
      <c r="D25" s="753">
        <v>2021</v>
      </c>
      <c r="E25" s="803">
        <v>37967.61</v>
      </c>
      <c r="F25" s="747">
        <f t="shared" si="2"/>
        <v>1.32</v>
      </c>
      <c r="G25" s="803">
        <f t="shared" si="0"/>
        <v>1113.73</v>
      </c>
      <c r="H25" s="747">
        <v>3.89</v>
      </c>
      <c r="I25" s="803">
        <v>492.1</v>
      </c>
      <c r="J25" s="747">
        <v>10</v>
      </c>
      <c r="K25" s="748">
        <v>164</v>
      </c>
    </row>
    <row r="26" spans="1:11">
      <c r="A26" s="754" t="s">
        <v>11</v>
      </c>
      <c r="B26" s="732">
        <f>B25+1</f>
        <v>25</v>
      </c>
      <c r="C26" s="773">
        <v>8</v>
      </c>
      <c r="D26" s="753">
        <v>2021</v>
      </c>
      <c r="E26" s="803">
        <v>37967.61</v>
      </c>
      <c r="F26" s="747">
        <f t="shared" si="2"/>
        <v>1.32</v>
      </c>
      <c r="G26" s="803">
        <f t="shared" si="0"/>
        <v>1113.73</v>
      </c>
      <c r="H26" s="747">
        <v>3.89</v>
      </c>
      <c r="I26" s="803">
        <v>492.1</v>
      </c>
      <c r="J26" s="747">
        <v>10</v>
      </c>
      <c r="K26" s="748">
        <v>164</v>
      </c>
    </row>
    <row r="27" spans="1:11">
      <c r="A27" s="754" t="s">
        <v>11</v>
      </c>
      <c r="B27" s="732">
        <f t="shared" si="1"/>
        <v>26</v>
      </c>
      <c r="C27" s="773">
        <v>8</v>
      </c>
      <c r="D27" s="753">
        <v>2021</v>
      </c>
      <c r="E27" s="803">
        <v>37967.61</v>
      </c>
      <c r="F27" s="747">
        <f t="shared" si="2"/>
        <v>1.32</v>
      </c>
      <c r="G27" s="803">
        <f t="shared" si="0"/>
        <v>1113.73</v>
      </c>
      <c r="H27" s="747">
        <v>3.89</v>
      </c>
      <c r="I27" s="803">
        <v>492.1</v>
      </c>
      <c r="J27" s="747">
        <v>10</v>
      </c>
      <c r="K27" s="748">
        <v>166</v>
      </c>
    </row>
    <row r="28" spans="1:11">
      <c r="A28" s="754" t="s">
        <v>11</v>
      </c>
      <c r="B28" s="732">
        <f t="shared" si="1"/>
        <v>27</v>
      </c>
      <c r="C28" s="773">
        <v>8</v>
      </c>
      <c r="D28" s="753">
        <v>2021</v>
      </c>
      <c r="E28" s="803">
        <v>37967.61</v>
      </c>
      <c r="F28" s="747">
        <f t="shared" si="2"/>
        <v>1.32</v>
      </c>
      <c r="G28" s="803">
        <f t="shared" si="0"/>
        <v>1113.73</v>
      </c>
      <c r="H28" s="747">
        <v>3.89</v>
      </c>
      <c r="I28" s="803">
        <v>492.1</v>
      </c>
      <c r="J28" s="747">
        <v>10</v>
      </c>
      <c r="K28" s="748">
        <v>167</v>
      </c>
    </row>
    <row r="29" spans="1:11">
      <c r="A29" s="754" t="s">
        <v>11</v>
      </c>
      <c r="B29" s="732">
        <f t="shared" si="1"/>
        <v>28</v>
      </c>
      <c r="C29" s="773">
        <v>8</v>
      </c>
      <c r="D29" s="753">
        <v>2021</v>
      </c>
      <c r="E29" s="803">
        <v>37967.61</v>
      </c>
      <c r="F29" s="747">
        <f t="shared" si="2"/>
        <v>1.32</v>
      </c>
      <c r="G29" s="803">
        <f t="shared" si="0"/>
        <v>1113.73</v>
      </c>
      <c r="H29" s="747">
        <v>3.89</v>
      </c>
      <c r="I29" s="803">
        <v>492.1</v>
      </c>
      <c r="J29" s="747">
        <v>10</v>
      </c>
      <c r="K29" s="748">
        <v>165</v>
      </c>
    </row>
    <row r="30" spans="1:11">
      <c r="A30" s="754" t="s">
        <v>11</v>
      </c>
      <c r="B30" s="732">
        <f t="shared" si="1"/>
        <v>29</v>
      </c>
      <c r="C30" s="773">
        <v>8</v>
      </c>
      <c r="D30" s="753">
        <v>2021</v>
      </c>
      <c r="E30" s="803">
        <v>37967.61</v>
      </c>
      <c r="F30" s="747">
        <f t="shared" si="2"/>
        <v>1.32</v>
      </c>
      <c r="G30" s="803">
        <f t="shared" si="0"/>
        <v>1113.73</v>
      </c>
      <c r="H30" s="747">
        <v>3.89</v>
      </c>
      <c r="I30" s="803">
        <v>492.1</v>
      </c>
      <c r="J30" s="747">
        <v>10</v>
      </c>
      <c r="K30" s="748">
        <v>164</v>
      </c>
    </row>
    <row r="31" spans="1:11">
      <c r="A31" s="754" t="s">
        <v>11</v>
      </c>
      <c r="B31" s="732">
        <f t="shared" si="1"/>
        <v>30</v>
      </c>
      <c r="C31" s="773">
        <v>8</v>
      </c>
      <c r="D31" s="753">
        <v>2021</v>
      </c>
      <c r="E31" s="803">
        <v>37967.61</v>
      </c>
      <c r="F31" s="747">
        <f t="shared" si="2"/>
        <v>1.32</v>
      </c>
      <c r="G31" s="803">
        <f t="shared" si="0"/>
        <v>1113.73</v>
      </c>
      <c r="H31" s="747">
        <v>3.89</v>
      </c>
      <c r="I31" s="803">
        <v>492.1</v>
      </c>
      <c r="J31" s="747">
        <v>10</v>
      </c>
      <c r="K31" s="748">
        <v>164</v>
      </c>
    </row>
    <row r="32" spans="1:11">
      <c r="A32" s="755" t="s">
        <v>11</v>
      </c>
      <c r="B32" s="756">
        <f t="shared" si="1"/>
        <v>31</v>
      </c>
      <c r="C32" s="773">
        <v>8</v>
      </c>
      <c r="D32" s="753">
        <v>2021</v>
      </c>
      <c r="E32" s="803">
        <v>37967.61</v>
      </c>
      <c r="F32" s="747">
        <f t="shared" si="2"/>
        <v>1.32</v>
      </c>
      <c r="G32" s="803">
        <f t="shared" si="0"/>
        <v>1113.73</v>
      </c>
      <c r="H32" s="747">
        <v>3.89</v>
      </c>
      <c r="I32" s="803">
        <v>492.1</v>
      </c>
      <c r="J32" s="747">
        <v>10</v>
      </c>
      <c r="K32" s="748">
        <v>164</v>
      </c>
    </row>
    <row r="34" spans="5:11">
      <c r="E34" s="804"/>
      <c r="G34" s="804"/>
      <c r="I34" s="804"/>
      <c r="K34" s="804"/>
    </row>
  </sheetData>
  <sheetProtection algorithmName="SHA-512" hashValue="TH8ohmzAQcnFKbW3t1A6wAzTqFTdJ6isi+AY5aZI6QLWjbTqWGvOlSX6VPdDHKK/248OdAmY9yaB4fPLnILBUw==" saltValue="wXJRVO7gR5RUQ0yDaBMcG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K1" workbookViewId="0">
      <selection activeCell="AP2" sqref="AP2:AP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3" t="s">
        <v>0</v>
      </c>
      <c r="B1" s="744" t="s">
        <v>1</v>
      </c>
      <c r="C1" s="744" t="s">
        <v>2</v>
      </c>
      <c r="D1" s="744" t="s">
        <v>3</v>
      </c>
      <c r="E1" s="805" t="s">
        <v>14</v>
      </c>
      <c r="F1" s="739" t="s">
        <v>15</v>
      </c>
      <c r="G1" s="740" t="s">
        <v>16</v>
      </c>
      <c r="H1" s="739" t="s">
        <v>17</v>
      </c>
      <c r="I1" s="739" t="s">
        <v>18</v>
      </c>
      <c r="J1" s="739" t="s">
        <v>19</v>
      </c>
      <c r="K1" s="733" t="s">
        <v>20</v>
      </c>
      <c r="L1" s="733" t="s">
        <v>21</v>
      </c>
      <c r="M1" s="757" t="s">
        <v>22</v>
      </c>
      <c r="N1" s="757" t="s">
        <v>23</v>
      </c>
      <c r="O1" s="757" t="s">
        <v>24</v>
      </c>
      <c r="P1" s="757" t="s">
        <v>25</v>
      </c>
      <c r="Q1" s="757" t="s">
        <v>26</v>
      </c>
      <c r="R1" s="757" t="s">
        <v>27</v>
      </c>
      <c r="S1" s="787" t="s">
        <v>28</v>
      </c>
      <c r="T1" s="757" t="s">
        <v>29</v>
      </c>
      <c r="U1" s="757" t="s">
        <v>30</v>
      </c>
      <c r="V1" s="757" t="s">
        <v>31</v>
      </c>
      <c r="W1" s="787" t="s">
        <v>32</v>
      </c>
      <c r="X1" s="757" t="s">
        <v>33</v>
      </c>
      <c r="Y1" s="787" t="s">
        <v>34</v>
      </c>
      <c r="Z1" s="757" t="s">
        <v>35</v>
      </c>
      <c r="AA1" s="787" t="s">
        <v>36</v>
      </c>
      <c r="AB1" s="757" t="s">
        <v>37</v>
      </c>
      <c r="AC1" s="757" t="s">
        <v>38</v>
      </c>
      <c r="AD1" s="787" t="s">
        <v>39</v>
      </c>
      <c r="AE1" s="757" t="s">
        <v>40</v>
      </c>
      <c r="AF1" s="757" t="s">
        <v>41</v>
      </c>
      <c r="AG1" s="757" t="s">
        <v>42</v>
      </c>
      <c r="AH1" s="805" t="s">
        <v>43</v>
      </c>
      <c r="AI1" s="757" t="s">
        <v>44</v>
      </c>
      <c r="AJ1" s="757" t="s">
        <v>45</v>
      </c>
      <c r="AK1" s="757" t="s">
        <v>46</v>
      </c>
      <c r="AL1" s="805" t="s">
        <v>47</v>
      </c>
      <c r="AM1" s="757" t="s">
        <v>48</v>
      </c>
      <c r="AN1" s="757" t="s">
        <v>49</v>
      </c>
      <c r="AO1" s="757" t="s">
        <v>50</v>
      </c>
      <c r="AP1" s="745" t="s">
        <v>10</v>
      </c>
    </row>
    <row r="2" spans="1:42" ht="19.5" customHeight="1">
      <c r="A2" s="751" t="s">
        <v>11</v>
      </c>
      <c r="B2" s="752">
        <v>1</v>
      </c>
      <c r="C2" s="773">
        <v>8</v>
      </c>
      <c r="D2" s="753">
        <v>2021</v>
      </c>
      <c r="E2" s="806"/>
      <c r="F2" s="741">
        <f>Elect!J6</f>
        <v>9836</v>
      </c>
      <c r="G2" s="741">
        <f>Elect!K6</f>
        <v>3372</v>
      </c>
      <c r="H2" s="741">
        <f>Elect!Q6</f>
        <v>630</v>
      </c>
      <c r="I2" s="741">
        <f>Elect!S6</f>
        <v>412</v>
      </c>
      <c r="J2" s="741">
        <f>Elect!U6</f>
        <v>836</v>
      </c>
      <c r="K2" s="741">
        <f>Elect!W6</f>
        <v>6157.3280000000032</v>
      </c>
      <c r="L2" s="741">
        <f>Elect!Y6</f>
        <v>5469.0700000000006</v>
      </c>
      <c r="M2" s="741">
        <f>Elect!AA6</f>
        <v>0</v>
      </c>
      <c r="N2" s="741">
        <f>Elect!AC6</f>
        <v>42.400000000000006</v>
      </c>
      <c r="O2" s="741">
        <f>Elect!AE6</f>
        <v>2889.03</v>
      </c>
      <c r="P2" s="741">
        <f>Elect!AG6</f>
        <v>0</v>
      </c>
      <c r="Q2" s="741">
        <f>Elect!AI6</f>
        <v>1463.8600000000001</v>
      </c>
      <c r="R2" s="741">
        <f>Elect!AK6</f>
        <v>5512.5300000000007</v>
      </c>
      <c r="S2" s="741">
        <f>Elect!AM6</f>
        <v>212</v>
      </c>
      <c r="T2" s="741">
        <f>Elect!AP6</f>
        <v>221.96250000000001</v>
      </c>
      <c r="U2" s="741">
        <f>Elect!AR6</f>
        <v>256</v>
      </c>
      <c r="V2" s="741">
        <f>Elect!AT6</f>
        <v>246</v>
      </c>
      <c r="W2" s="741">
        <f>Elect!AV6</f>
        <v>21</v>
      </c>
      <c r="X2" s="741">
        <f>Elect!AX6</f>
        <v>1341</v>
      </c>
      <c r="Y2" s="741">
        <f>Elect!AZ6</f>
        <v>0</v>
      </c>
      <c r="Z2" s="741">
        <f>Elect!BB6</f>
        <v>5908</v>
      </c>
      <c r="AA2" s="741">
        <f>Elect!BD6</f>
        <v>232</v>
      </c>
      <c r="AB2" s="741">
        <f>Elect!BF6</f>
        <v>137</v>
      </c>
      <c r="AC2" s="741">
        <f>Elect!BH6</f>
        <v>5937.25</v>
      </c>
      <c r="AD2" s="741">
        <f>Elect!BL6</f>
        <v>0</v>
      </c>
      <c r="AE2" s="741">
        <f>Elect!BN6</f>
        <v>1264</v>
      </c>
      <c r="AF2" s="741">
        <f>Elect!BP6</f>
        <v>131</v>
      </c>
      <c r="AG2" s="741">
        <f>Elect!BR6</f>
        <v>226</v>
      </c>
      <c r="AH2" s="806"/>
      <c r="AI2" s="741">
        <f>Water!C7</f>
        <v>0</v>
      </c>
      <c r="AJ2" s="741">
        <f>Water!E7</f>
        <v>423.4</v>
      </c>
      <c r="AK2" s="741">
        <f>Water!G7</f>
        <v>143.26</v>
      </c>
      <c r="AL2" s="806"/>
      <c r="AM2" s="741">
        <f>Gas!C7</f>
        <v>921.1400000000001</v>
      </c>
      <c r="AN2" s="741">
        <f>Gas!E7</f>
        <v>209.29999999999998</v>
      </c>
      <c r="AO2" s="741">
        <f>Gas!G7</f>
        <v>100</v>
      </c>
      <c r="AP2" s="748">
        <v>164</v>
      </c>
    </row>
    <row r="3" spans="1:42" ht="12.75" customHeight="1">
      <c r="A3" s="754" t="s">
        <v>11</v>
      </c>
      <c r="B3" s="732">
        <f>B2+1</f>
        <v>2</v>
      </c>
      <c r="C3" s="773">
        <v>8</v>
      </c>
      <c r="D3" s="753">
        <v>2021</v>
      </c>
      <c r="E3" s="806"/>
      <c r="F3" s="741">
        <f>Elect!J7</f>
        <v>5216</v>
      </c>
      <c r="G3" s="741">
        <f>Elect!K7</f>
        <v>3379</v>
      </c>
      <c r="H3" s="741">
        <f>Elect!Q7</f>
        <v>450</v>
      </c>
      <c r="I3" s="741">
        <f>Elect!S7</f>
        <v>137</v>
      </c>
      <c r="J3" s="741">
        <f>Elect!U7</f>
        <v>271</v>
      </c>
      <c r="K3" s="741">
        <f>Elect!W7</f>
        <v>3504.36</v>
      </c>
      <c r="L3" s="741">
        <f>Elect!Y7</f>
        <v>4021.11</v>
      </c>
      <c r="M3" s="741">
        <f>Elect!AA7</f>
        <v>0</v>
      </c>
      <c r="N3" s="741">
        <f>Elect!AC7</f>
        <v>0</v>
      </c>
      <c r="O3" s="741">
        <f>Elect!AE7</f>
        <v>1864.5400000000002</v>
      </c>
      <c r="P3" s="741">
        <f>Elect!AG7</f>
        <v>9.5400000000000009</v>
      </c>
      <c r="Q3" s="741">
        <f>Elect!AI7</f>
        <v>1115.1200000000001</v>
      </c>
      <c r="R3" s="741">
        <f>Elect!AK7</f>
        <v>3659.65</v>
      </c>
      <c r="S3" s="741">
        <f>Elect!AM7</f>
        <v>171.72</v>
      </c>
      <c r="T3" s="741">
        <f>Elect!AP7</f>
        <v>209.02500000000001</v>
      </c>
      <c r="U3" s="741">
        <f>Elect!AR7</f>
        <v>296</v>
      </c>
      <c r="V3" s="741">
        <f>Elect!AT7</f>
        <v>186</v>
      </c>
      <c r="W3" s="741">
        <f>Elect!AV7</f>
        <v>68</v>
      </c>
      <c r="X3" s="741">
        <f>Elect!AX7</f>
        <v>1059</v>
      </c>
      <c r="Y3" s="741">
        <f>Elect!AZ7</f>
        <v>12</v>
      </c>
      <c r="Z3" s="741">
        <f>Elect!BB7</f>
        <v>5007</v>
      </c>
      <c r="AA3" s="741">
        <f>Elect!BD7</f>
        <v>202</v>
      </c>
      <c r="AB3" s="741">
        <f>Elect!BF7</f>
        <v>151</v>
      </c>
      <c r="AC3" s="741">
        <f>Elect!BH7</f>
        <v>5832.0999999999995</v>
      </c>
      <c r="AD3" s="741">
        <f>Elect!BL7</f>
        <v>4</v>
      </c>
      <c r="AE3" s="741">
        <f>Elect!BN7</f>
        <v>1623</v>
      </c>
      <c r="AF3" s="741">
        <f>Elect!BP7</f>
        <v>119</v>
      </c>
      <c r="AG3" s="741">
        <f>Elect!BR7</f>
        <v>208</v>
      </c>
      <c r="AH3" s="806"/>
      <c r="AI3" s="741">
        <f>Water!C8</f>
        <v>0</v>
      </c>
      <c r="AJ3" s="741">
        <f>Water!E8</f>
        <v>516.19999999999993</v>
      </c>
      <c r="AK3" s="741">
        <f>Water!G8</f>
        <v>131.07999999999998</v>
      </c>
      <c r="AL3" s="806"/>
      <c r="AM3" s="741">
        <f>Gas!C8</f>
        <v>820.44</v>
      </c>
      <c r="AN3" s="741">
        <f>Gas!E8</f>
        <v>228.2</v>
      </c>
      <c r="AO3" s="741">
        <f>Gas!G8</f>
        <v>96</v>
      </c>
      <c r="AP3" s="748">
        <v>164</v>
      </c>
    </row>
    <row r="4" spans="1:42" ht="12.75" customHeight="1">
      <c r="A4" s="754" t="s">
        <v>11</v>
      </c>
      <c r="B4" s="732">
        <f t="shared" ref="B4:B31" si="0">B3+1</f>
        <v>3</v>
      </c>
      <c r="C4" s="773">
        <v>8</v>
      </c>
      <c r="D4" s="753">
        <v>2021</v>
      </c>
      <c r="E4" s="806"/>
      <c r="F4" s="741">
        <f>Elect!J8</f>
        <v>5430</v>
      </c>
      <c r="G4" s="741">
        <f>Elect!K8</f>
        <v>3481</v>
      </c>
      <c r="H4" s="741">
        <f>Elect!Q8</f>
        <v>600</v>
      </c>
      <c r="I4" s="741">
        <f>Elect!S8</f>
        <v>140</v>
      </c>
      <c r="J4" s="741">
        <f>Elect!U8</f>
        <v>265</v>
      </c>
      <c r="K4" s="741">
        <f>Elect!W8</f>
        <v>3673.4300000000003</v>
      </c>
      <c r="L4" s="741">
        <f>Elect!Y8</f>
        <v>4134.5300000000007</v>
      </c>
      <c r="M4" s="741">
        <f>Elect!AA8</f>
        <v>0</v>
      </c>
      <c r="N4" s="741">
        <f>Elect!AC8</f>
        <v>0</v>
      </c>
      <c r="O4" s="741">
        <f>Elect!AE8</f>
        <v>1849.7</v>
      </c>
      <c r="P4" s="741">
        <f>Elect!AG8</f>
        <v>81.09</v>
      </c>
      <c r="Q4" s="741">
        <f>Elect!AI8</f>
        <v>1142.1500000000001</v>
      </c>
      <c r="R4" s="741">
        <f>Elect!AK8</f>
        <v>3816.53</v>
      </c>
      <c r="S4" s="741">
        <f>Elect!AM8</f>
        <v>173.84</v>
      </c>
      <c r="T4" s="741">
        <f>Elect!AP8</f>
        <v>223.42500000000001</v>
      </c>
      <c r="U4" s="741">
        <f>Elect!AR8</f>
        <v>198</v>
      </c>
      <c r="V4" s="741">
        <f>Elect!AT8</f>
        <v>197</v>
      </c>
      <c r="W4" s="741">
        <f>Elect!AV8</f>
        <v>75</v>
      </c>
      <c r="X4" s="741">
        <f>Elect!AX8</f>
        <v>1106</v>
      </c>
      <c r="Y4" s="741">
        <f>Elect!AZ8</f>
        <v>17</v>
      </c>
      <c r="Z4" s="741">
        <f>Elect!BB8</f>
        <v>4909</v>
      </c>
      <c r="AA4" s="741">
        <f>Elect!BD8</f>
        <v>206</v>
      </c>
      <c r="AB4" s="741">
        <f>Elect!BF8</f>
        <v>129</v>
      </c>
      <c r="AC4" s="741">
        <f>Elect!BH8</f>
        <v>6001.5999999999995</v>
      </c>
      <c r="AD4" s="741">
        <f>Elect!BL8</f>
        <v>59</v>
      </c>
      <c r="AE4" s="741">
        <f>Elect!BN8</f>
        <v>1698</v>
      </c>
      <c r="AF4" s="741">
        <f>Elect!BP8</f>
        <v>114</v>
      </c>
      <c r="AG4" s="741">
        <f>Elect!BR8</f>
        <v>212</v>
      </c>
      <c r="AH4" s="806"/>
      <c r="AI4" s="741">
        <f>Water!C9</f>
        <v>0</v>
      </c>
      <c r="AJ4" s="741">
        <f>Water!E9</f>
        <v>516.19999999999993</v>
      </c>
      <c r="AK4" s="741">
        <f>Water!G9</f>
        <v>130.5</v>
      </c>
      <c r="AL4" s="806"/>
      <c r="AM4" s="741">
        <f>Gas!C9</f>
        <v>737.76</v>
      </c>
      <c r="AN4" s="741">
        <f>Gas!E9</f>
        <v>228.89999999999998</v>
      </c>
      <c r="AO4" s="741">
        <f>Gas!G9</f>
        <v>96</v>
      </c>
      <c r="AP4" s="748">
        <v>164</v>
      </c>
    </row>
    <row r="5" spans="1:42" ht="12.75" customHeight="1">
      <c r="A5" s="754" t="s">
        <v>11</v>
      </c>
      <c r="B5" s="732">
        <f t="shared" si="0"/>
        <v>4</v>
      </c>
      <c r="C5" s="773">
        <v>8</v>
      </c>
      <c r="D5" s="753">
        <v>2021</v>
      </c>
      <c r="E5" s="806"/>
      <c r="F5" s="741">
        <f>Elect!J9</f>
        <v>5586</v>
      </c>
      <c r="G5" s="741">
        <f>Elect!K9</f>
        <v>3484</v>
      </c>
      <c r="H5" s="741">
        <f>Elect!Q9</f>
        <v>720</v>
      </c>
      <c r="I5" s="741">
        <f>Elect!S9</f>
        <v>137</v>
      </c>
      <c r="J5" s="741">
        <f>Elect!U9</f>
        <v>270</v>
      </c>
      <c r="K5" s="741">
        <f>Elect!W9</f>
        <v>3703.11</v>
      </c>
      <c r="L5" s="741">
        <f>Elect!Y9</f>
        <v>4043.3700000000003</v>
      </c>
      <c r="M5" s="741">
        <f>Elect!AA9</f>
        <v>0</v>
      </c>
      <c r="N5" s="741">
        <f>Elect!AC9</f>
        <v>0</v>
      </c>
      <c r="O5" s="741">
        <f>Elect!AE9</f>
        <v>1629.22</v>
      </c>
      <c r="P5" s="741">
        <f>Elect!AG9</f>
        <v>427.71000000000004</v>
      </c>
      <c r="Q5" s="741">
        <f>Elect!AI9</f>
        <v>1114.06</v>
      </c>
      <c r="R5" s="741">
        <f>Elect!AK9</f>
        <v>3735.44</v>
      </c>
      <c r="S5" s="741">
        <f>Elect!AM9</f>
        <v>173.31</v>
      </c>
      <c r="T5" s="741">
        <f>Elect!AP9</f>
        <v>203.85</v>
      </c>
      <c r="U5" s="741">
        <f>Elect!AR9</f>
        <v>215</v>
      </c>
      <c r="V5" s="741">
        <f>Elect!AT9</f>
        <v>183</v>
      </c>
      <c r="W5" s="741">
        <f>Elect!AV9</f>
        <v>75</v>
      </c>
      <c r="X5" s="741">
        <f>Elect!AX9</f>
        <v>1073</v>
      </c>
      <c r="Y5" s="741">
        <f>Elect!AZ9</f>
        <v>17</v>
      </c>
      <c r="Z5" s="741">
        <f>Elect!BB9</f>
        <v>5446</v>
      </c>
      <c r="AA5" s="741">
        <f>Elect!BD9</f>
        <v>239</v>
      </c>
      <c r="AB5" s="741">
        <f>Elect!BF9</f>
        <v>57</v>
      </c>
      <c r="AC5" s="741">
        <f>Elect!BH9</f>
        <v>5962.1</v>
      </c>
      <c r="AD5" s="741">
        <f>Elect!BL9</f>
        <v>57</v>
      </c>
      <c r="AE5" s="741">
        <f>Elect!BN9</f>
        <v>1792</v>
      </c>
      <c r="AF5" s="741">
        <f>Elect!BP9</f>
        <v>110</v>
      </c>
      <c r="AG5" s="741">
        <f>Elect!BR9</f>
        <v>205</v>
      </c>
      <c r="AH5" s="806"/>
      <c r="AI5" s="741">
        <f>Water!C10</f>
        <v>0</v>
      </c>
      <c r="AJ5" s="741">
        <f>Water!E10</f>
        <v>806.19999999999993</v>
      </c>
      <c r="AK5" s="741">
        <f>Water!G10</f>
        <v>131.07999999999998</v>
      </c>
      <c r="AL5" s="806"/>
      <c r="AM5" s="741">
        <f>Gas!C10</f>
        <v>815.14</v>
      </c>
      <c r="AN5" s="741">
        <f>Gas!E10</f>
        <v>228.89999999999998</v>
      </c>
      <c r="AO5" s="741">
        <f>Gas!G10</f>
        <v>95</v>
      </c>
      <c r="AP5" s="748">
        <v>164</v>
      </c>
    </row>
    <row r="6" spans="1:42" ht="12.75" customHeight="1">
      <c r="A6" s="754" t="s">
        <v>11</v>
      </c>
      <c r="B6" s="732">
        <f t="shared" si="0"/>
        <v>5</v>
      </c>
      <c r="C6" s="773">
        <v>8</v>
      </c>
      <c r="D6" s="753">
        <v>2021</v>
      </c>
      <c r="E6" s="806"/>
      <c r="F6" s="741">
        <f>Elect!J10</f>
        <v>5913</v>
      </c>
      <c r="G6" s="741">
        <f>Elect!K10</f>
        <v>3689</v>
      </c>
      <c r="H6" s="741">
        <f>Elect!Q10</f>
        <v>510</v>
      </c>
      <c r="I6" s="741">
        <f>Elect!S10</f>
        <v>141</v>
      </c>
      <c r="J6" s="741">
        <f>Elect!U10</f>
        <v>290</v>
      </c>
      <c r="K6" s="741">
        <f>Elect!W10</f>
        <v>3518.67</v>
      </c>
      <c r="L6" s="741">
        <f>Elect!Y10</f>
        <v>4100.08</v>
      </c>
      <c r="M6" s="741">
        <f>Elect!AA10</f>
        <v>0</v>
      </c>
      <c r="N6" s="741">
        <f>Elect!AC10</f>
        <v>0</v>
      </c>
      <c r="O6" s="741">
        <f>Elect!AE10</f>
        <v>1831.68</v>
      </c>
      <c r="P6" s="741">
        <f>Elect!AG10</f>
        <v>11.13</v>
      </c>
      <c r="Q6" s="741">
        <f>Elect!AI10</f>
        <v>1147.98</v>
      </c>
      <c r="R6" s="741">
        <f>Elect!AK10</f>
        <v>3773.6000000000004</v>
      </c>
      <c r="S6" s="741">
        <f>Elect!AM10</f>
        <v>177.55</v>
      </c>
      <c r="T6" s="741">
        <f>Elect!AP10</f>
        <v>200.70000000000002</v>
      </c>
      <c r="U6" s="741">
        <f>Elect!AR10</f>
        <v>213</v>
      </c>
      <c r="V6" s="741">
        <f>Elect!AT10</f>
        <v>200</v>
      </c>
      <c r="W6" s="741">
        <f>Elect!AV10</f>
        <v>76</v>
      </c>
      <c r="X6" s="741">
        <f>Elect!AX10</f>
        <v>1106</v>
      </c>
      <c r="Y6" s="741">
        <f>Elect!AZ10</f>
        <v>47</v>
      </c>
      <c r="Z6" s="741">
        <f>Elect!BB10</f>
        <v>4758</v>
      </c>
      <c r="AA6" s="741">
        <f>Elect!BD10</f>
        <v>246</v>
      </c>
      <c r="AB6" s="741">
        <f>Elect!BF10</f>
        <v>206</v>
      </c>
      <c r="AC6" s="741">
        <f>Elect!BH10</f>
        <v>6135.75</v>
      </c>
      <c r="AD6" s="741">
        <f>Elect!BL10</f>
        <v>60</v>
      </c>
      <c r="AE6" s="741">
        <f>Elect!BN10</f>
        <v>1718</v>
      </c>
      <c r="AF6" s="741">
        <f>Elect!BP10</f>
        <v>127</v>
      </c>
      <c r="AG6" s="741">
        <f>Elect!BR10</f>
        <v>211</v>
      </c>
      <c r="AH6" s="806"/>
      <c r="AI6" s="741">
        <f>Water!C11</f>
        <v>0</v>
      </c>
      <c r="AJ6" s="741">
        <f>Water!E11</f>
        <v>922.19999999999993</v>
      </c>
      <c r="AK6" s="741">
        <f>Water!G11</f>
        <v>91.64</v>
      </c>
      <c r="AL6" s="806"/>
      <c r="AM6" s="741">
        <f>Gas!C11</f>
        <v>754.72</v>
      </c>
      <c r="AN6" s="741">
        <f>Gas!E11</f>
        <v>230.29999999999998</v>
      </c>
      <c r="AO6" s="741">
        <f>Gas!G11</f>
        <v>96</v>
      </c>
      <c r="AP6" s="748">
        <v>164</v>
      </c>
    </row>
    <row r="7" spans="1:42" ht="12.75" customHeight="1">
      <c r="A7" s="754" t="s">
        <v>11</v>
      </c>
      <c r="B7" s="732">
        <f t="shared" si="0"/>
        <v>6</v>
      </c>
      <c r="C7" s="773">
        <v>8</v>
      </c>
      <c r="D7" s="753">
        <v>2021</v>
      </c>
      <c r="E7" s="806"/>
      <c r="F7" s="741">
        <f>Elect!J11</f>
        <v>5933</v>
      </c>
      <c r="G7" s="741">
        <f>Elect!K11</f>
        <v>3687</v>
      </c>
      <c r="H7" s="741">
        <f>Elect!Q11</f>
        <v>600</v>
      </c>
      <c r="I7" s="741">
        <f>Elect!S11</f>
        <v>137</v>
      </c>
      <c r="J7" s="741">
        <f>Elect!U11</f>
        <v>283</v>
      </c>
      <c r="K7" s="741">
        <f>Elect!W11</f>
        <v>3864.76</v>
      </c>
      <c r="L7" s="741">
        <f>Elect!Y11</f>
        <v>4085.2400000000002</v>
      </c>
      <c r="M7" s="741">
        <f>Elect!AA11</f>
        <v>0</v>
      </c>
      <c r="N7" s="741">
        <f>Elect!AC11</f>
        <v>0</v>
      </c>
      <c r="O7" s="741">
        <f>Elect!AE11</f>
        <v>1857.65</v>
      </c>
      <c r="P7" s="741">
        <f>Elect!AG11</f>
        <v>10.07</v>
      </c>
      <c r="Q7" s="741">
        <f>Elect!AI11</f>
        <v>1123.6000000000001</v>
      </c>
      <c r="R7" s="741">
        <f>Elect!AK11</f>
        <v>3394.65</v>
      </c>
      <c r="S7" s="741">
        <f>Elect!AM11</f>
        <v>177.02</v>
      </c>
      <c r="T7" s="741">
        <f>Elect!AP11</f>
        <v>202.83750000000001</v>
      </c>
      <c r="U7" s="741">
        <f>Elect!AR11</f>
        <v>181</v>
      </c>
      <c r="V7" s="741">
        <f>Elect!AT11</f>
        <v>195</v>
      </c>
      <c r="W7" s="741">
        <f>Elect!AV11</f>
        <v>35</v>
      </c>
      <c r="X7" s="741">
        <f>Elect!AX11</f>
        <v>1136</v>
      </c>
      <c r="Y7" s="741">
        <f>Elect!AZ11</f>
        <v>52</v>
      </c>
      <c r="Z7" s="741">
        <f>Elect!BB11</f>
        <v>5302</v>
      </c>
      <c r="AA7" s="741">
        <f>Elect!BD11</f>
        <v>215</v>
      </c>
      <c r="AB7" s="741">
        <f>Elect!BF11</f>
        <v>120</v>
      </c>
      <c r="AC7" s="741">
        <f>Elect!BH11</f>
        <v>5915.9</v>
      </c>
      <c r="AD7" s="741">
        <f>Elect!BL11</f>
        <v>57</v>
      </c>
      <c r="AE7" s="741">
        <f>Elect!BN11</f>
        <v>1628</v>
      </c>
      <c r="AF7" s="741">
        <f>Elect!BP11</f>
        <v>110</v>
      </c>
      <c r="AG7" s="741">
        <f>Elect!BR11</f>
        <v>200</v>
      </c>
      <c r="AH7" s="806"/>
      <c r="AI7" s="741">
        <f>Water!C12</f>
        <v>0</v>
      </c>
      <c r="AJ7" s="741">
        <f>Water!E12</f>
        <v>440.79999999999995</v>
      </c>
      <c r="AK7" s="741">
        <f>Water!G12</f>
        <v>102.66</v>
      </c>
      <c r="AL7" s="806"/>
      <c r="AM7" s="741">
        <f>Gas!C12</f>
        <v>189.74</v>
      </c>
      <c r="AN7" s="741">
        <f>Gas!E12</f>
        <v>227.49999999999997</v>
      </c>
      <c r="AO7" s="741">
        <f>Gas!G12</f>
        <v>93</v>
      </c>
      <c r="AP7" s="748">
        <v>164</v>
      </c>
    </row>
    <row r="8" spans="1:42" ht="12.75" customHeight="1">
      <c r="A8" s="754" t="s">
        <v>11</v>
      </c>
      <c r="B8" s="732">
        <f t="shared" si="0"/>
        <v>7</v>
      </c>
      <c r="C8" s="773">
        <v>8</v>
      </c>
      <c r="D8" s="753">
        <v>2021</v>
      </c>
      <c r="E8" s="806"/>
      <c r="F8" s="741">
        <f>Elect!J12</f>
        <v>5895</v>
      </c>
      <c r="G8" s="741">
        <f>Elect!K12</f>
        <v>3550</v>
      </c>
      <c r="H8" s="741">
        <f>Elect!Q12</f>
        <v>600</v>
      </c>
      <c r="I8" s="741">
        <f>Elect!S12</f>
        <v>141</v>
      </c>
      <c r="J8" s="741">
        <f>Elect!U12</f>
        <v>286</v>
      </c>
      <c r="K8" s="741">
        <f>Elect!W12</f>
        <v>3815.4700000000003</v>
      </c>
      <c r="L8" s="741">
        <f>Elect!Y12</f>
        <v>1369.52</v>
      </c>
      <c r="M8" s="741">
        <f>Elect!AA12</f>
        <v>2816.9500000000003</v>
      </c>
      <c r="N8" s="741">
        <f>Elect!AC12</f>
        <v>15.370000000000001</v>
      </c>
      <c r="O8" s="741">
        <f>Elect!AE12</f>
        <v>1905.88</v>
      </c>
      <c r="P8" s="741">
        <f>Elect!AG12</f>
        <v>10.600000000000001</v>
      </c>
      <c r="Q8" s="741">
        <f>Elect!AI12</f>
        <v>1167.5900000000001</v>
      </c>
      <c r="R8" s="741">
        <f>Elect!AK12</f>
        <v>4259.6100000000006</v>
      </c>
      <c r="S8" s="741">
        <f>Elect!AM12</f>
        <v>181.26000000000002</v>
      </c>
      <c r="T8" s="741">
        <f>Elect!AP12</f>
        <v>202.05</v>
      </c>
      <c r="U8" s="741">
        <f>Elect!AR12</f>
        <v>172</v>
      </c>
      <c r="V8" s="741">
        <f>Elect!AT12</f>
        <v>209</v>
      </c>
      <c r="W8" s="741">
        <f>Elect!AV12</f>
        <v>43</v>
      </c>
      <c r="X8" s="741">
        <f>Elect!AX12</f>
        <v>1137</v>
      </c>
      <c r="Y8" s="741">
        <f>Elect!AZ12</f>
        <v>78</v>
      </c>
      <c r="Z8" s="741">
        <f>Elect!BB12</f>
        <v>4719</v>
      </c>
      <c r="AA8" s="741">
        <f>Elect!BD12</f>
        <v>247</v>
      </c>
      <c r="AB8" s="741">
        <f>Elect!BF12</f>
        <v>22</v>
      </c>
      <c r="AC8" s="741">
        <f>Elect!BH12</f>
        <v>6032.4</v>
      </c>
      <c r="AD8" s="741">
        <f>Elect!BL12</f>
        <v>60</v>
      </c>
      <c r="AE8" s="741">
        <f>Elect!BN12</f>
        <v>1808</v>
      </c>
      <c r="AF8" s="741">
        <f>Elect!BP12</f>
        <v>120</v>
      </c>
      <c r="AG8" s="741">
        <f>Elect!BR12</f>
        <v>194</v>
      </c>
      <c r="AH8" s="806"/>
      <c r="AI8" s="741">
        <f>Water!C13</f>
        <v>0</v>
      </c>
      <c r="AJ8" s="741">
        <f>Water!E13</f>
        <v>440.79999999999995</v>
      </c>
      <c r="AK8" s="741">
        <f>Water!G13</f>
        <v>93.96</v>
      </c>
      <c r="AL8" s="806"/>
      <c r="AM8" s="741">
        <f>Gas!C13</f>
        <v>912.66000000000008</v>
      </c>
      <c r="AN8" s="741">
        <f>Gas!E13</f>
        <v>226.1</v>
      </c>
      <c r="AO8" s="741">
        <f>Gas!G13</f>
        <v>99.666666666977108</v>
      </c>
      <c r="AP8" s="748">
        <v>164</v>
      </c>
    </row>
    <row r="9" spans="1:42" ht="12.75" customHeight="1">
      <c r="A9" s="754" t="s">
        <v>11</v>
      </c>
      <c r="B9" s="732">
        <f t="shared" si="0"/>
        <v>8</v>
      </c>
      <c r="C9" s="773">
        <v>8</v>
      </c>
      <c r="D9" s="753">
        <v>2021</v>
      </c>
      <c r="E9" s="806"/>
      <c r="F9" s="741">
        <f>Elect!J13</f>
        <v>5447</v>
      </c>
      <c r="G9" s="741">
        <f>Elect!K13</f>
        <v>3338</v>
      </c>
      <c r="H9" s="741">
        <f>Elect!Q13</f>
        <v>750</v>
      </c>
      <c r="I9" s="741">
        <f>Elect!S13</f>
        <v>138</v>
      </c>
      <c r="J9" s="741">
        <f>Elect!U13</f>
        <v>269</v>
      </c>
      <c r="K9" s="741">
        <f>Elect!W13</f>
        <v>4253.7800000000007</v>
      </c>
      <c r="L9" s="741">
        <f>Elect!Y13</f>
        <v>0</v>
      </c>
      <c r="M9" s="741">
        <f>Elect!AA13</f>
        <v>3816.53</v>
      </c>
      <c r="N9" s="741">
        <f>Elect!AC13</f>
        <v>0</v>
      </c>
      <c r="O9" s="741">
        <f>Elect!AE13</f>
        <v>1836.98</v>
      </c>
      <c r="P9" s="741">
        <f>Elect!AG13</f>
        <v>9.5400000000000009</v>
      </c>
      <c r="Q9" s="741">
        <f>Elect!AI13</f>
        <v>1091.27</v>
      </c>
      <c r="R9" s="741">
        <f>Elect!AK13</f>
        <v>3774.13</v>
      </c>
      <c r="S9" s="741">
        <f>Elect!AM13</f>
        <v>171.19</v>
      </c>
      <c r="T9" s="741">
        <f>Elect!AP13</f>
        <v>190.46250000000001</v>
      </c>
      <c r="U9" s="741">
        <f>Elect!AR13</f>
        <v>165</v>
      </c>
      <c r="V9" s="741">
        <f>Elect!AT13</f>
        <v>183</v>
      </c>
      <c r="W9" s="741">
        <f>Elect!AV13</f>
        <v>78</v>
      </c>
      <c r="X9" s="741">
        <f>Elect!AX13</f>
        <v>1042</v>
      </c>
      <c r="Y9" s="741">
        <f>Elect!AZ13</f>
        <v>75</v>
      </c>
      <c r="Z9" s="741">
        <f>Elect!BB13</f>
        <v>4795</v>
      </c>
      <c r="AA9" s="741">
        <f>Elect!BD13</f>
        <v>218</v>
      </c>
      <c r="AB9" s="741">
        <f>Elect!BF13</f>
        <v>299</v>
      </c>
      <c r="AC9" s="741">
        <f>Elect!BH13</f>
        <v>5786.65</v>
      </c>
      <c r="AD9" s="741">
        <f>Elect!BL13</f>
        <v>59</v>
      </c>
      <c r="AE9" s="741">
        <f>Elect!BN13</f>
        <v>1745</v>
      </c>
      <c r="AF9" s="741">
        <f>Elect!BP13</f>
        <v>118</v>
      </c>
      <c r="AG9" s="741">
        <f>Elect!BR13</f>
        <v>210</v>
      </c>
      <c r="AH9" s="806"/>
      <c r="AI9" s="741">
        <f>Water!C14</f>
        <v>0</v>
      </c>
      <c r="AJ9" s="741">
        <f>Water!E14</f>
        <v>562.59999999999991</v>
      </c>
      <c r="AK9" s="741">
        <f>Water!G14</f>
        <v>132.23999999999998</v>
      </c>
      <c r="AL9" s="806"/>
      <c r="AM9" s="741">
        <f>Gas!C14</f>
        <v>877.68000000000006</v>
      </c>
      <c r="AN9" s="741">
        <f>Gas!E14</f>
        <v>230.99999999999997</v>
      </c>
      <c r="AO9" s="741">
        <f>Gas!G14</f>
        <v>104.33333333302289</v>
      </c>
      <c r="AP9" s="748">
        <v>164</v>
      </c>
    </row>
    <row r="10" spans="1:42" ht="12.75" customHeight="1">
      <c r="A10" s="754" t="s">
        <v>11</v>
      </c>
      <c r="B10" s="732">
        <f t="shared" si="0"/>
        <v>9</v>
      </c>
      <c r="C10" s="773">
        <v>8</v>
      </c>
      <c r="D10" s="753">
        <v>2021</v>
      </c>
      <c r="E10" s="806"/>
      <c r="F10" s="741">
        <f>Elect!J14</f>
        <v>5774</v>
      </c>
      <c r="G10" s="741">
        <f>Elect!K14</f>
        <v>3512</v>
      </c>
      <c r="H10" s="741">
        <f>Elect!Q14</f>
        <v>600</v>
      </c>
      <c r="I10" s="741">
        <f>Elect!S14</f>
        <v>138</v>
      </c>
      <c r="J10" s="741">
        <f>Elect!U14</f>
        <v>266</v>
      </c>
      <c r="K10" s="741">
        <f>Elect!W14</f>
        <v>3834.55</v>
      </c>
      <c r="L10" s="741">
        <f>Elect!Y14</f>
        <v>1965.24</v>
      </c>
      <c r="M10" s="741">
        <f>Elect!AA14</f>
        <v>2265.2200000000003</v>
      </c>
      <c r="N10" s="741">
        <f>Elect!AC14</f>
        <v>0</v>
      </c>
      <c r="O10" s="741">
        <f>Elect!AE14</f>
        <v>1893.16</v>
      </c>
      <c r="P10" s="741">
        <f>Elect!AG14</f>
        <v>10.600000000000001</v>
      </c>
      <c r="Q10" s="741">
        <f>Elect!AI14</f>
        <v>1117.77</v>
      </c>
      <c r="R10" s="741">
        <f>Elect!AK14</f>
        <v>4255.9000000000005</v>
      </c>
      <c r="S10" s="741">
        <f>Elect!AM14</f>
        <v>174.37</v>
      </c>
      <c r="T10" s="741">
        <f>Elect!AP14</f>
        <v>200.70000000000002</v>
      </c>
      <c r="U10" s="741">
        <f>Elect!AR14</f>
        <v>169</v>
      </c>
      <c r="V10" s="741">
        <f>Elect!AT14</f>
        <v>179</v>
      </c>
      <c r="W10" s="741">
        <f>Elect!AV14</f>
        <v>55</v>
      </c>
      <c r="X10" s="741">
        <f>Elect!AX14</f>
        <v>1072</v>
      </c>
      <c r="Y10" s="741">
        <f>Elect!AZ14</f>
        <v>76</v>
      </c>
      <c r="Z10" s="741">
        <f>Elect!BB14</f>
        <v>4651</v>
      </c>
      <c r="AA10" s="741">
        <f>Elect!BD14</f>
        <v>209</v>
      </c>
      <c r="AB10" s="741">
        <f>Elect!BF14</f>
        <v>73</v>
      </c>
      <c r="AC10" s="741">
        <f>Elect!BH14</f>
        <v>5906.8</v>
      </c>
      <c r="AD10" s="741">
        <f>Elect!BL14</f>
        <v>58</v>
      </c>
      <c r="AE10" s="741">
        <f>Elect!BN14</f>
        <v>1769</v>
      </c>
      <c r="AF10" s="741">
        <f>Elect!BP14</f>
        <v>107</v>
      </c>
      <c r="AG10" s="741">
        <f>Elect!BR14</f>
        <v>208</v>
      </c>
      <c r="AH10" s="806"/>
      <c r="AI10" s="741">
        <f>Water!C15</f>
        <v>0</v>
      </c>
      <c r="AJ10" s="741">
        <f>Water!E15</f>
        <v>522</v>
      </c>
      <c r="AK10" s="741">
        <f>Water!G15</f>
        <v>155.44</v>
      </c>
      <c r="AL10" s="806"/>
      <c r="AM10" s="741">
        <f>Gas!C15</f>
        <v>610.56000000000006</v>
      </c>
      <c r="AN10" s="741">
        <f>Gas!E15</f>
        <v>230.29999999999998</v>
      </c>
      <c r="AO10" s="741">
        <f>Gas!G15</f>
        <v>91</v>
      </c>
      <c r="AP10" s="748">
        <v>164</v>
      </c>
    </row>
    <row r="11" spans="1:42" ht="12.75" customHeight="1">
      <c r="A11" s="754" t="s">
        <v>11</v>
      </c>
      <c r="B11" s="732">
        <f t="shared" si="0"/>
        <v>10</v>
      </c>
      <c r="C11" s="773">
        <v>8</v>
      </c>
      <c r="D11" s="753">
        <v>2021</v>
      </c>
      <c r="E11" s="806"/>
      <c r="F11" s="741">
        <f>Elect!J15</f>
        <v>5674</v>
      </c>
      <c r="G11" s="741">
        <f>Elect!K15</f>
        <v>3674</v>
      </c>
      <c r="H11" s="741">
        <f>Elect!Q15</f>
        <v>600</v>
      </c>
      <c r="I11" s="741">
        <f>Elect!S15</f>
        <v>140</v>
      </c>
      <c r="J11" s="741">
        <f>Elect!U15</f>
        <v>274</v>
      </c>
      <c r="K11" s="741">
        <f>Elect!W15</f>
        <v>4223.04</v>
      </c>
      <c r="L11" s="741">
        <f>Elect!Y15</f>
        <v>3093.0800000000004</v>
      </c>
      <c r="M11" s="741">
        <f>Elect!AA15</f>
        <v>1383.8300000000002</v>
      </c>
      <c r="N11" s="741">
        <f>Elect!AC15</f>
        <v>39.75</v>
      </c>
      <c r="O11" s="741">
        <f>Elect!AE15</f>
        <v>1968.42</v>
      </c>
      <c r="P11" s="741">
        <f>Elect!AG15</f>
        <v>10.07</v>
      </c>
      <c r="Q11" s="741">
        <f>Elect!AI15</f>
        <v>1164.94</v>
      </c>
      <c r="R11" s="741">
        <f>Elect!AK15</f>
        <v>4393.7</v>
      </c>
      <c r="S11" s="741">
        <f>Elect!AM15</f>
        <v>181.26000000000002</v>
      </c>
      <c r="T11" s="741">
        <f>Elect!AP15</f>
        <v>209.8125</v>
      </c>
      <c r="U11" s="741">
        <f>Elect!AR15</f>
        <v>165</v>
      </c>
      <c r="V11" s="741">
        <f>Elect!AT15</f>
        <v>179</v>
      </c>
      <c r="W11" s="741">
        <f>Elect!AV15</f>
        <v>69</v>
      </c>
      <c r="X11" s="741">
        <f>Elect!AX15</f>
        <v>1165</v>
      </c>
      <c r="Y11" s="741">
        <f>Elect!AZ15</f>
        <v>74</v>
      </c>
      <c r="Z11" s="741">
        <f>Elect!BB15</f>
        <v>4700</v>
      </c>
      <c r="AA11" s="741">
        <f>Elect!BD15</f>
        <v>226</v>
      </c>
      <c r="AB11" s="741">
        <f>Elect!BF15</f>
        <v>124</v>
      </c>
      <c r="AC11" s="741">
        <f>Elect!BH15</f>
        <v>6314.6</v>
      </c>
      <c r="AD11" s="741">
        <f>Elect!BL15</f>
        <v>52</v>
      </c>
      <c r="AE11" s="741">
        <f>Elect!BN15</f>
        <v>1822</v>
      </c>
      <c r="AF11" s="741">
        <f>Elect!BP15</f>
        <v>110</v>
      </c>
      <c r="AG11" s="741">
        <f>Elect!BR15</f>
        <v>218</v>
      </c>
      <c r="AH11" s="806"/>
      <c r="AI11" s="741">
        <f>Water!C16</f>
        <v>0</v>
      </c>
      <c r="AJ11" s="741">
        <f>Water!E16</f>
        <v>458.2</v>
      </c>
      <c r="AK11" s="741">
        <f>Water!G16</f>
        <v>43.5</v>
      </c>
      <c r="AL11" s="806"/>
      <c r="AM11" s="741">
        <f>Gas!C16</f>
        <v>700.66000000000008</v>
      </c>
      <c r="AN11" s="741">
        <f>Gas!E16</f>
        <v>221.2</v>
      </c>
      <c r="AO11" s="741">
        <f>Gas!G16</f>
        <v>91</v>
      </c>
      <c r="AP11" s="748">
        <v>164</v>
      </c>
    </row>
    <row r="12" spans="1:42" ht="12.75" customHeight="1">
      <c r="A12" s="754" t="s">
        <v>11</v>
      </c>
      <c r="B12" s="732">
        <f t="shared" si="0"/>
        <v>11</v>
      </c>
      <c r="C12" s="773">
        <v>8</v>
      </c>
      <c r="D12" s="753">
        <v>2021</v>
      </c>
      <c r="E12" s="806"/>
      <c r="F12" s="741">
        <f>Elect!J16</f>
        <v>5894</v>
      </c>
      <c r="G12" s="741">
        <f>Elect!K16</f>
        <v>3856</v>
      </c>
      <c r="H12" s="741">
        <f>Elect!Q16</f>
        <v>630</v>
      </c>
      <c r="I12" s="741">
        <f>Elect!S16</f>
        <v>141</v>
      </c>
      <c r="J12" s="741">
        <f>Elect!U16</f>
        <v>281</v>
      </c>
      <c r="K12" s="741">
        <f>Elect!W16</f>
        <v>4364.55</v>
      </c>
      <c r="L12" s="741">
        <f>Elect!Y16</f>
        <v>4208.2</v>
      </c>
      <c r="M12" s="741">
        <f>Elect!AA16</f>
        <v>115.01</v>
      </c>
      <c r="N12" s="741">
        <f>Elect!AC16</f>
        <v>0</v>
      </c>
      <c r="O12" s="741">
        <f>Elect!AE16</f>
        <v>1839.63</v>
      </c>
      <c r="P12" s="741">
        <f>Elect!AG16</f>
        <v>10.07</v>
      </c>
      <c r="Q12" s="741">
        <f>Elect!AI16</f>
        <v>1166.53</v>
      </c>
      <c r="R12" s="741">
        <f>Elect!AK16</f>
        <v>4200.25</v>
      </c>
      <c r="S12" s="741">
        <f>Elect!AM16</f>
        <v>179.14000000000001</v>
      </c>
      <c r="T12" s="741">
        <f>Elect!AP16</f>
        <v>160.3125</v>
      </c>
      <c r="U12" s="741">
        <f>Elect!AR16</f>
        <v>170</v>
      </c>
      <c r="V12" s="741">
        <f>Elect!AT16</f>
        <v>172</v>
      </c>
      <c r="W12" s="741">
        <f>Elect!AV16</f>
        <v>86</v>
      </c>
      <c r="X12" s="741">
        <f>Elect!AX16</f>
        <v>1188</v>
      </c>
      <c r="Y12" s="741">
        <f>Elect!AZ16</f>
        <v>75</v>
      </c>
      <c r="Z12" s="741">
        <f>Elect!BB16</f>
        <v>4883</v>
      </c>
      <c r="AA12" s="741">
        <f>Elect!BD16</f>
        <v>211</v>
      </c>
      <c r="AB12" s="741">
        <f>Elect!BF16</f>
        <v>95</v>
      </c>
      <c r="AC12" s="741">
        <f>Elect!BH16</f>
        <v>5906.4000000000005</v>
      </c>
      <c r="AD12" s="741">
        <f>Elect!BL16</f>
        <v>74</v>
      </c>
      <c r="AE12" s="741">
        <f>Elect!BN16</f>
        <v>1677</v>
      </c>
      <c r="AF12" s="741">
        <f>Elect!BP16</f>
        <v>111</v>
      </c>
      <c r="AG12" s="741">
        <f>Elect!BR16</f>
        <v>205</v>
      </c>
      <c r="AH12" s="806"/>
      <c r="AI12" s="741">
        <f>Water!C17</f>
        <v>0</v>
      </c>
      <c r="AJ12" s="741">
        <f>Water!E17</f>
        <v>492.99999999999994</v>
      </c>
      <c r="AK12" s="741">
        <f>Water!G17</f>
        <v>19.139999999999997</v>
      </c>
      <c r="AL12" s="806"/>
      <c r="AM12" s="741">
        <f>Gas!C17</f>
        <v>700.66000000000008</v>
      </c>
      <c r="AN12" s="741">
        <f>Gas!E17</f>
        <v>233.1</v>
      </c>
      <c r="AO12" s="741">
        <f>Gas!G17</f>
        <v>91</v>
      </c>
      <c r="AP12" s="748">
        <v>164</v>
      </c>
    </row>
    <row r="13" spans="1:42" ht="12.75" customHeight="1">
      <c r="A13" s="754" t="s">
        <v>11</v>
      </c>
      <c r="B13" s="732">
        <f t="shared" si="0"/>
        <v>12</v>
      </c>
      <c r="C13" s="773">
        <v>8</v>
      </c>
      <c r="D13" s="753">
        <v>2021</v>
      </c>
      <c r="E13" s="806"/>
      <c r="F13" s="741">
        <f>Elect!J17</f>
        <v>5756</v>
      </c>
      <c r="G13" s="741">
        <f>Elect!K17</f>
        <v>3440</v>
      </c>
      <c r="H13" s="741">
        <f>Elect!Q17</f>
        <v>630</v>
      </c>
      <c r="I13" s="741">
        <f>Elect!S17</f>
        <v>143</v>
      </c>
      <c r="J13" s="741">
        <f>Elect!U17</f>
        <v>280</v>
      </c>
      <c r="K13" s="741">
        <f>Elect!W17</f>
        <v>4094.25</v>
      </c>
      <c r="L13" s="741">
        <f>Elect!Y17</f>
        <v>1163.8800000000001</v>
      </c>
      <c r="M13" s="741">
        <f>Elect!AA17</f>
        <v>2725.79</v>
      </c>
      <c r="N13" s="741">
        <f>Elect!AC17</f>
        <v>0</v>
      </c>
      <c r="O13" s="741">
        <f>Elect!AE17</f>
        <v>1895.8100000000002</v>
      </c>
      <c r="P13" s="741">
        <f>Elect!AG17</f>
        <v>10.07</v>
      </c>
      <c r="Q13" s="741">
        <f>Elect!AI17</f>
        <v>1067.42</v>
      </c>
      <c r="R13" s="741">
        <f>Elect!AK17</f>
        <v>3846.21</v>
      </c>
      <c r="S13" s="741">
        <f>Elect!AM17</f>
        <v>165.89000000000001</v>
      </c>
      <c r="T13" s="741">
        <f>Elect!AP17</f>
        <v>193.95000000000002</v>
      </c>
      <c r="U13" s="741">
        <f>Elect!AR17</f>
        <v>169</v>
      </c>
      <c r="V13" s="741">
        <f>Elect!AT17</f>
        <v>159</v>
      </c>
      <c r="W13" s="741">
        <f>Elect!AV17</f>
        <v>46</v>
      </c>
      <c r="X13" s="741">
        <f>Elect!AX17</f>
        <v>1102</v>
      </c>
      <c r="Y13" s="741">
        <f>Elect!AZ17</f>
        <v>64</v>
      </c>
      <c r="Z13" s="741">
        <f>Elect!BB17</f>
        <v>5084</v>
      </c>
      <c r="AA13" s="741">
        <f>Elect!BD17</f>
        <v>217</v>
      </c>
      <c r="AB13" s="741">
        <f>Elect!BF17</f>
        <v>108</v>
      </c>
      <c r="AC13" s="741">
        <f>Elect!BH17</f>
        <v>6123.6</v>
      </c>
      <c r="AD13" s="741">
        <f>Elect!BL17</f>
        <v>88</v>
      </c>
      <c r="AE13" s="741">
        <f>Elect!BN17</f>
        <v>1756</v>
      </c>
      <c r="AF13" s="741">
        <f>Elect!BP17</f>
        <v>116</v>
      </c>
      <c r="AG13" s="741">
        <f>Elect!BR17</f>
        <v>211</v>
      </c>
      <c r="AH13" s="806"/>
      <c r="AI13" s="741">
        <f>Water!C18</f>
        <v>0</v>
      </c>
      <c r="AJ13" s="741">
        <f>Water!E18</f>
        <v>492.99999999999994</v>
      </c>
      <c r="AK13" s="741">
        <f>Water!G18</f>
        <v>44.08</v>
      </c>
      <c r="AL13" s="806"/>
      <c r="AM13" s="741">
        <f>Gas!C18</f>
        <v>700.66000000000008</v>
      </c>
      <c r="AN13" s="741">
        <f>Gas!E18</f>
        <v>228.2</v>
      </c>
      <c r="AO13" s="741">
        <f>Gas!G18</f>
        <v>91</v>
      </c>
      <c r="AP13" s="748">
        <v>164</v>
      </c>
    </row>
    <row r="14" spans="1:42" ht="12.75" customHeight="1">
      <c r="A14" s="754" t="s">
        <v>11</v>
      </c>
      <c r="B14" s="732">
        <f t="shared" si="0"/>
        <v>13</v>
      </c>
      <c r="C14" s="773">
        <v>8</v>
      </c>
      <c r="D14" s="753">
        <v>2021</v>
      </c>
      <c r="E14" s="806"/>
      <c r="F14" s="741">
        <f>Elect!J18</f>
        <v>5391</v>
      </c>
      <c r="G14" s="741">
        <f>Elect!K18</f>
        <v>3373</v>
      </c>
      <c r="H14" s="741">
        <f>Elect!Q18</f>
        <v>630</v>
      </c>
      <c r="I14" s="741">
        <f>Elect!S18</f>
        <v>134</v>
      </c>
      <c r="J14" s="741">
        <f>Elect!U18</f>
        <v>259</v>
      </c>
      <c r="K14" s="741">
        <f>Elect!W18</f>
        <v>4095.3100000000004</v>
      </c>
      <c r="L14" s="741">
        <f>Elect!Y18</f>
        <v>2153.92</v>
      </c>
      <c r="M14" s="741">
        <f>Elect!AA18</f>
        <v>1769.14</v>
      </c>
      <c r="N14" s="741">
        <f>Elect!AC18</f>
        <v>0</v>
      </c>
      <c r="O14" s="741">
        <f>Elect!AE18</f>
        <v>1820.5500000000002</v>
      </c>
      <c r="P14" s="741">
        <f>Elect!AG18</f>
        <v>10.07</v>
      </c>
      <c r="Q14" s="741">
        <f>Elect!AI18</f>
        <v>1069.01</v>
      </c>
      <c r="R14" s="741">
        <f>Elect!AK18</f>
        <v>3898.15</v>
      </c>
      <c r="S14" s="741">
        <f>Elect!AM18</f>
        <v>166.95000000000002</v>
      </c>
      <c r="T14" s="741">
        <f>Elect!AP18</f>
        <v>214.20000000000002</v>
      </c>
      <c r="U14" s="741">
        <f>Elect!AR18</f>
        <v>173</v>
      </c>
      <c r="V14" s="741">
        <f>Elect!AT18</f>
        <v>162</v>
      </c>
      <c r="W14" s="741">
        <f>Elect!AV18</f>
        <v>38</v>
      </c>
      <c r="X14" s="741">
        <f>Elect!AX18</f>
        <v>1107</v>
      </c>
      <c r="Y14" s="741">
        <f>Elect!AZ18</f>
        <v>55</v>
      </c>
      <c r="Z14" s="741">
        <f>Elect!BB18</f>
        <v>4412</v>
      </c>
      <c r="AA14" s="741">
        <f>Elect!BD18</f>
        <v>195</v>
      </c>
      <c r="AB14" s="741">
        <f>Elect!BF18</f>
        <v>53</v>
      </c>
      <c r="AC14" s="741">
        <f>Elect!BH18</f>
        <v>5937.5</v>
      </c>
      <c r="AD14" s="741">
        <f>Elect!BL18</f>
        <v>73</v>
      </c>
      <c r="AE14" s="741">
        <f>Elect!BN18</f>
        <v>1668</v>
      </c>
      <c r="AF14" s="741">
        <f>Elect!BP18</f>
        <v>102</v>
      </c>
      <c r="AG14" s="741">
        <f>Elect!BR18</f>
        <v>201</v>
      </c>
      <c r="AH14" s="806"/>
      <c r="AI14" s="741">
        <f>Water!C19</f>
        <v>0</v>
      </c>
      <c r="AJ14" s="741">
        <f>Water!E19</f>
        <v>492.99999999999994</v>
      </c>
      <c r="AK14" s="741">
        <f>Water!G19</f>
        <v>5.8</v>
      </c>
      <c r="AL14" s="806"/>
      <c r="AM14" s="741">
        <f>Gas!C19</f>
        <v>699.6</v>
      </c>
      <c r="AN14" s="741">
        <f>Gas!E19</f>
        <v>224</v>
      </c>
      <c r="AO14" s="741">
        <f>Gas!G19</f>
        <v>91</v>
      </c>
      <c r="AP14" s="748">
        <v>164</v>
      </c>
    </row>
    <row r="15" spans="1:42" ht="12.75" customHeight="1">
      <c r="A15" s="754" t="s">
        <v>11</v>
      </c>
      <c r="B15" s="732">
        <f t="shared" si="0"/>
        <v>14</v>
      </c>
      <c r="C15" s="773">
        <v>8</v>
      </c>
      <c r="D15" s="753">
        <v>2021</v>
      </c>
      <c r="E15" s="806"/>
      <c r="F15" s="741">
        <f>Elect!J19</f>
        <v>5236</v>
      </c>
      <c r="G15" s="741">
        <f>Elect!K19</f>
        <v>3535</v>
      </c>
      <c r="H15" s="741">
        <f>Elect!Q19</f>
        <v>600</v>
      </c>
      <c r="I15" s="741">
        <f>Elect!S19</f>
        <v>133</v>
      </c>
      <c r="J15" s="741">
        <f>Elect!U19</f>
        <v>262</v>
      </c>
      <c r="K15" s="741">
        <f>Elect!W19</f>
        <v>3574.32</v>
      </c>
      <c r="L15" s="741">
        <f>Elect!Y19</f>
        <v>3959.63</v>
      </c>
      <c r="M15" s="741">
        <f>Elect!AA19</f>
        <v>0</v>
      </c>
      <c r="N15" s="741">
        <f>Elect!AC19</f>
        <v>0</v>
      </c>
      <c r="O15" s="741">
        <f>Elect!AE19</f>
        <v>1660.49</v>
      </c>
      <c r="P15" s="741">
        <f>Elect!AG19</f>
        <v>10.07</v>
      </c>
      <c r="Q15" s="741">
        <f>Elect!AI19</f>
        <v>1118.8300000000002</v>
      </c>
      <c r="R15" s="741">
        <f>Elect!AK19</f>
        <v>4063.51</v>
      </c>
      <c r="S15" s="741">
        <f>Elect!AM19</f>
        <v>173.84</v>
      </c>
      <c r="T15" s="741">
        <f>Elect!AP19</f>
        <v>221.28749999999999</v>
      </c>
      <c r="U15" s="741">
        <f>Elect!AR19</f>
        <v>160</v>
      </c>
      <c r="V15" s="741">
        <f>Elect!AT19</f>
        <v>177</v>
      </c>
      <c r="W15" s="741">
        <f>Elect!AV19</f>
        <v>48</v>
      </c>
      <c r="X15" s="741">
        <f>Elect!AX19</f>
        <v>1114</v>
      </c>
      <c r="Y15" s="741">
        <f>Elect!AZ19</f>
        <v>61</v>
      </c>
      <c r="Z15" s="741">
        <f>Elect!BB19</f>
        <v>4864</v>
      </c>
      <c r="AA15" s="741">
        <f>Elect!BD19</f>
        <v>200</v>
      </c>
      <c r="AB15" s="741">
        <f>Elect!BF19</f>
        <v>51</v>
      </c>
      <c r="AC15" s="741">
        <f>Elect!BH19</f>
        <v>5891.5</v>
      </c>
      <c r="AD15" s="741">
        <f>Elect!BL19</f>
        <v>58</v>
      </c>
      <c r="AE15" s="741">
        <f>Elect!BN19</f>
        <v>1765</v>
      </c>
      <c r="AF15" s="741">
        <f>Elect!BP19</f>
        <v>105</v>
      </c>
      <c r="AG15" s="741">
        <f>Elect!BR19</f>
        <v>206</v>
      </c>
      <c r="AH15" s="806"/>
      <c r="AI15" s="741">
        <f>Water!C20</f>
        <v>0</v>
      </c>
      <c r="AJ15" s="741">
        <f>Water!E20</f>
        <v>492.99999999999994</v>
      </c>
      <c r="AK15" s="741">
        <f>Water!G20</f>
        <v>0</v>
      </c>
      <c r="AL15" s="806"/>
      <c r="AM15" s="741">
        <f>Gas!C20</f>
        <v>743.06000000000006</v>
      </c>
      <c r="AN15" s="741">
        <f>Gas!E20</f>
        <v>232.39999999999998</v>
      </c>
      <c r="AO15" s="741">
        <f>Gas!G20</f>
        <v>91</v>
      </c>
      <c r="AP15" s="748">
        <v>164</v>
      </c>
    </row>
    <row r="16" spans="1:42" ht="12.75" customHeight="1">
      <c r="A16" s="754" t="s">
        <v>11</v>
      </c>
      <c r="B16" s="732">
        <f t="shared" si="0"/>
        <v>15</v>
      </c>
      <c r="C16" s="773">
        <v>8</v>
      </c>
      <c r="D16" s="753">
        <v>2021</v>
      </c>
      <c r="E16" s="806"/>
      <c r="F16" s="741">
        <f>Elect!J20</f>
        <v>5182</v>
      </c>
      <c r="G16" s="741">
        <f>Elect!K20</f>
        <v>3317</v>
      </c>
      <c r="H16" s="741">
        <f>Elect!Q20</f>
        <v>600</v>
      </c>
      <c r="I16" s="741">
        <f>Elect!S20</f>
        <v>138</v>
      </c>
      <c r="J16" s="741">
        <f>Elect!U20</f>
        <v>257</v>
      </c>
      <c r="K16" s="741">
        <f>Elect!W20</f>
        <v>906.83</v>
      </c>
      <c r="L16" s="741">
        <f>Elect!Y20</f>
        <v>3989.3100000000004</v>
      </c>
      <c r="M16" s="741">
        <f>Elect!AA20</f>
        <v>0</v>
      </c>
      <c r="N16" s="741">
        <f>Elect!AC20</f>
        <v>2793.63</v>
      </c>
      <c r="O16" s="741">
        <f>Elect!AE20</f>
        <v>1817.3700000000001</v>
      </c>
      <c r="P16" s="741">
        <f>Elect!AG20</f>
        <v>10.600000000000001</v>
      </c>
      <c r="Q16" s="741">
        <f>Elect!AI20</f>
        <v>1098.1600000000001</v>
      </c>
      <c r="R16" s="741">
        <f>Elect!AK20</f>
        <v>4009.98</v>
      </c>
      <c r="S16" s="741">
        <f>Elect!AM20</f>
        <v>170.13</v>
      </c>
      <c r="T16" s="741">
        <f>Elect!AP20</f>
        <v>216.45000000000002</v>
      </c>
      <c r="U16" s="741">
        <f>Elect!AR20</f>
        <v>185</v>
      </c>
      <c r="V16" s="741">
        <f>Elect!AT20</f>
        <v>149</v>
      </c>
      <c r="W16" s="741">
        <f>Elect!AV20</f>
        <v>67</v>
      </c>
      <c r="X16" s="741">
        <f>Elect!AX20</f>
        <v>1117</v>
      </c>
      <c r="Y16" s="741">
        <f>Elect!AZ20</f>
        <v>57</v>
      </c>
      <c r="Z16" s="741">
        <f>Elect!BB20</f>
        <v>4895</v>
      </c>
      <c r="AA16" s="741">
        <f>Elect!BD20</f>
        <v>201</v>
      </c>
      <c r="AB16" s="741">
        <f>Elect!BF20</f>
        <v>45</v>
      </c>
      <c r="AC16" s="741">
        <f>Elect!BH20</f>
        <v>5930.05</v>
      </c>
      <c r="AD16" s="741">
        <f>Elect!BL20</f>
        <v>58</v>
      </c>
      <c r="AE16" s="741">
        <f>Elect!BN20</f>
        <v>1740</v>
      </c>
      <c r="AF16" s="741">
        <f>Elect!BP20</f>
        <v>111</v>
      </c>
      <c r="AG16" s="741">
        <f>Elect!BR20</f>
        <v>205</v>
      </c>
      <c r="AH16" s="806"/>
      <c r="AI16" s="741">
        <f>Water!C21</f>
        <v>0</v>
      </c>
      <c r="AJ16" s="741">
        <f>Water!E21</f>
        <v>800.4</v>
      </c>
      <c r="AK16" s="741">
        <f>Water!G21</f>
        <v>0</v>
      </c>
      <c r="AL16" s="806"/>
      <c r="AM16" s="741">
        <f>Gas!C21</f>
        <v>1227.48</v>
      </c>
      <c r="AN16" s="741">
        <f>Gas!E21</f>
        <v>220.5</v>
      </c>
      <c r="AO16" s="741">
        <f>Gas!G21</f>
        <v>99</v>
      </c>
      <c r="AP16" s="748">
        <v>164</v>
      </c>
    </row>
    <row r="17" spans="1:42" ht="12.75" customHeight="1">
      <c r="A17" s="754" t="s">
        <v>11</v>
      </c>
      <c r="B17" s="732">
        <f t="shared" si="0"/>
        <v>16</v>
      </c>
      <c r="C17" s="773">
        <v>8</v>
      </c>
      <c r="D17" s="753">
        <v>2021</v>
      </c>
      <c r="E17" s="806"/>
      <c r="F17" s="741">
        <f>Elect!J21</f>
        <v>5035</v>
      </c>
      <c r="G17" s="741">
        <f>Elect!K21</f>
        <v>3407</v>
      </c>
      <c r="H17" s="741">
        <f>Elect!Q21</f>
        <v>570</v>
      </c>
      <c r="I17" s="741">
        <f>Elect!S21</f>
        <v>139</v>
      </c>
      <c r="J17" s="741">
        <f>Elect!U21</f>
        <v>267</v>
      </c>
      <c r="K17" s="741">
        <f>Elect!W21</f>
        <v>0</v>
      </c>
      <c r="L17" s="741">
        <f>Elect!Y21</f>
        <v>3735.44</v>
      </c>
      <c r="M17" s="741">
        <f>Elect!AA21</f>
        <v>0</v>
      </c>
      <c r="N17" s="741">
        <f>Elect!AC21</f>
        <v>3448.71</v>
      </c>
      <c r="O17" s="741">
        <f>Elect!AE21</f>
        <v>1789.2800000000002</v>
      </c>
      <c r="P17" s="741">
        <f>Elect!AG21</f>
        <v>10.600000000000001</v>
      </c>
      <c r="Q17" s="741">
        <f>Elect!AI21</f>
        <v>1141.0900000000001</v>
      </c>
      <c r="R17" s="741">
        <f>Elect!AK21</f>
        <v>3835.61</v>
      </c>
      <c r="S17" s="741">
        <f>Elect!AM21</f>
        <v>178.08</v>
      </c>
      <c r="T17" s="741">
        <f>Elect!AP21</f>
        <v>214.65</v>
      </c>
      <c r="U17" s="741">
        <f>Elect!AR21</f>
        <v>248</v>
      </c>
      <c r="V17" s="741">
        <f>Elect!AT21</f>
        <v>195</v>
      </c>
      <c r="W17" s="741">
        <f>Elect!AV21</f>
        <v>69</v>
      </c>
      <c r="X17" s="741">
        <f>Elect!AX21</f>
        <v>1123</v>
      </c>
      <c r="Y17" s="741">
        <f>Elect!AZ21</f>
        <v>55</v>
      </c>
      <c r="Z17" s="741">
        <f>Elect!BB21</f>
        <v>5115</v>
      </c>
      <c r="AA17" s="741">
        <f>Elect!BD21</f>
        <v>200</v>
      </c>
      <c r="AB17" s="741">
        <f>Elect!BF21</f>
        <v>50</v>
      </c>
      <c r="AC17" s="741">
        <f>Elect!BH21</f>
        <v>6638.55</v>
      </c>
      <c r="AD17" s="741">
        <f>Elect!BL21</f>
        <v>59</v>
      </c>
      <c r="AE17" s="741">
        <f>Elect!BN21</f>
        <v>901</v>
      </c>
      <c r="AF17" s="741">
        <f>Elect!BP21</f>
        <v>0</v>
      </c>
      <c r="AG17" s="741">
        <f>Elect!BR21</f>
        <v>0</v>
      </c>
      <c r="AH17" s="806"/>
      <c r="AI17" s="741">
        <f>Water!C22</f>
        <v>0</v>
      </c>
      <c r="AJ17" s="741">
        <f>Water!E22</f>
        <v>545.19999999999993</v>
      </c>
      <c r="AK17" s="741">
        <f>Water!G22</f>
        <v>0</v>
      </c>
      <c r="AL17" s="806"/>
      <c r="AM17" s="741">
        <f>Gas!C22</f>
        <v>719.74</v>
      </c>
      <c r="AN17" s="741">
        <f>Gas!E22</f>
        <v>253.39999999999998</v>
      </c>
      <c r="AO17" s="741">
        <f>Gas!G22</f>
        <v>113</v>
      </c>
      <c r="AP17" s="748">
        <v>164</v>
      </c>
    </row>
    <row r="18" spans="1:42" ht="12.75" customHeight="1">
      <c r="A18" s="754" t="s">
        <v>11</v>
      </c>
      <c r="B18" s="732">
        <f t="shared" si="0"/>
        <v>17</v>
      </c>
      <c r="C18" s="773">
        <v>8</v>
      </c>
      <c r="D18" s="753">
        <v>2021</v>
      </c>
      <c r="E18" s="806"/>
      <c r="F18" s="741">
        <f>Elect!J22</f>
        <v>5693</v>
      </c>
      <c r="G18" s="741">
        <f>Elect!K22</f>
        <v>3669</v>
      </c>
      <c r="H18" s="741">
        <f>Elect!Q22</f>
        <v>540</v>
      </c>
      <c r="I18" s="741">
        <f>Elect!S22</f>
        <v>135</v>
      </c>
      <c r="J18" s="741">
        <f>Elect!U22</f>
        <v>261</v>
      </c>
      <c r="K18" s="741">
        <f>Elect!W22</f>
        <v>0</v>
      </c>
      <c r="L18" s="741">
        <f>Elect!Y22</f>
        <v>4176.93</v>
      </c>
      <c r="M18" s="741">
        <f>Elect!AA22</f>
        <v>0</v>
      </c>
      <c r="N18" s="741">
        <f>Elect!AC22</f>
        <v>3672.3700000000003</v>
      </c>
      <c r="O18" s="741">
        <f>Elect!AE22</f>
        <v>1772.3200000000002</v>
      </c>
      <c r="P18" s="741">
        <f>Elect!AG22</f>
        <v>10.07</v>
      </c>
      <c r="Q18" s="741">
        <f>Elect!AI22</f>
        <v>1134.73</v>
      </c>
      <c r="R18" s="741">
        <f>Elect!AK22</f>
        <v>4154.67</v>
      </c>
      <c r="S18" s="741">
        <f>Elect!AM22</f>
        <v>169.07000000000002</v>
      </c>
      <c r="T18" s="741">
        <f>Elect!AP22</f>
        <v>206.88750000000002</v>
      </c>
      <c r="U18" s="741">
        <f>Elect!AR22</f>
        <v>176</v>
      </c>
      <c r="V18" s="741">
        <f>Elect!AT22</f>
        <v>202</v>
      </c>
      <c r="W18" s="741">
        <f>Elect!AV22</f>
        <v>64</v>
      </c>
      <c r="X18" s="741">
        <f>Elect!AX22</f>
        <v>1063</v>
      </c>
      <c r="Y18" s="741">
        <f>Elect!AZ22</f>
        <v>67</v>
      </c>
      <c r="Z18" s="741">
        <f>Elect!BB22</f>
        <v>4908</v>
      </c>
      <c r="AA18" s="741">
        <f>Elect!BD22</f>
        <v>204</v>
      </c>
      <c r="AB18" s="741">
        <f>Elect!BF22</f>
        <v>53</v>
      </c>
      <c r="AC18" s="741">
        <f>Elect!BH22</f>
        <v>6314.3</v>
      </c>
      <c r="AD18" s="741">
        <f>Elect!BL22</f>
        <v>60</v>
      </c>
      <c r="AE18" s="741">
        <f>Elect!BN22</f>
        <v>1550</v>
      </c>
      <c r="AF18" s="741">
        <f>Elect!BP22</f>
        <v>116</v>
      </c>
      <c r="AG18" s="741">
        <f>Elect!BR22</f>
        <v>205</v>
      </c>
      <c r="AH18" s="806"/>
      <c r="AI18" s="741">
        <f>Water!C23</f>
        <v>0</v>
      </c>
      <c r="AJ18" s="741">
        <f>Water!E23</f>
        <v>533.59999999999991</v>
      </c>
      <c r="AK18" s="741">
        <f>Water!G23</f>
        <v>17.98</v>
      </c>
      <c r="AL18" s="806"/>
      <c r="AM18" s="741">
        <f>Gas!C23</f>
        <v>486.54</v>
      </c>
      <c r="AN18" s="741">
        <f>Gas!E23</f>
        <v>210.7</v>
      </c>
      <c r="AO18" s="741">
        <f>Gas!G23</f>
        <v>84</v>
      </c>
      <c r="AP18" s="748">
        <v>164</v>
      </c>
    </row>
    <row r="19" spans="1:42" ht="12.75" customHeight="1">
      <c r="A19" s="754" t="s">
        <v>11</v>
      </c>
      <c r="B19" s="732">
        <f t="shared" si="0"/>
        <v>18</v>
      </c>
      <c r="C19" s="773">
        <v>8</v>
      </c>
      <c r="D19" s="753">
        <v>2021</v>
      </c>
      <c r="E19" s="806"/>
      <c r="F19" s="741">
        <f>Elect!J23</f>
        <v>5572</v>
      </c>
      <c r="G19" s="741">
        <f>Elect!K23</f>
        <v>3558</v>
      </c>
      <c r="H19" s="741">
        <f>Elect!Q23</f>
        <v>540</v>
      </c>
      <c r="I19" s="741">
        <f>Elect!S23</f>
        <v>137</v>
      </c>
      <c r="J19" s="741">
        <f>Elect!U23</f>
        <v>269</v>
      </c>
      <c r="K19" s="741">
        <f>Elect!W23</f>
        <v>0</v>
      </c>
      <c r="L19" s="741">
        <f>Elect!Y23</f>
        <v>4055.03</v>
      </c>
      <c r="M19" s="741">
        <f>Elect!AA23</f>
        <v>0</v>
      </c>
      <c r="N19" s="741">
        <f>Elect!AC23</f>
        <v>3341.65</v>
      </c>
      <c r="O19" s="741">
        <f>Elect!AE23</f>
        <v>1664.73</v>
      </c>
      <c r="P19" s="741">
        <f>Elect!AG23</f>
        <v>10.600000000000001</v>
      </c>
      <c r="Q19" s="741">
        <f>Elect!AI23</f>
        <v>1115.1200000000001</v>
      </c>
      <c r="R19" s="741">
        <f>Elect!AK23</f>
        <v>4087.36</v>
      </c>
      <c r="S19" s="741">
        <f>Elect!AM23</f>
        <v>163.77000000000001</v>
      </c>
      <c r="T19" s="741">
        <f>Elect!AP23</f>
        <v>219.26250000000002</v>
      </c>
      <c r="U19" s="741">
        <f>Elect!AR23</f>
        <v>157</v>
      </c>
      <c r="V19" s="741">
        <f>Elect!AT23</f>
        <v>201</v>
      </c>
      <c r="W19" s="741">
        <f>Elect!AV23</f>
        <v>67</v>
      </c>
      <c r="X19" s="741">
        <f>Elect!AX23</f>
        <v>1040</v>
      </c>
      <c r="Y19" s="741">
        <f>Elect!AZ23</f>
        <v>64</v>
      </c>
      <c r="Z19" s="741">
        <f>Elect!BB23</f>
        <v>4780</v>
      </c>
      <c r="AA19" s="741">
        <f>Elect!BD23</f>
        <v>196</v>
      </c>
      <c r="AB19" s="741">
        <f>Elect!BF23</f>
        <v>48</v>
      </c>
      <c r="AC19" s="741">
        <f>Elect!BH23</f>
        <v>6502.85</v>
      </c>
      <c r="AD19" s="741">
        <f>Elect!BL23</f>
        <v>57</v>
      </c>
      <c r="AE19" s="741">
        <f>Elect!BN23</f>
        <v>1031</v>
      </c>
      <c r="AF19" s="741">
        <f>Elect!BP23</f>
        <v>116</v>
      </c>
      <c r="AG19" s="741">
        <f>Elect!BR23</f>
        <v>207</v>
      </c>
      <c r="AH19" s="806"/>
      <c r="AI19" s="741">
        <f>Water!C24</f>
        <v>0</v>
      </c>
      <c r="AJ19" s="741">
        <f>Water!E24</f>
        <v>556.79999999999995</v>
      </c>
      <c r="AK19" s="741">
        <f>Water!G24</f>
        <v>0</v>
      </c>
      <c r="AL19" s="806"/>
      <c r="AM19" s="741">
        <f>Gas!C24</f>
        <v>744.12</v>
      </c>
      <c r="AN19" s="741">
        <f>Gas!E24</f>
        <v>228.2</v>
      </c>
      <c r="AO19" s="741">
        <f>Gas!G24</f>
        <v>95</v>
      </c>
      <c r="AP19" s="748">
        <v>164</v>
      </c>
    </row>
    <row r="20" spans="1:42" ht="12.75" customHeight="1">
      <c r="A20" s="754" t="s">
        <v>11</v>
      </c>
      <c r="B20" s="732">
        <f t="shared" si="0"/>
        <v>19</v>
      </c>
      <c r="C20" s="773">
        <v>8</v>
      </c>
      <c r="D20" s="753">
        <v>2021</v>
      </c>
      <c r="E20" s="806"/>
      <c r="F20" s="741">
        <f>Elect!J24</f>
        <v>4835</v>
      </c>
      <c r="G20" s="741">
        <f>Elect!K24</f>
        <v>3463</v>
      </c>
      <c r="H20" s="741">
        <f>Elect!Q24</f>
        <v>630</v>
      </c>
      <c r="I20" s="741">
        <f>Elect!S24</f>
        <v>142</v>
      </c>
      <c r="J20" s="741">
        <f>Elect!U24</f>
        <v>266</v>
      </c>
      <c r="K20" s="741">
        <f>Elect!W24</f>
        <v>0</v>
      </c>
      <c r="L20" s="741">
        <f>Elect!Y24</f>
        <v>3936.3100000000004</v>
      </c>
      <c r="M20" s="741">
        <f>Elect!AA24</f>
        <v>0</v>
      </c>
      <c r="N20" s="741">
        <f>Elect!AC24</f>
        <v>3661.2400000000002</v>
      </c>
      <c r="O20" s="741">
        <f>Elect!AE24</f>
        <v>1739.46</v>
      </c>
      <c r="P20" s="741">
        <f>Elect!AG24</f>
        <v>11.13</v>
      </c>
      <c r="Q20" s="741">
        <f>Elect!AI24</f>
        <v>1128.3700000000001</v>
      </c>
      <c r="R20" s="741">
        <f>Elect!AK24</f>
        <v>4197.6000000000004</v>
      </c>
      <c r="S20" s="741">
        <f>Elect!AM24</f>
        <v>172.78</v>
      </c>
      <c r="T20" s="741">
        <f>Elect!AP24</f>
        <v>162.45000000000002</v>
      </c>
      <c r="U20" s="741">
        <f>Elect!AR24</f>
        <v>177</v>
      </c>
      <c r="V20" s="741">
        <f>Elect!AT24</f>
        <v>171</v>
      </c>
      <c r="W20" s="741">
        <f>Elect!AV24</f>
        <v>64</v>
      </c>
      <c r="X20" s="741">
        <f>Elect!AX24</f>
        <v>1071</v>
      </c>
      <c r="Y20" s="741">
        <f>Elect!AZ24</f>
        <v>50</v>
      </c>
      <c r="Z20" s="741">
        <f>Elect!BB24</f>
        <v>4885</v>
      </c>
      <c r="AA20" s="741">
        <f>Elect!BD24</f>
        <v>203</v>
      </c>
      <c r="AB20" s="741">
        <f>Elect!BF24</f>
        <v>50</v>
      </c>
      <c r="AC20" s="741">
        <f>Elect!BH24</f>
        <v>6477.55</v>
      </c>
      <c r="AD20" s="741">
        <f>Elect!BL24</f>
        <v>189</v>
      </c>
      <c r="AE20" s="741">
        <f>Elect!BN24</f>
        <v>1839</v>
      </c>
      <c r="AF20" s="741">
        <f>Elect!BP24</f>
        <v>122</v>
      </c>
      <c r="AG20" s="741">
        <f>Elect!BR24</f>
        <v>206</v>
      </c>
      <c r="AH20" s="806"/>
      <c r="AI20" s="741">
        <f>Water!C25</f>
        <v>0</v>
      </c>
      <c r="AJ20" s="741">
        <f>Water!E25</f>
        <v>551</v>
      </c>
      <c r="AK20" s="741">
        <f>Water!G25</f>
        <v>0</v>
      </c>
      <c r="AL20" s="806"/>
      <c r="AM20" s="741">
        <f>Gas!C25</f>
        <v>744.12</v>
      </c>
      <c r="AN20" s="741">
        <f>Gas!E25</f>
        <v>228.2</v>
      </c>
      <c r="AO20" s="741">
        <f>Gas!G25</f>
        <v>95</v>
      </c>
      <c r="AP20" s="748">
        <v>164</v>
      </c>
    </row>
    <row r="21" spans="1:42" ht="12.75" customHeight="1">
      <c r="A21" s="754" t="s">
        <v>11</v>
      </c>
      <c r="B21" s="732">
        <f t="shared" si="0"/>
        <v>20</v>
      </c>
      <c r="C21" s="773">
        <v>8</v>
      </c>
      <c r="D21" s="753">
        <v>2021</v>
      </c>
      <c r="E21" s="806"/>
      <c r="F21" s="741">
        <f>Elect!J25</f>
        <v>5429</v>
      </c>
      <c r="G21" s="741">
        <f>Elect!K25</f>
        <v>3511.0363636360271</v>
      </c>
      <c r="H21" s="741">
        <f>Elect!Q25</f>
        <v>540</v>
      </c>
      <c r="I21" s="741">
        <f>Elect!S25</f>
        <v>137</v>
      </c>
      <c r="J21" s="741">
        <f>Elect!U25</f>
        <v>259</v>
      </c>
      <c r="K21" s="741">
        <f>Elect!W25</f>
        <v>0</v>
      </c>
      <c r="L21" s="741">
        <f>Elect!Y25</f>
        <v>3971.82</v>
      </c>
      <c r="M21" s="741">
        <f>Elect!AA25</f>
        <v>0</v>
      </c>
      <c r="N21" s="741">
        <f>Elect!AC25</f>
        <v>3485.8100000000004</v>
      </c>
      <c r="O21" s="741">
        <f>Elect!AE25</f>
        <v>1704.48</v>
      </c>
      <c r="P21" s="741">
        <f>Elect!AG25</f>
        <v>10.600000000000001</v>
      </c>
      <c r="Q21" s="741">
        <f>Elect!AI25</f>
        <v>1119.8900000000001</v>
      </c>
      <c r="R21" s="741">
        <f>Elect!AK25</f>
        <v>3864.23</v>
      </c>
      <c r="S21" s="741">
        <f>Elect!AM25</f>
        <v>172.78</v>
      </c>
      <c r="T21" s="741">
        <f>Elect!AP25</f>
        <v>208.8</v>
      </c>
      <c r="U21" s="741">
        <f>Elect!AR25</f>
        <v>194</v>
      </c>
      <c r="V21" s="741">
        <f>Elect!AT25</f>
        <v>163</v>
      </c>
      <c r="W21" s="741">
        <f>Elect!AV25</f>
        <v>45</v>
      </c>
      <c r="X21" s="741">
        <f>Elect!AX25</f>
        <v>1146</v>
      </c>
      <c r="Y21" s="741">
        <f>Elect!AZ25</f>
        <v>37</v>
      </c>
      <c r="Z21" s="741">
        <f>Elect!BB25</f>
        <v>4733</v>
      </c>
      <c r="AA21" s="741">
        <f>Elect!BD25</f>
        <v>224</v>
      </c>
      <c r="AB21" s="741">
        <f>Elect!BF25</f>
        <v>50</v>
      </c>
      <c r="AC21" s="741">
        <f>Elect!BH25</f>
        <v>6251.25</v>
      </c>
      <c r="AD21" s="741">
        <f>Elect!BL25</f>
        <v>261</v>
      </c>
      <c r="AE21" s="741">
        <f>Elect!BN25</f>
        <v>1658</v>
      </c>
      <c r="AF21" s="741">
        <f>Elect!BP25</f>
        <v>117</v>
      </c>
      <c r="AG21" s="741">
        <f>Elect!BR25</f>
        <v>186</v>
      </c>
      <c r="AH21" s="806"/>
      <c r="AI21" s="741">
        <f>Water!C26</f>
        <v>0</v>
      </c>
      <c r="AJ21" s="741">
        <f>Water!E26</f>
        <v>423.4</v>
      </c>
      <c r="AK21" s="741">
        <f>Water!G26</f>
        <v>0</v>
      </c>
      <c r="AL21" s="806"/>
      <c r="AM21" s="741">
        <f>Gas!C26</f>
        <v>881.92000000000007</v>
      </c>
      <c r="AN21" s="741">
        <f>Gas!E26</f>
        <v>336.7</v>
      </c>
      <c r="AO21" s="741">
        <f>Gas!G26</f>
        <v>77</v>
      </c>
      <c r="AP21" s="748">
        <v>164</v>
      </c>
    </row>
    <row r="22" spans="1:42" ht="12.75" customHeight="1">
      <c r="A22" s="754" t="s">
        <v>11</v>
      </c>
      <c r="B22" s="732">
        <f t="shared" si="0"/>
        <v>21</v>
      </c>
      <c r="C22" s="773">
        <v>8</v>
      </c>
      <c r="D22" s="753">
        <v>2021</v>
      </c>
      <c r="E22" s="806"/>
      <c r="F22" s="741">
        <f>Elect!J26</f>
        <v>4731</v>
      </c>
      <c r="G22" s="741">
        <f>Elect!K26</f>
        <v>3009.9636363639729</v>
      </c>
      <c r="H22" s="741">
        <f>Elect!Q26</f>
        <v>540</v>
      </c>
      <c r="I22" s="741">
        <f>Elect!S26</f>
        <v>135</v>
      </c>
      <c r="J22" s="741">
        <f>Elect!U26</f>
        <v>256</v>
      </c>
      <c r="K22" s="741">
        <f>Elect!W26</f>
        <v>0</v>
      </c>
      <c r="L22" s="741">
        <f>Elect!Y26</f>
        <v>3942.1400000000003</v>
      </c>
      <c r="M22" s="741">
        <f>Elect!AA26</f>
        <v>0</v>
      </c>
      <c r="N22" s="741">
        <f>Elect!AC26</f>
        <v>3778.3700000000003</v>
      </c>
      <c r="O22" s="741">
        <f>Elect!AE26</f>
        <v>1710.8400000000001</v>
      </c>
      <c r="P22" s="741">
        <f>Elect!AG26</f>
        <v>10.07</v>
      </c>
      <c r="Q22" s="741">
        <f>Elect!AI26</f>
        <v>1035.6200000000001</v>
      </c>
      <c r="R22" s="741">
        <f>Elect!AK26</f>
        <v>4224.1000000000004</v>
      </c>
      <c r="S22" s="741">
        <f>Elect!AM26</f>
        <v>157.94</v>
      </c>
      <c r="T22" s="741">
        <f>Elect!AP26</f>
        <v>161.1</v>
      </c>
      <c r="U22" s="741">
        <f>Elect!AR26</f>
        <v>171</v>
      </c>
      <c r="V22" s="741">
        <f>Elect!AT26</f>
        <v>206</v>
      </c>
      <c r="W22" s="741">
        <f>Elect!AV26</f>
        <v>31</v>
      </c>
      <c r="X22" s="741">
        <f>Elect!AX26</f>
        <v>904</v>
      </c>
      <c r="Y22" s="741">
        <f>Elect!AZ26</f>
        <v>61</v>
      </c>
      <c r="Z22" s="741">
        <f>Elect!BB26</f>
        <v>4416</v>
      </c>
      <c r="AA22" s="741">
        <f>Elect!BD26</f>
        <v>215</v>
      </c>
      <c r="AB22" s="741">
        <f>Elect!BF26</f>
        <v>58</v>
      </c>
      <c r="AC22" s="741">
        <f>Elect!BH26</f>
        <v>6391.05</v>
      </c>
      <c r="AD22" s="741">
        <f>Elect!BL26</f>
        <v>259</v>
      </c>
      <c r="AE22" s="741">
        <f>Elect!BN26</f>
        <v>1736</v>
      </c>
      <c r="AF22" s="741">
        <f>Elect!BP26</f>
        <v>115</v>
      </c>
      <c r="AG22" s="741">
        <f>Elect!BR26</f>
        <v>190</v>
      </c>
      <c r="AH22" s="806"/>
      <c r="AI22" s="741">
        <f>Water!C27</f>
        <v>0</v>
      </c>
      <c r="AJ22" s="741">
        <f>Water!E27</f>
        <v>545.19999999999993</v>
      </c>
      <c r="AK22" s="741">
        <f>Water!G27</f>
        <v>0</v>
      </c>
      <c r="AL22" s="806"/>
      <c r="AM22" s="741">
        <f>Gas!C27</f>
        <v>606.32000000000005</v>
      </c>
      <c r="AN22" s="741">
        <f>Gas!E27</f>
        <v>140</v>
      </c>
      <c r="AO22" s="741">
        <f>Gas!G27</f>
        <v>109</v>
      </c>
      <c r="AP22" s="748">
        <v>164</v>
      </c>
    </row>
    <row r="23" spans="1:42" ht="12.75" customHeight="1">
      <c r="A23" s="754" t="s">
        <v>11</v>
      </c>
      <c r="B23" s="732">
        <f t="shared" si="0"/>
        <v>22</v>
      </c>
      <c r="C23" s="773">
        <v>8</v>
      </c>
      <c r="D23" s="753">
        <v>2021</v>
      </c>
      <c r="E23" s="806"/>
      <c r="F23" s="741">
        <f>Elect!J27</f>
        <v>4792</v>
      </c>
      <c r="G23" s="741">
        <f>Elect!K27</f>
        <v>3516</v>
      </c>
      <c r="H23" s="741">
        <f>Elect!Q27</f>
        <v>600</v>
      </c>
      <c r="I23" s="741">
        <f>Elect!S27</f>
        <v>161</v>
      </c>
      <c r="J23" s="741">
        <f>Elect!U27</f>
        <v>324</v>
      </c>
      <c r="K23" s="741">
        <f>Elect!W27</f>
        <v>0</v>
      </c>
      <c r="L23" s="741">
        <f>Elect!Y27</f>
        <v>4124.99</v>
      </c>
      <c r="M23" s="741">
        <f>Elect!AA27</f>
        <v>0</v>
      </c>
      <c r="N23" s="741">
        <f>Elect!AC27</f>
        <v>3766.1800000000003</v>
      </c>
      <c r="O23" s="741">
        <f>Elect!AE27</f>
        <v>2048.4500000000003</v>
      </c>
      <c r="P23" s="741">
        <f>Elect!AG27</f>
        <v>11.66</v>
      </c>
      <c r="Q23" s="741">
        <f>Elect!AI27</f>
        <v>1111.4100000000001</v>
      </c>
      <c r="R23" s="741">
        <f>Elect!AK27</f>
        <v>4221.45</v>
      </c>
      <c r="S23" s="741">
        <f>Elect!AM27</f>
        <v>172.78</v>
      </c>
      <c r="T23" s="741">
        <f>Elect!AP27</f>
        <v>207.22499999999999</v>
      </c>
      <c r="U23" s="741">
        <f>Elect!AR27</f>
        <v>202</v>
      </c>
      <c r="V23" s="741">
        <f>Elect!AT27</f>
        <v>177</v>
      </c>
      <c r="W23" s="741">
        <f>Elect!AV27</f>
        <v>64</v>
      </c>
      <c r="X23" s="741">
        <f>Elect!AX27</f>
        <v>1052</v>
      </c>
      <c r="Y23" s="741">
        <f>Elect!AZ27</f>
        <v>56</v>
      </c>
      <c r="Z23" s="741">
        <f>Elect!BB27</f>
        <v>5382</v>
      </c>
      <c r="AA23" s="741">
        <f>Elect!BD27</f>
        <v>257</v>
      </c>
      <c r="AB23" s="741">
        <f>Elect!BF27</f>
        <v>59</v>
      </c>
      <c r="AC23" s="741">
        <f>Elect!BH27</f>
        <v>7027.95</v>
      </c>
      <c r="AD23" s="741">
        <f>Elect!BL27</f>
        <v>285</v>
      </c>
      <c r="AE23" s="741">
        <f>Elect!BN27</f>
        <v>1841</v>
      </c>
      <c r="AF23" s="741">
        <f>Elect!BP27</f>
        <v>128</v>
      </c>
      <c r="AG23" s="741">
        <f>Elect!BR27</f>
        <v>211</v>
      </c>
      <c r="AH23" s="806"/>
      <c r="AI23" s="741">
        <f>Water!C28</f>
        <v>0</v>
      </c>
      <c r="AJ23" s="741">
        <f>Water!E28</f>
        <v>551</v>
      </c>
      <c r="AK23" s="741">
        <f>Water!G28</f>
        <v>0</v>
      </c>
      <c r="AL23" s="806"/>
      <c r="AM23" s="741">
        <f>Gas!C28</f>
        <v>737.76</v>
      </c>
      <c r="AN23" s="741">
        <f>Gas!E28</f>
        <v>229.6</v>
      </c>
      <c r="AO23" s="741">
        <f>Gas!G28</f>
        <v>95</v>
      </c>
      <c r="AP23" s="748">
        <v>164</v>
      </c>
    </row>
    <row r="24" spans="1:42" ht="12.75" customHeight="1">
      <c r="A24" s="754" t="s">
        <v>11</v>
      </c>
      <c r="B24" s="732">
        <f t="shared" si="0"/>
        <v>23</v>
      </c>
      <c r="C24" s="773">
        <v>8</v>
      </c>
      <c r="D24" s="753">
        <v>2021</v>
      </c>
      <c r="E24" s="806"/>
      <c r="F24" s="741">
        <f>Elect!J28</f>
        <v>4870</v>
      </c>
      <c r="G24" s="741">
        <f>Elect!K28</f>
        <v>3346</v>
      </c>
      <c r="H24" s="741">
        <f>Elect!Q28</f>
        <v>630</v>
      </c>
      <c r="I24" s="741">
        <f>Elect!S28</f>
        <v>120</v>
      </c>
      <c r="J24" s="741">
        <f>Elect!U28</f>
        <v>240</v>
      </c>
      <c r="K24" s="741">
        <f>Elect!W28</f>
        <v>2610.25</v>
      </c>
      <c r="L24" s="741">
        <f>Elect!Y28</f>
        <v>3981.8900000000003</v>
      </c>
      <c r="M24" s="741">
        <f>Elect!AA28</f>
        <v>0</v>
      </c>
      <c r="N24" s="741">
        <f>Elect!AC28</f>
        <v>65.19</v>
      </c>
      <c r="O24" s="741">
        <f>Elect!AE28</f>
        <v>1516.8600000000001</v>
      </c>
      <c r="P24" s="741">
        <f>Elect!AG28</f>
        <v>9.5400000000000009</v>
      </c>
      <c r="Q24" s="741">
        <f>Elect!AI28</f>
        <v>1082.26</v>
      </c>
      <c r="R24" s="741">
        <f>Elect!AK28</f>
        <v>3900.27</v>
      </c>
      <c r="S24" s="741">
        <f>Elect!AM28</f>
        <v>171.72</v>
      </c>
      <c r="T24" s="741">
        <f>Elect!AP28</f>
        <v>216.45000000000002</v>
      </c>
      <c r="U24" s="741">
        <f>Elect!AR28</f>
        <v>201</v>
      </c>
      <c r="V24" s="741">
        <f>Elect!AT28</f>
        <v>176</v>
      </c>
      <c r="W24" s="741">
        <f>Elect!AV28</f>
        <v>65</v>
      </c>
      <c r="X24" s="741">
        <f>Elect!AX28</f>
        <v>1027</v>
      </c>
      <c r="Y24" s="741">
        <f>Elect!AZ28</f>
        <v>44</v>
      </c>
      <c r="Z24" s="741">
        <f>Elect!BB28</f>
        <v>4624</v>
      </c>
      <c r="AA24" s="741">
        <f>Elect!BD28</f>
        <v>196</v>
      </c>
      <c r="AB24" s="741">
        <f>Elect!BF28</f>
        <v>54</v>
      </c>
      <c r="AC24" s="741">
        <f>Elect!BH28</f>
        <v>6850.55</v>
      </c>
      <c r="AD24" s="741">
        <f>Elect!BL28</f>
        <v>245</v>
      </c>
      <c r="AE24" s="741">
        <f>Elect!BN28</f>
        <v>1</v>
      </c>
      <c r="AF24" s="741">
        <f>Elect!BP28</f>
        <v>0</v>
      </c>
      <c r="AG24" s="741">
        <f>Elect!BR28</f>
        <v>0</v>
      </c>
      <c r="AH24" s="806"/>
      <c r="AI24" s="741">
        <f>Water!C29</f>
        <v>0</v>
      </c>
      <c r="AJ24" s="741">
        <f>Water!E29</f>
        <v>168.2</v>
      </c>
      <c r="AK24" s="741">
        <f>Water!G29</f>
        <v>0</v>
      </c>
      <c r="AL24" s="806"/>
      <c r="AM24" s="741">
        <f>Gas!C29</f>
        <v>1202.04</v>
      </c>
      <c r="AN24" s="741">
        <f>Gas!E29</f>
        <v>331.09999999999997</v>
      </c>
      <c r="AO24" s="741">
        <f>Gas!G29</f>
        <v>82</v>
      </c>
      <c r="AP24" s="748">
        <v>164</v>
      </c>
    </row>
    <row r="25" spans="1:42" ht="12.75" customHeight="1">
      <c r="A25" s="754" t="s">
        <v>11</v>
      </c>
      <c r="B25" s="732">
        <f t="shared" si="0"/>
        <v>24</v>
      </c>
      <c r="C25" s="773">
        <v>8</v>
      </c>
      <c r="D25" s="753">
        <v>2021</v>
      </c>
      <c r="E25" s="806"/>
      <c r="F25" s="741">
        <f>Elect!J29</f>
        <v>5583</v>
      </c>
      <c r="G25" s="741">
        <f>Elect!K29</f>
        <v>3396</v>
      </c>
      <c r="H25" s="741">
        <f>Elect!Q29</f>
        <v>630</v>
      </c>
      <c r="I25" s="741">
        <f>Elect!S29</f>
        <v>139</v>
      </c>
      <c r="J25" s="741">
        <f>Elect!U29</f>
        <v>255</v>
      </c>
      <c r="K25" s="741">
        <f>Elect!W29</f>
        <v>3049.6200000000003</v>
      </c>
      <c r="L25" s="741">
        <f>Elect!Y29</f>
        <v>3847.27</v>
      </c>
      <c r="M25" s="741">
        <f>Elect!AA29</f>
        <v>0</v>
      </c>
      <c r="N25" s="741">
        <f>Elect!AC29</f>
        <v>0</v>
      </c>
      <c r="O25" s="741">
        <f>Elect!AE29</f>
        <v>1694.41</v>
      </c>
      <c r="P25" s="741">
        <f>Elect!AG29</f>
        <v>10.600000000000001</v>
      </c>
      <c r="Q25" s="741">
        <f>Elect!AI29</f>
        <v>1101.8700000000001</v>
      </c>
      <c r="R25" s="741">
        <f>Elect!AK29</f>
        <v>4130.29</v>
      </c>
      <c r="S25" s="741">
        <f>Elect!AM29</f>
        <v>164.83</v>
      </c>
      <c r="T25" s="741">
        <f>Elect!AP29</f>
        <v>200.13750000000002</v>
      </c>
      <c r="U25" s="741">
        <f>Elect!AR29</f>
        <v>258</v>
      </c>
      <c r="V25" s="741">
        <f>Elect!AT29</f>
        <v>194</v>
      </c>
      <c r="W25" s="741">
        <f>Elect!AV29</f>
        <v>58</v>
      </c>
      <c r="X25" s="741">
        <f>Elect!AX29</f>
        <v>976</v>
      </c>
      <c r="Y25" s="741">
        <f>Elect!AZ29</f>
        <v>45</v>
      </c>
      <c r="Z25" s="741">
        <f>Elect!BB29</f>
        <v>4684</v>
      </c>
      <c r="AA25" s="741">
        <f>Elect!BD29</f>
        <v>205</v>
      </c>
      <c r="AB25" s="741">
        <f>Elect!BF29</f>
        <v>53</v>
      </c>
      <c r="AC25" s="741">
        <f>Elect!BH29</f>
        <v>6603.2</v>
      </c>
      <c r="AD25" s="741">
        <f>Elect!BL29</f>
        <v>281</v>
      </c>
      <c r="AE25" s="741">
        <f>Elect!BN29</f>
        <v>1825</v>
      </c>
      <c r="AF25" s="741">
        <f>Elect!BP29</f>
        <v>119</v>
      </c>
      <c r="AG25" s="741">
        <f>Elect!BR29</f>
        <v>199</v>
      </c>
      <c r="AH25" s="806"/>
      <c r="AI25" s="741">
        <f>Water!C30</f>
        <v>0</v>
      </c>
      <c r="AJ25" s="741">
        <f>Water!E30</f>
        <v>359.59999999999997</v>
      </c>
      <c r="AK25" s="741">
        <f>Water!G30</f>
        <v>0</v>
      </c>
      <c r="AL25" s="806"/>
      <c r="AM25" s="741">
        <f>Gas!C30</f>
        <v>709.14</v>
      </c>
      <c r="AN25" s="741">
        <f>Gas!E30</f>
        <v>198.1</v>
      </c>
      <c r="AO25" s="741">
        <f>Gas!G30</f>
        <v>101</v>
      </c>
      <c r="AP25" s="748">
        <v>164</v>
      </c>
    </row>
    <row r="26" spans="1:42" ht="12.75" customHeight="1">
      <c r="A26" s="754" t="s">
        <v>11</v>
      </c>
      <c r="B26" s="732">
        <f>B25+1</f>
        <v>25</v>
      </c>
      <c r="C26" s="773">
        <v>8</v>
      </c>
      <c r="D26" s="753">
        <v>2021</v>
      </c>
      <c r="E26" s="806"/>
      <c r="F26" s="741">
        <f>Elect!J30</f>
        <v>5349</v>
      </c>
      <c r="G26" s="741">
        <f>Elect!K30</f>
        <v>3501</v>
      </c>
      <c r="H26" s="741">
        <f>Elect!Q30</f>
        <v>630</v>
      </c>
      <c r="I26" s="741">
        <f>Elect!S30</f>
        <v>165</v>
      </c>
      <c r="J26" s="741">
        <f>Elect!U30</f>
        <v>320</v>
      </c>
      <c r="K26" s="741">
        <f>Elect!W30</f>
        <v>3222.4</v>
      </c>
      <c r="L26" s="741">
        <f>Elect!Y30</f>
        <v>4006.27</v>
      </c>
      <c r="M26" s="741">
        <f>Elect!AA30</f>
        <v>0</v>
      </c>
      <c r="N26" s="741">
        <f>Elect!AC30</f>
        <v>0</v>
      </c>
      <c r="O26" s="741">
        <f>Elect!AE30</f>
        <v>2167.17</v>
      </c>
      <c r="P26" s="741">
        <f>Elect!AG30</f>
        <v>13.25</v>
      </c>
      <c r="Q26" s="741">
        <f>Elect!AI30</f>
        <v>1097.1000000000001</v>
      </c>
      <c r="R26" s="741">
        <f>Elect!AK30</f>
        <v>4127.1100000000006</v>
      </c>
      <c r="S26" s="741">
        <f>Elect!AM30</f>
        <v>161.65</v>
      </c>
      <c r="T26" s="741">
        <f>Elect!AP30</f>
        <v>223.65</v>
      </c>
      <c r="U26" s="741">
        <f>Elect!AR30</f>
        <v>191</v>
      </c>
      <c r="V26" s="741">
        <f>Elect!AT30</f>
        <v>182</v>
      </c>
      <c r="W26" s="741">
        <f>Elect!AV30</f>
        <v>59</v>
      </c>
      <c r="X26" s="741">
        <f>Elect!AX30</f>
        <v>969</v>
      </c>
      <c r="Y26" s="741">
        <f>Elect!AZ30</f>
        <v>61</v>
      </c>
      <c r="Z26" s="741">
        <f>Elect!BB30</f>
        <v>4574</v>
      </c>
      <c r="AA26" s="741">
        <f>Elect!BD30</f>
        <v>208</v>
      </c>
      <c r="AB26" s="741">
        <f>Elect!BF30</f>
        <v>52</v>
      </c>
      <c r="AC26" s="741">
        <f>Elect!BH30</f>
        <v>5665.85</v>
      </c>
      <c r="AD26" s="741">
        <f>Elect!BL30</f>
        <v>250</v>
      </c>
      <c r="AE26" s="741">
        <f>Elect!BN30</f>
        <v>1600</v>
      </c>
      <c r="AF26" s="741">
        <f>Elect!BP30</f>
        <v>107</v>
      </c>
      <c r="AG26" s="741">
        <f>Elect!BR30</f>
        <v>173</v>
      </c>
      <c r="AH26" s="806"/>
      <c r="AI26" s="741">
        <f>Water!C31</f>
        <v>0</v>
      </c>
      <c r="AJ26" s="741">
        <f>Water!E31</f>
        <v>295.79999999999995</v>
      </c>
      <c r="AK26" s="741">
        <f>Water!G31</f>
        <v>0</v>
      </c>
      <c r="AL26" s="806"/>
      <c r="AM26" s="741">
        <f>Gas!C31</f>
        <v>410.22</v>
      </c>
      <c r="AN26" s="741">
        <f>Gas!E31</f>
        <v>217.7</v>
      </c>
      <c r="AO26" s="741">
        <f>Gas!G31</f>
        <v>95</v>
      </c>
      <c r="AP26" s="748">
        <v>164</v>
      </c>
    </row>
    <row r="27" spans="1:42" ht="12.75" customHeight="1">
      <c r="A27" s="754" t="s">
        <v>11</v>
      </c>
      <c r="B27" s="732">
        <f t="shared" si="0"/>
        <v>26</v>
      </c>
      <c r="C27" s="773">
        <v>8</v>
      </c>
      <c r="D27" s="753">
        <v>2021</v>
      </c>
      <c r="E27" s="806"/>
      <c r="F27" s="741">
        <f>Elect!J31</f>
        <v>4762</v>
      </c>
      <c r="G27" s="741">
        <f>Elect!K31</f>
        <v>3509</v>
      </c>
      <c r="H27" s="741">
        <f>Elect!Q31</f>
        <v>690</v>
      </c>
      <c r="I27" s="741">
        <f>Elect!S31</f>
        <v>114</v>
      </c>
      <c r="J27" s="741">
        <f>Elect!U31</f>
        <v>221</v>
      </c>
      <c r="K27" s="741">
        <f>Elect!W31</f>
        <v>3415.8500000000004</v>
      </c>
      <c r="L27" s="741">
        <f>Elect!Y31</f>
        <v>4033.8300000000004</v>
      </c>
      <c r="M27" s="741">
        <f>Elect!AA31</f>
        <v>0</v>
      </c>
      <c r="N27" s="741">
        <f>Elect!AC31</f>
        <v>0</v>
      </c>
      <c r="O27" s="741">
        <f>Elect!AE31</f>
        <v>1640.88</v>
      </c>
      <c r="P27" s="741">
        <f>Elect!AG31</f>
        <v>9.5400000000000009</v>
      </c>
      <c r="Q27" s="741">
        <f>Elect!AI31</f>
        <v>1088.6200000000001</v>
      </c>
      <c r="R27" s="741">
        <f>Elect!AK31</f>
        <v>4107.5</v>
      </c>
      <c r="S27" s="741">
        <f>Elect!AM31</f>
        <v>162.71</v>
      </c>
      <c r="T27" s="741">
        <f>Elect!AP31</f>
        <v>212.28749999999999</v>
      </c>
      <c r="U27" s="741">
        <f>Elect!AR31</f>
        <v>173</v>
      </c>
      <c r="V27" s="741">
        <f>Elect!AT31</f>
        <v>187</v>
      </c>
      <c r="W27" s="741">
        <f>Elect!AV31</f>
        <v>61</v>
      </c>
      <c r="X27" s="741">
        <f>Elect!AX31</f>
        <v>945</v>
      </c>
      <c r="Y27" s="741">
        <f>Elect!AZ31</f>
        <v>42</v>
      </c>
      <c r="Z27" s="741">
        <f>Elect!BB31</f>
        <v>5286</v>
      </c>
      <c r="AA27" s="741">
        <f>Elect!BD31</f>
        <v>225</v>
      </c>
      <c r="AB27" s="741">
        <f>Elect!BF31</f>
        <v>51</v>
      </c>
      <c r="AC27" s="741">
        <f>Elect!BH31</f>
        <v>6723.1500000000005</v>
      </c>
      <c r="AD27" s="741">
        <f>Elect!BL31</f>
        <v>297</v>
      </c>
      <c r="AE27" s="741">
        <f>Elect!BN31</f>
        <v>1866</v>
      </c>
      <c r="AF27" s="741">
        <f>Elect!BP31</f>
        <v>127</v>
      </c>
      <c r="AG27" s="741">
        <f>Elect!BR31</f>
        <v>205</v>
      </c>
      <c r="AH27" s="806"/>
      <c r="AI27" s="741">
        <f>Water!C32</f>
        <v>0</v>
      </c>
      <c r="AJ27" s="741">
        <f>Water!E32</f>
        <v>179.79999999999998</v>
      </c>
      <c r="AK27" s="741">
        <f>Water!G32</f>
        <v>0</v>
      </c>
      <c r="AL27" s="806"/>
      <c r="AM27" s="741">
        <f>Gas!C32</f>
        <v>743.06000000000006</v>
      </c>
      <c r="AN27" s="741">
        <f>Gas!E32</f>
        <v>235.89999999999998</v>
      </c>
      <c r="AO27" s="741">
        <f>Gas!G32</f>
        <v>94</v>
      </c>
      <c r="AP27" s="748">
        <v>166</v>
      </c>
    </row>
    <row r="28" spans="1:42" ht="12.75" customHeight="1">
      <c r="A28" s="754" t="s">
        <v>11</v>
      </c>
      <c r="B28" s="732">
        <f t="shared" si="0"/>
        <v>27</v>
      </c>
      <c r="C28" s="773">
        <v>8</v>
      </c>
      <c r="D28" s="753">
        <v>2021</v>
      </c>
      <c r="E28" s="806"/>
      <c r="F28" s="741">
        <f>Elect!J32</f>
        <v>3915</v>
      </c>
      <c r="G28" s="741">
        <f>Elect!K32</f>
        <v>3521</v>
      </c>
      <c r="H28" s="741">
        <f>Elect!Q32</f>
        <v>630</v>
      </c>
      <c r="I28" s="741">
        <f>Elect!S32</f>
        <v>128</v>
      </c>
      <c r="J28" s="741">
        <f>Elect!U32</f>
        <v>266</v>
      </c>
      <c r="K28" s="741">
        <f>Elect!W32</f>
        <v>3133.8900000000003</v>
      </c>
      <c r="L28" s="741">
        <f>Elect!Y32</f>
        <v>3964.9300000000003</v>
      </c>
      <c r="M28" s="741">
        <f>Elect!AA32</f>
        <v>0</v>
      </c>
      <c r="N28" s="741">
        <f>Elect!AC32</f>
        <v>0</v>
      </c>
      <c r="O28" s="741">
        <f>Elect!AE32</f>
        <v>1680.1000000000001</v>
      </c>
      <c r="P28" s="741">
        <f>Elect!AG32</f>
        <v>11.13</v>
      </c>
      <c r="Q28" s="741">
        <f>Elect!AI32</f>
        <v>1031.9100000000001</v>
      </c>
      <c r="R28" s="741">
        <f>Elect!AK32</f>
        <v>4076.76</v>
      </c>
      <c r="S28" s="741">
        <f>Elect!AM32</f>
        <v>164.3</v>
      </c>
      <c r="T28" s="741">
        <f>Elect!AP32</f>
        <v>232.42500000000001</v>
      </c>
      <c r="U28" s="741">
        <f>Elect!AR32</f>
        <v>162</v>
      </c>
      <c r="V28" s="741">
        <f>Elect!AT32</f>
        <v>156</v>
      </c>
      <c r="W28" s="741">
        <f>Elect!AV32</f>
        <v>27</v>
      </c>
      <c r="X28" s="741">
        <f>Elect!AX32</f>
        <v>915</v>
      </c>
      <c r="Y28" s="741">
        <f>Elect!AZ32</f>
        <v>52</v>
      </c>
      <c r="Z28" s="741">
        <f>Elect!BB32</f>
        <v>4461</v>
      </c>
      <c r="AA28" s="741">
        <f>Elect!BD32</f>
        <v>195</v>
      </c>
      <c r="AB28" s="741">
        <f>Elect!BF32</f>
        <v>56</v>
      </c>
      <c r="AC28" s="741">
        <f>Elect!BH32</f>
        <v>5715.95</v>
      </c>
      <c r="AD28" s="741">
        <f>Elect!BL32</f>
        <v>269</v>
      </c>
      <c r="AE28" s="741">
        <f>Elect!BN32</f>
        <v>1999</v>
      </c>
      <c r="AF28" s="741">
        <f>Elect!BP32</f>
        <v>110</v>
      </c>
      <c r="AG28" s="741">
        <f>Elect!BR32</f>
        <v>153</v>
      </c>
      <c r="AH28" s="806"/>
      <c r="AI28" s="741">
        <f>Water!C33</f>
        <v>0</v>
      </c>
      <c r="AJ28" s="741">
        <f>Water!E33</f>
        <v>133.39999999999998</v>
      </c>
      <c r="AK28" s="741">
        <f>Water!G33</f>
        <v>0</v>
      </c>
      <c r="AL28" s="806"/>
      <c r="AM28" s="741">
        <f>Gas!C33</f>
        <v>744.12</v>
      </c>
      <c r="AN28" s="741">
        <f>Gas!E33</f>
        <v>235.89999999999998</v>
      </c>
      <c r="AO28" s="741">
        <f>Gas!G33</f>
        <v>95</v>
      </c>
      <c r="AP28" s="748">
        <v>167</v>
      </c>
    </row>
    <row r="29" spans="1:42" ht="12.75" customHeight="1">
      <c r="A29" s="754" t="s">
        <v>11</v>
      </c>
      <c r="B29" s="732">
        <f t="shared" si="0"/>
        <v>28</v>
      </c>
      <c r="C29" s="773">
        <v>8</v>
      </c>
      <c r="D29" s="753">
        <v>2021</v>
      </c>
      <c r="E29" s="806"/>
      <c r="F29" s="741">
        <f>Elect!J33</f>
        <v>2561</v>
      </c>
      <c r="G29" s="741">
        <f>Elect!K33</f>
        <v>3561</v>
      </c>
      <c r="H29" s="741">
        <f>Elect!Q33</f>
        <v>570</v>
      </c>
      <c r="I29" s="741">
        <f>Elect!S33</f>
        <v>160</v>
      </c>
      <c r="J29" s="741">
        <f>Elect!U33</f>
        <v>262</v>
      </c>
      <c r="K29" s="741">
        <f>Elect!W33</f>
        <v>3216.57</v>
      </c>
      <c r="L29" s="741">
        <f>Elect!Y33</f>
        <v>4064.57</v>
      </c>
      <c r="M29" s="741">
        <f>Elect!AA33</f>
        <v>0</v>
      </c>
      <c r="N29" s="741">
        <f>Elect!AC33</f>
        <v>0</v>
      </c>
      <c r="O29" s="741">
        <f>Elect!AE33</f>
        <v>1623.39</v>
      </c>
      <c r="P29" s="741">
        <f>Elect!AG33</f>
        <v>9.5400000000000009</v>
      </c>
      <c r="Q29" s="741">
        <f>Elect!AI33</f>
        <v>974.1400000000001</v>
      </c>
      <c r="R29" s="741">
        <f>Elect!AK33</f>
        <v>4169.51</v>
      </c>
      <c r="S29" s="741">
        <f>Elect!AM33</f>
        <v>168.54000000000002</v>
      </c>
      <c r="T29" s="741">
        <f>Elect!AP33</f>
        <v>256.16250000000002</v>
      </c>
      <c r="U29" s="741">
        <f>Elect!AR33</f>
        <v>171</v>
      </c>
      <c r="V29" s="741">
        <f>Elect!AT33</f>
        <v>202</v>
      </c>
      <c r="W29" s="741">
        <f>Elect!AV33</f>
        <v>38</v>
      </c>
      <c r="X29" s="741">
        <f>Elect!AX33</f>
        <v>948</v>
      </c>
      <c r="Y29" s="741">
        <f>Elect!AZ33</f>
        <v>76</v>
      </c>
      <c r="Z29" s="741">
        <f>Elect!BB33</f>
        <v>5889</v>
      </c>
      <c r="AA29" s="741">
        <f>Elect!BD33</f>
        <v>261</v>
      </c>
      <c r="AB29" s="741">
        <f>Elect!BF33</f>
        <v>52</v>
      </c>
      <c r="AC29" s="741">
        <f>Elect!BH33</f>
        <v>7864.7000000000007</v>
      </c>
      <c r="AD29" s="741">
        <f>Elect!BL33</f>
        <v>345</v>
      </c>
      <c r="AE29" s="741">
        <f>Elect!BN33</f>
        <v>1707</v>
      </c>
      <c r="AF29" s="741">
        <f>Elect!BP33</f>
        <v>147</v>
      </c>
      <c r="AG29" s="741">
        <f>Elect!BR33</f>
        <v>239</v>
      </c>
      <c r="AH29" s="806"/>
      <c r="AI29" s="741">
        <f>Water!C34</f>
        <v>0</v>
      </c>
      <c r="AJ29" s="741">
        <f>Water!E34</f>
        <v>145</v>
      </c>
      <c r="AK29" s="741">
        <f>Water!G34</f>
        <v>0</v>
      </c>
      <c r="AL29" s="806"/>
      <c r="AM29" s="741">
        <f>Gas!C34</f>
        <v>743.06000000000006</v>
      </c>
      <c r="AN29" s="741">
        <f>Gas!E34</f>
        <v>235.89999999999998</v>
      </c>
      <c r="AO29" s="741">
        <f>Gas!G34</f>
        <v>94</v>
      </c>
      <c r="AP29" s="748">
        <v>165</v>
      </c>
    </row>
    <row r="30" spans="1:42" ht="12.75" customHeight="1">
      <c r="A30" s="754" t="s">
        <v>11</v>
      </c>
      <c r="B30" s="732">
        <f t="shared" si="0"/>
        <v>29</v>
      </c>
      <c r="C30" s="773">
        <v>8</v>
      </c>
      <c r="D30" s="753">
        <v>2021</v>
      </c>
      <c r="E30" s="806"/>
      <c r="F30" s="741">
        <f>Elect!J34</f>
        <v>3163</v>
      </c>
      <c r="G30" s="741">
        <f>Elect!K34</f>
        <v>2988</v>
      </c>
      <c r="H30" s="741">
        <f>Elect!Q34</f>
        <v>690</v>
      </c>
      <c r="I30" s="741">
        <f>Elect!S34</f>
        <v>127</v>
      </c>
      <c r="J30" s="741">
        <f>Elect!U34</f>
        <v>203</v>
      </c>
      <c r="K30" s="741">
        <f>Elect!W34</f>
        <v>3368.15</v>
      </c>
      <c r="L30" s="741">
        <f>Elect!Y34</f>
        <v>4008.92</v>
      </c>
      <c r="M30" s="741">
        <f>Elect!AA34</f>
        <v>0</v>
      </c>
      <c r="N30" s="741">
        <f>Elect!AC34</f>
        <v>0</v>
      </c>
      <c r="O30" s="741">
        <f>Elect!AE34</f>
        <v>1873.02</v>
      </c>
      <c r="P30" s="741">
        <f>Elect!AG34</f>
        <v>10.600000000000001</v>
      </c>
      <c r="Q30" s="741">
        <f>Elect!AI34</f>
        <v>673.1</v>
      </c>
      <c r="R30" s="741">
        <f>Elect!AK34</f>
        <v>3431.75</v>
      </c>
      <c r="S30" s="741">
        <f>Elect!AM34</f>
        <v>110.24000000000001</v>
      </c>
      <c r="T30" s="741">
        <f>Elect!AP34</f>
        <v>206.88750000000002</v>
      </c>
      <c r="U30" s="741">
        <f>Elect!AR34</f>
        <v>165</v>
      </c>
      <c r="V30" s="741">
        <f>Elect!AT34</f>
        <v>159</v>
      </c>
      <c r="W30" s="741">
        <f>Elect!AV34</f>
        <v>87</v>
      </c>
      <c r="X30" s="741">
        <f>Elect!AX34</f>
        <v>980</v>
      </c>
      <c r="Y30" s="741">
        <f>Elect!AZ34</f>
        <v>66</v>
      </c>
      <c r="Z30" s="741">
        <f>Elect!BB34</f>
        <v>4270</v>
      </c>
      <c r="AA30" s="741">
        <f>Elect!BD34</f>
        <v>193</v>
      </c>
      <c r="AB30" s="741">
        <f>Elect!BF34</f>
        <v>50</v>
      </c>
      <c r="AC30" s="741">
        <f>Elect!BH34</f>
        <v>5209.8999999999996</v>
      </c>
      <c r="AD30" s="741">
        <f>Elect!BL34</f>
        <v>210</v>
      </c>
      <c r="AE30" s="741">
        <f>Elect!BN34</f>
        <v>1424</v>
      </c>
      <c r="AF30" s="741">
        <f>Elect!BP34</f>
        <v>94</v>
      </c>
      <c r="AG30" s="741">
        <f>Elect!BR34</f>
        <v>152</v>
      </c>
      <c r="AH30" s="806"/>
      <c r="AI30" s="741">
        <f>Water!C35</f>
        <v>0</v>
      </c>
      <c r="AJ30" s="741">
        <f>Water!E35</f>
        <v>69.599999999999994</v>
      </c>
      <c r="AK30" s="741">
        <f>Water!G35</f>
        <v>0</v>
      </c>
      <c r="AL30" s="806"/>
      <c r="AM30" s="741">
        <f>Gas!C35</f>
        <v>744.12</v>
      </c>
      <c r="AN30" s="741">
        <f>Gas!E35</f>
        <v>235.89999999999998</v>
      </c>
      <c r="AO30" s="741">
        <f>Gas!G35</f>
        <v>144</v>
      </c>
      <c r="AP30" s="748">
        <v>164</v>
      </c>
    </row>
    <row r="31" spans="1:42" ht="12.75" customHeight="1">
      <c r="A31" s="754" t="s">
        <v>11</v>
      </c>
      <c r="B31" s="732">
        <f t="shared" si="0"/>
        <v>30</v>
      </c>
      <c r="C31" s="773">
        <v>8</v>
      </c>
      <c r="D31" s="753">
        <v>2021</v>
      </c>
      <c r="E31" s="806"/>
      <c r="F31" s="741">
        <f>Elect!J35</f>
        <v>4219</v>
      </c>
      <c r="G31" s="741">
        <f>Elect!K35</f>
        <v>4172</v>
      </c>
      <c r="H31" s="741">
        <f>Elect!Q35</f>
        <v>540</v>
      </c>
      <c r="I31" s="741">
        <f>Elect!S35</f>
        <v>131</v>
      </c>
      <c r="J31" s="741">
        <f>Elect!U35</f>
        <v>308</v>
      </c>
      <c r="K31" s="741">
        <f>Elect!W35</f>
        <v>3785.26</v>
      </c>
      <c r="L31" s="741">
        <f>Elect!Y35</f>
        <v>4010.51</v>
      </c>
      <c r="M31" s="741">
        <f>Elect!AA35</f>
        <v>0</v>
      </c>
      <c r="N31" s="741">
        <f>Elect!AC35</f>
        <v>0</v>
      </c>
      <c r="O31" s="741">
        <f>Elect!AE35</f>
        <v>1661.02</v>
      </c>
      <c r="P31" s="741">
        <f>Elect!AG35</f>
        <v>9.5400000000000009</v>
      </c>
      <c r="Q31" s="741">
        <f>Elect!AI35</f>
        <v>1408.74</v>
      </c>
      <c r="R31" s="741">
        <f>Elect!AK35</f>
        <v>4761.5200000000004</v>
      </c>
      <c r="S31" s="741">
        <f>Elect!AM35</f>
        <v>214.12</v>
      </c>
      <c r="T31" s="741">
        <f>Elect!AP35</f>
        <v>235.91249999999999</v>
      </c>
      <c r="U31" s="741">
        <f>Elect!AR35</f>
        <v>164</v>
      </c>
      <c r="V31" s="741">
        <f>Elect!AT35</f>
        <v>180</v>
      </c>
      <c r="W31" s="741">
        <f>Elect!AV35</f>
        <v>45</v>
      </c>
      <c r="X31" s="741">
        <f>Elect!AX35</f>
        <v>999</v>
      </c>
      <c r="Y31" s="741">
        <f>Elect!AZ35</f>
        <v>68</v>
      </c>
      <c r="Z31" s="741">
        <f>Elect!BB35</f>
        <v>5372</v>
      </c>
      <c r="AA31" s="741">
        <f>Elect!BD35</f>
        <v>248</v>
      </c>
      <c r="AB31" s="741">
        <f>Elect!BF35</f>
        <v>57</v>
      </c>
      <c r="AC31" s="741">
        <f>Elect!BH35</f>
        <v>6138.65</v>
      </c>
      <c r="AD31" s="741">
        <f>Elect!BL35</f>
        <v>248</v>
      </c>
      <c r="AE31" s="741">
        <f>Elect!BN35</f>
        <v>1653</v>
      </c>
      <c r="AF31" s="741">
        <f>Elect!BP35</f>
        <v>110</v>
      </c>
      <c r="AG31" s="741">
        <f>Elect!BR35</f>
        <v>177</v>
      </c>
      <c r="AH31" s="806"/>
      <c r="AI31" s="741">
        <f>Water!C36</f>
        <v>0</v>
      </c>
      <c r="AJ31" s="741">
        <f>Water!E36</f>
        <v>63.8</v>
      </c>
      <c r="AK31" s="741">
        <f>Water!G36</f>
        <v>115.41999999999999</v>
      </c>
      <c r="AL31" s="806"/>
      <c r="AM31" s="741">
        <f>Gas!C36</f>
        <v>1449.02</v>
      </c>
      <c r="AN31" s="741">
        <f>Gas!E36</f>
        <v>309.39999999999998</v>
      </c>
      <c r="AO31" s="741">
        <f>Gas!G36</f>
        <v>105</v>
      </c>
      <c r="AP31" s="748">
        <v>164</v>
      </c>
    </row>
    <row r="32" spans="1:42" ht="12.75" customHeight="1">
      <c r="A32" s="755" t="s">
        <v>11</v>
      </c>
      <c r="B32" s="756">
        <f>B31+1</f>
        <v>31</v>
      </c>
      <c r="C32" s="773">
        <v>8</v>
      </c>
      <c r="D32" s="753">
        <v>2021</v>
      </c>
      <c r="E32" s="807"/>
      <c r="F32" s="741">
        <f>Elect!J36</f>
        <v>5520</v>
      </c>
      <c r="G32" s="741">
        <f>Elect!K36</f>
        <v>3012</v>
      </c>
      <c r="H32" s="741">
        <f>Elect!Q36</f>
        <v>630</v>
      </c>
      <c r="I32" s="741">
        <f>Elect!S36</f>
        <v>148</v>
      </c>
      <c r="J32" s="741">
        <f>Elect!U36</f>
        <v>232</v>
      </c>
      <c r="K32" s="741">
        <f>Elect!W36</f>
        <v>2931.96</v>
      </c>
      <c r="L32" s="741">
        <f>Elect!Y36</f>
        <v>3971.2900000000004</v>
      </c>
      <c r="M32" s="741">
        <f>Elect!AA36</f>
        <v>0</v>
      </c>
      <c r="N32" s="741">
        <f>Elect!AC36</f>
        <v>0</v>
      </c>
      <c r="O32" s="741">
        <f>Elect!AE36</f>
        <v>1836.45</v>
      </c>
      <c r="P32" s="741">
        <f>Elect!AG36</f>
        <v>11.66</v>
      </c>
      <c r="Q32" s="741">
        <f>Elect!AI36</f>
        <v>1025.02</v>
      </c>
      <c r="R32" s="741">
        <f>Elect!AK36</f>
        <v>3897.09</v>
      </c>
      <c r="S32" s="741">
        <f>Elect!AM36</f>
        <v>152.64000000000001</v>
      </c>
      <c r="T32" s="741">
        <f>Elect!AP36</f>
        <v>161.88750000000002</v>
      </c>
      <c r="U32" s="741">
        <f>Elect!AR36</f>
        <v>239</v>
      </c>
      <c r="V32" s="741">
        <f>Elect!AT36</f>
        <v>192</v>
      </c>
      <c r="W32" s="741">
        <f>Elect!AV36</f>
        <v>52</v>
      </c>
      <c r="X32" s="741">
        <f>Elect!AX36</f>
        <v>1005</v>
      </c>
      <c r="Y32" s="741">
        <f>Elect!AZ36</f>
        <v>34</v>
      </c>
      <c r="Z32" s="741">
        <f>Elect!BB36</f>
        <v>4533</v>
      </c>
      <c r="AA32" s="741">
        <f>Elect!BD36</f>
        <v>197</v>
      </c>
      <c r="AB32" s="741">
        <f>Elect!BF36</f>
        <v>54</v>
      </c>
      <c r="AC32" s="741">
        <f>Elect!BH36</f>
        <v>7114.3499999999995</v>
      </c>
      <c r="AD32" s="741">
        <f>Elect!BL36</f>
        <v>291</v>
      </c>
      <c r="AE32" s="741">
        <f>Elect!BN36</f>
        <v>1313</v>
      </c>
      <c r="AF32" s="741">
        <f>Elect!BP36</f>
        <v>84</v>
      </c>
      <c r="AG32" s="741">
        <f>Elect!BR36</f>
        <v>137</v>
      </c>
      <c r="AH32" s="807"/>
      <c r="AI32" s="741">
        <f>Water!C37</f>
        <v>0</v>
      </c>
      <c r="AJ32" s="741">
        <f>Water!E37</f>
        <v>5.8</v>
      </c>
      <c r="AK32" s="741">
        <f>Water!G37</f>
        <v>0</v>
      </c>
      <c r="AL32" s="807"/>
      <c r="AM32" s="741">
        <f>Gas!C37</f>
        <v>785.46</v>
      </c>
      <c r="AN32" s="741">
        <f>Gas!E37</f>
        <v>225.39999999999998</v>
      </c>
      <c r="AO32" s="741">
        <f>Gas!G37</f>
        <v>94</v>
      </c>
      <c r="AP32" s="748">
        <v>164</v>
      </c>
    </row>
    <row r="33" spans="39:41">
      <c r="AM33" s="738"/>
      <c r="AN33" s="738"/>
      <c r="AO33" s="738"/>
    </row>
  </sheetData>
  <sheetProtection algorithmName="SHA-512" hashValue="sODjaEae7FpMkPLST9Iku3kvi2wzNFuD1X6rbWZVZDS73qgLlGvdBb7Jurp6zXM2CjOdBCG6zzpJh4SlkEggCg==" saltValue="ndBtZLiEtOMNWUHesb1+YQ==" spinCount="100000" sheet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AO17" activePane="bottomRight" state="frozen"/>
      <selection pane="topRight" activeCell="I1" sqref="I1"/>
      <selection pane="bottomLeft" activeCell="A5" sqref="A5"/>
      <selection pane="bottomRight" activeCell="BJ3" sqref="AO3:BJ3"/>
    </sheetView>
  </sheetViews>
  <sheetFormatPr defaultColWidth="10.7109375" defaultRowHeight="30.75" customHeight="1"/>
  <cols>
    <col min="1" max="1" width="26.140625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30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32" t="s">
        <v>14</v>
      </c>
      <c r="N1" s="832"/>
      <c r="O1" s="832"/>
      <c r="Q1" s="832"/>
      <c r="R1" s="530"/>
      <c r="S1" s="530"/>
      <c r="T1" s="530"/>
      <c r="U1" s="530"/>
      <c r="V1" s="791"/>
      <c r="W1" s="791"/>
      <c r="X1" s="791"/>
      <c r="Y1" s="791"/>
      <c r="Z1" s="791"/>
      <c r="AA1" s="791"/>
      <c r="AB1" s="791"/>
      <c r="AC1" s="791"/>
      <c r="AD1" s="791"/>
      <c r="AE1" s="791"/>
      <c r="AF1" s="791"/>
      <c r="AG1" s="791"/>
      <c r="AH1" s="791"/>
      <c r="AI1" s="791"/>
      <c r="AJ1" s="791"/>
      <c r="AK1" s="791"/>
      <c r="AL1" s="791"/>
      <c r="AM1" s="791"/>
      <c r="AN1" s="791"/>
      <c r="AO1" s="791"/>
      <c r="AP1" s="791"/>
      <c r="AQ1" s="791"/>
      <c r="AR1" s="791"/>
      <c r="AS1" s="791"/>
      <c r="AT1" s="791"/>
      <c r="AU1" s="791"/>
      <c r="AV1" s="791"/>
      <c r="AW1" s="791"/>
      <c r="AX1" s="791"/>
      <c r="AY1" s="791"/>
      <c r="AZ1" s="791"/>
      <c r="BA1" s="791"/>
      <c r="BB1" s="791"/>
      <c r="BC1" s="791"/>
      <c r="BD1" s="791"/>
      <c r="BE1" s="791"/>
      <c r="BF1" s="791"/>
      <c r="BG1" s="791"/>
      <c r="BH1" s="791"/>
      <c r="BI1" s="791"/>
      <c r="BJ1" s="791"/>
      <c r="BK1" s="530"/>
      <c r="BL1" s="530"/>
      <c r="BM1" s="791"/>
      <c r="BN1" s="791"/>
      <c r="BO1" s="528"/>
      <c r="BP1" s="808" t="s">
        <v>52</v>
      </c>
      <c r="BQ1" s="809"/>
      <c r="BR1" s="565">
        <v>1.6</v>
      </c>
      <c r="BS1" s="562" t="s">
        <v>53</v>
      </c>
      <c r="BT1" s="563"/>
      <c r="BU1" s="810" t="s">
        <v>54</v>
      </c>
      <c r="BV1" s="811"/>
      <c r="BW1" s="565">
        <v>500</v>
      </c>
      <c r="BX1" s="808" t="s">
        <v>55</v>
      </c>
      <c r="BY1" s="809"/>
      <c r="BZ1" s="565">
        <v>1.1499999999999999</v>
      </c>
    </row>
    <row r="2" spans="1:78" ht="28.5" customHeight="1" thickBot="1">
      <c r="A2" s="831"/>
      <c r="B2" s="114"/>
      <c r="C2" s="28"/>
      <c r="D2" s="28"/>
      <c r="E2" s="189"/>
      <c r="F2" s="189"/>
      <c r="I2" s="190"/>
      <c r="M2" s="833"/>
      <c r="N2" s="833"/>
      <c r="O2" s="833"/>
      <c r="Q2" s="833"/>
      <c r="R2" s="531"/>
      <c r="S2" s="531"/>
      <c r="T2" s="531"/>
      <c r="U2" s="531"/>
      <c r="V2" s="792"/>
      <c r="W2" s="792"/>
      <c r="X2" s="792"/>
      <c r="Y2" s="792"/>
      <c r="Z2" s="792"/>
      <c r="AA2" s="792"/>
      <c r="AB2" s="792"/>
      <c r="AC2" s="792"/>
      <c r="AD2" s="792" t="s">
        <v>56</v>
      </c>
      <c r="AE2" s="792"/>
      <c r="AF2" s="792"/>
      <c r="AG2" s="792"/>
      <c r="AH2" s="792"/>
      <c r="AI2" s="792"/>
      <c r="AJ2" s="792"/>
      <c r="AK2" s="792"/>
      <c r="AL2" s="792"/>
      <c r="AM2" s="792"/>
      <c r="AN2" s="792"/>
      <c r="AO2" s="792"/>
      <c r="AP2" s="792"/>
      <c r="AQ2" s="792"/>
      <c r="AR2" s="792"/>
      <c r="AS2" s="792"/>
      <c r="AT2" s="792"/>
      <c r="AU2" s="792"/>
      <c r="AV2" s="792"/>
      <c r="AW2" s="792"/>
      <c r="AX2" s="792"/>
      <c r="AY2" s="792"/>
      <c r="AZ2" s="792"/>
      <c r="BA2" s="792"/>
      <c r="BB2" s="792"/>
      <c r="BC2" s="792"/>
      <c r="BD2" s="792"/>
      <c r="BE2" s="792"/>
      <c r="BF2" s="792"/>
      <c r="BG2" s="792"/>
      <c r="BH2" s="792"/>
      <c r="BI2" s="792"/>
      <c r="BJ2" s="802">
        <f>SUM(BJ27:BJ36)</f>
        <v>277001.82499999995</v>
      </c>
      <c r="BK2" s="531"/>
      <c r="BL2" s="531"/>
      <c r="BM2" s="792"/>
      <c r="BN2" s="792"/>
      <c r="BO2" s="527"/>
      <c r="BP2" s="808"/>
      <c r="BQ2" s="809"/>
      <c r="BR2" s="565"/>
      <c r="BS2" s="567" t="s">
        <v>57</v>
      </c>
      <c r="BT2" s="568"/>
      <c r="BU2" s="810" t="s">
        <v>58</v>
      </c>
      <c r="BV2" s="811"/>
      <c r="BW2" s="569"/>
      <c r="BX2" s="808" t="s">
        <v>59</v>
      </c>
      <c r="BY2" s="809"/>
      <c r="BZ2" s="565">
        <v>30</v>
      </c>
    </row>
    <row r="3" spans="1:78" s="205" customFormat="1" ht="37.5" customHeight="1">
      <c r="A3" s="815" t="s">
        <v>60</v>
      </c>
      <c r="B3" s="817" t="s">
        <v>61</v>
      </c>
      <c r="C3" s="818"/>
      <c r="D3" s="812" t="s">
        <v>62</v>
      </c>
      <c r="E3" s="812"/>
      <c r="F3" s="812" t="s">
        <v>63</v>
      </c>
      <c r="G3" s="812"/>
      <c r="H3" s="834" t="s">
        <v>64</v>
      </c>
      <c r="I3" s="570" t="s">
        <v>65</v>
      </c>
      <c r="J3" s="536"/>
      <c r="K3" s="789"/>
      <c r="L3" s="812"/>
      <c r="M3" s="812"/>
      <c r="N3" s="812"/>
      <c r="O3" s="812"/>
      <c r="P3" s="812"/>
      <c r="Q3" s="812"/>
      <c r="R3" s="821" t="s">
        <v>66</v>
      </c>
      <c r="S3" s="821"/>
      <c r="T3" s="821"/>
      <c r="U3" s="822"/>
      <c r="V3" s="823" t="s">
        <v>67</v>
      </c>
      <c r="W3" s="824"/>
      <c r="X3" s="824"/>
      <c r="Y3" s="824"/>
      <c r="Z3" s="824"/>
      <c r="AA3" s="824"/>
      <c r="AB3" s="824"/>
      <c r="AC3" s="824"/>
      <c r="AD3" s="824"/>
      <c r="AE3" s="824"/>
      <c r="AF3" s="824"/>
      <c r="AG3" s="824"/>
      <c r="AH3" s="824"/>
      <c r="AI3" s="824"/>
      <c r="AJ3" s="824"/>
      <c r="AK3" s="824"/>
      <c r="AL3" s="824"/>
      <c r="AM3" s="824"/>
      <c r="AN3" s="825"/>
      <c r="AO3" s="829" t="s">
        <v>68</v>
      </c>
      <c r="AP3" s="821"/>
      <c r="AQ3" s="821"/>
      <c r="AR3" s="821"/>
      <c r="AS3" s="821"/>
      <c r="AT3" s="821"/>
      <c r="AU3" s="821"/>
      <c r="AV3" s="821"/>
      <c r="AW3" s="821"/>
      <c r="AX3" s="821"/>
      <c r="AY3" s="821"/>
      <c r="AZ3" s="821"/>
      <c r="BA3" s="821"/>
      <c r="BB3" s="821"/>
      <c r="BC3" s="821"/>
      <c r="BD3" s="821"/>
      <c r="BE3" s="821"/>
      <c r="BF3" s="821"/>
      <c r="BG3" s="821"/>
      <c r="BH3" s="821"/>
      <c r="BI3" s="821"/>
      <c r="BJ3" s="822"/>
      <c r="BK3" s="826" t="s">
        <v>69</v>
      </c>
      <c r="BL3" s="827"/>
      <c r="BM3" s="827"/>
      <c r="BN3" s="827"/>
      <c r="BO3" s="827"/>
      <c r="BP3" s="827"/>
      <c r="BQ3" s="827"/>
      <c r="BR3" s="828"/>
      <c r="BS3" s="819" t="s">
        <v>70</v>
      </c>
      <c r="BT3" s="790" t="s">
        <v>71</v>
      </c>
      <c r="BU3" s="790" t="s">
        <v>72</v>
      </c>
      <c r="BV3" s="790" t="s">
        <v>71</v>
      </c>
      <c r="BW3" s="790" t="s">
        <v>72</v>
      </c>
      <c r="BX3" s="812" t="s">
        <v>73</v>
      </c>
      <c r="BY3" s="571" t="s">
        <v>74</v>
      </c>
      <c r="BZ3" s="572" t="s">
        <v>74</v>
      </c>
    </row>
    <row r="4" spans="1:78" s="205" customFormat="1" ht="55.5" customHeight="1" thickBot="1">
      <c r="A4" s="816"/>
      <c r="B4" s="573" t="s">
        <v>75</v>
      </c>
      <c r="C4" s="574" t="s">
        <v>76</v>
      </c>
      <c r="D4" s="537" t="s">
        <v>75</v>
      </c>
      <c r="E4" s="574" t="s">
        <v>77</v>
      </c>
      <c r="F4" s="537" t="s">
        <v>78</v>
      </c>
      <c r="G4" s="574" t="s">
        <v>79</v>
      </c>
      <c r="H4" s="835"/>
      <c r="I4" s="575" t="s">
        <v>80</v>
      </c>
      <c r="J4" s="537" t="s">
        <v>81</v>
      </c>
      <c r="K4" s="537" t="s">
        <v>82</v>
      </c>
      <c r="L4" s="788" t="s">
        <v>83</v>
      </c>
      <c r="M4" s="537" t="s">
        <v>81</v>
      </c>
      <c r="N4" s="537" t="s">
        <v>84</v>
      </c>
      <c r="O4" s="537" t="s">
        <v>81</v>
      </c>
      <c r="P4" s="576" t="s">
        <v>85</v>
      </c>
      <c r="Q4" s="788" t="s">
        <v>86</v>
      </c>
      <c r="R4" s="688" t="s">
        <v>87</v>
      </c>
      <c r="S4" s="537" t="s">
        <v>81</v>
      </c>
      <c r="T4" s="688" t="s">
        <v>88</v>
      </c>
      <c r="U4" s="537" t="s">
        <v>81</v>
      </c>
      <c r="V4" s="548" t="s">
        <v>89</v>
      </c>
      <c r="W4" s="788" t="s">
        <v>90</v>
      </c>
      <c r="X4" s="548" t="s">
        <v>91</v>
      </c>
      <c r="Y4" s="788" t="s">
        <v>90</v>
      </c>
      <c r="Z4" s="716" t="s">
        <v>92</v>
      </c>
      <c r="AA4" s="788" t="s">
        <v>90</v>
      </c>
      <c r="AB4" s="548" t="s">
        <v>93</v>
      </c>
      <c r="AC4" s="788" t="s">
        <v>90</v>
      </c>
      <c r="AD4" s="548" t="s">
        <v>94</v>
      </c>
      <c r="AE4" s="788" t="s">
        <v>90</v>
      </c>
      <c r="AF4" s="548" t="s">
        <v>95</v>
      </c>
      <c r="AG4" s="788" t="s">
        <v>90</v>
      </c>
      <c r="AH4" s="548" t="s">
        <v>96</v>
      </c>
      <c r="AI4" s="788" t="s">
        <v>90</v>
      </c>
      <c r="AJ4" s="548" t="s">
        <v>97</v>
      </c>
      <c r="AK4" s="788" t="s">
        <v>90</v>
      </c>
      <c r="AL4" s="688" t="s">
        <v>98</v>
      </c>
      <c r="AM4" s="788" t="s">
        <v>90</v>
      </c>
      <c r="AN4" s="576" t="s">
        <v>99</v>
      </c>
      <c r="AO4" s="788" t="s">
        <v>100</v>
      </c>
      <c r="AP4" s="537" t="s">
        <v>81</v>
      </c>
      <c r="AQ4" s="788" t="s">
        <v>101</v>
      </c>
      <c r="AR4" s="537" t="s">
        <v>81</v>
      </c>
      <c r="AS4" s="788" t="s">
        <v>102</v>
      </c>
      <c r="AT4" s="537" t="s">
        <v>81</v>
      </c>
      <c r="AU4" s="788" t="s">
        <v>103</v>
      </c>
      <c r="AV4" s="537" t="s">
        <v>81</v>
      </c>
      <c r="AW4" s="537" t="s">
        <v>104</v>
      </c>
      <c r="AX4" s="537" t="s">
        <v>81</v>
      </c>
      <c r="AY4" s="788" t="s">
        <v>105</v>
      </c>
      <c r="AZ4" s="537" t="s">
        <v>81</v>
      </c>
      <c r="BA4" s="537" t="s">
        <v>106</v>
      </c>
      <c r="BB4" s="537" t="s">
        <v>81</v>
      </c>
      <c r="BC4" s="788" t="s">
        <v>107</v>
      </c>
      <c r="BD4" s="537" t="s">
        <v>81</v>
      </c>
      <c r="BE4" s="537" t="s">
        <v>108</v>
      </c>
      <c r="BF4" s="537" t="s">
        <v>81</v>
      </c>
      <c r="BG4" s="537" t="s">
        <v>109</v>
      </c>
      <c r="BH4" s="537" t="s">
        <v>81</v>
      </c>
      <c r="BI4" s="576" t="s">
        <v>110</v>
      </c>
      <c r="BJ4" s="576" t="s">
        <v>111</v>
      </c>
      <c r="BK4" s="788" t="s">
        <v>112</v>
      </c>
      <c r="BL4" s="537" t="s">
        <v>81</v>
      </c>
      <c r="BM4" s="537" t="s">
        <v>113</v>
      </c>
      <c r="BN4" s="537" t="s">
        <v>81</v>
      </c>
      <c r="BO4" s="537" t="s">
        <v>114</v>
      </c>
      <c r="BP4" s="537" t="s">
        <v>81</v>
      </c>
      <c r="BQ4" s="537" t="s">
        <v>115</v>
      </c>
      <c r="BR4" s="537" t="s">
        <v>81</v>
      </c>
      <c r="BS4" s="820"/>
      <c r="BT4" s="537" t="s">
        <v>116</v>
      </c>
      <c r="BU4" s="537" t="s">
        <v>117</v>
      </c>
      <c r="BV4" s="537" t="s">
        <v>118</v>
      </c>
      <c r="BW4" s="537" t="s">
        <v>118</v>
      </c>
      <c r="BX4" s="813"/>
      <c r="BY4" s="577" t="s">
        <v>119</v>
      </c>
      <c r="BZ4" s="578" t="s">
        <v>120</v>
      </c>
    </row>
    <row r="5" spans="1:78" s="385" customFormat="1" ht="39" customHeight="1">
      <c r="A5" s="525" t="s">
        <v>121</v>
      </c>
      <c r="B5" s="431"/>
      <c r="C5" s="432"/>
      <c r="D5" s="432"/>
      <c r="E5" s="432"/>
      <c r="F5" s="432"/>
      <c r="G5" s="432"/>
      <c r="H5" s="433"/>
      <c r="I5" s="771">
        <v>22912342</v>
      </c>
      <c r="J5" s="638">
        <f>IF(I5&gt;=I4,I5-I4,0)</f>
        <v>0</v>
      </c>
      <c r="K5" s="638">
        <f t="shared" ref="K5:K36" si="0">M5+O5</f>
        <v>0</v>
      </c>
      <c r="L5" s="771">
        <v>276660</v>
      </c>
      <c r="M5" s="638">
        <f t="shared" ref="M5:M36" si="1">IF(L5&gt;=L4,L5-L4,0)</f>
        <v>0</v>
      </c>
      <c r="N5" s="771">
        <v>275186</v>
      </c>
      <c r="O5" s="638">
        <f t="shared" ref="O5:O36" si="2">IF(N5&gt;=N4,N5-N4,0)</f>
        <v>0</v>
      </c>
      <c r="P5" s="771">
        <v>218214</v>
      </c>
      <c r="Q5" s="638">
        <f t="shared" ref="Q5:Q18" si="3">IF(P5&gt;=P4,P5-P4,0)*30</f>
        <v>0</v>
      </c>
      <c r="R5" s="770">
        <v>156363</v>
      </c>
      <c r="S5" s="638">
        <f t="shared" ref="S5:S20" si="4">IF(R5&gt;=R4,R5-R4,0)</f>
        <v>0</v>
      </c>
      <c r="T5" s="770">
        <v>284891</v>
      </c>
      <c r="U5" s="638">
        <f t="shared" ref="U5:U28" si="5">IF(T5&gt;=T4,T5-T4,0)</f>
        <v>0</v>
      </c>
      <c r="V5" s="770">
        <v>74714.399999999994</v>
      </c>
      <c r="W5" s="638">
        <f t="shared" ref="W5:W36" si="6">IF(V5&gt;=V4,V5-V4,0)*0.53</f>
        <v>0</v>
      </c>
      <c r="X5" s="771">
        <v>656436</v>
      </c>
      <c r="Y5" s="638">
        <f t="shared" ref="Y5:Y36" si="7">IF(X5&gt;=X4,X5-X4,0)*0.53</f>
        <v>0</v>
      </c>
      <c r="Z5" s="771">
        <v>812070</v>
      </c>
      <c r="AA5" s="638">
        <f t="shared" ref="AA5:AA36" si="8">IF(Z5&gt;=Z4,Z5-Z4,0)*0.53</f>
        <v>0</v>
      </c>
      <c r="AB5" s="770">
        <v>384369</v>
      </c>
      <c r="AC5" s="638">
        <f>IF(AB5&gt;=AB4,AB5-AB4,0)*0.53</f>
        <v>0</v>
      </c>
      <c r="AD5" s="770">
        <v>444403</v>
      </c>
      <c r="AE5" s="638">
        <f>IF(AD5&gt;=AD4,AD5-AD4,0)*0.53</f>
        <v>0</v>
      </c>
      <c r="AF5" s="770">
        <v>828640</v>
      </c>
      <c r="AG5" s="638">
        <f t="shared" ref="AG5:AG12" si="9">IF(AF5&gt;=AF4,AF5-AF4,0)*0.53</f>
        <v>0</v>
      </c>
      <c r="AH5" s="770">
        <v>773964</v>
      </c>
      <c r="AI5" s="638">
        <f t="shared" ref="AI5:AI36" si="10">IF(AH5&gt;=AH4,AH5-AH4,0)*0.53</f>
        <v>0</v>
      </c>
      <c r="AJ5" s="770">
        <v>714100</v>
      </c>
      <c r="AK5" s="638">
        <f t="shared" ref="AK5:AK12" si="11">IF(AJ5&gt;=AJ4,AJ5-AJ4,0)*0.53</f>
        <v>0</v>
      </c>
      <c r="AL5" s="770">
        <v>437279</v>
      </c>
      <c r="AM5" s="638">
        <f t="shared" ref="AM5:AM36" si="12">IF(AL5&gt;=AL4,AL5-AL4,0)*0.53</f>
        <v>0</v>
      </c>
      <c r="AN5" s="638">
        <f>W5+Y5+AA5+AC5+AE5+AG5+AI5+AK5+AM5</f>
        <v>0</v>
      </c>
      <c r="AO5" s="770">
        <v>7423402</v>
      </c>
      <c r="AP5" s="638">
        <f>IF(AO5&gt;=AO4,AO5-AO4,0)*0.1125</f>
        <v>0</v>
      </c>
      <c r="AQ5" s="770">
        <v>625376</v>
      </c>
      <c r="AR5" s="638">
        <f t="shared" ref="AR5:AR36" si="13">IF(AQ5&gt;=AQ4,AQ5-AQ4,0)</f>
        <v>0</v>
      </c>
      <c r="AS5" s="770">
        <v>937331</v>
      </c>
      <c r="AT5" s="638">
        <f>IF(AS5&gt;=AS4,AS5-AS4,0)</f>
        <v>0</v>
      </c>
      <c r="AU5" s="770">
        <v>801963</v>
      </c>
      <c r="AV5" s="638">
        <f t="shared" ref="AV5:AV36" si="14">IF(AU5&gt;=AU4,AU5-AU4,0)</f>
        <v>0</v>
      </c>
      <c r="AW5" s="770">
        <v>2465053</v>
      </c>
      <c r="AX5" s="638">
        <f t="shared" ref="AX5:AX36" si="15">IF(AW5&gt;=AW4,AW5-AW4,0)</f>
        <v>0</v>
      </c>
      <c r="AY5" s="771">
        <v>219380</v>
      </c>
      <c r="AZ5" s="638">
        <f t="shared" ref="AZ5:AZ18" si="16">IF(AY5&gt;=AY4,AY5-AY4,0)</f>
        <v>0</v>
      </c>
      <c r="BA5" s="770">
        <v>18406250</v>
      </c>
      <c r="BB5" s="638">
        <f t="shared" ref="BB5:BF36" si="17">IF(BA5&gt;=BA4,BA5-BA4,0)</f>
        <v>0</v>
      </c>
      <c r="BC5" s="770">
        <v>523872</v>
      </c>
      <c r="BD5" s="638">
        <f t="shared" si="17"/>
        <v>0</v>
      </c>
      <c r="BE5" s="770">
        <v>16072</v>
      </c>
      <c r="BF5" s="638">
        <f t="shared" si="17"/>
        <v>0</v>
      </c>
      <c r="BG5" s="771">
        <v>22977793</v>
      </c>
      <c r="BH5" s="638">
        <f>IF(BG5&gt;=BG4,BG5-BG4,0)-(0.45*BN5)-(0.45*BP5)-BR5</f>
        <v>0</v>
      </c>
      <c r="BI5" s="638">
        <f>AP5+AR5+AT5+AV5+AX5+AZ5+BB5+BD5+BF5+BH5</f>
        <v>0</v>
      </c>
      <c r="BJ5" s="638">
        <f>BI5+AN5</f>
        <v>0</v>
      </c>
      <c r="BK5" s="771">
        <v>1394789</v>
      </c>
      <c r="BL5" s="638">
        <f t="shared" ref="BL5:BL36" si="18">IF(BK5&gt;=BK4,BK5-BK4,0)</f>
        <v>0</v>
      </c>
      <c r="BM5" s="770">
        <v>3706215</v>
      </c>
      <c r="BN5" s="638">
        <f t="shared" ref="BN5:BN36" si="19">IF(BM5&gt;=BM4,BM5-BM4,0)</f>
        <v>0</v>
      </c>
      <c r="BO5" s="770">
        <v>392214</v>
      </c>
      <c r="BP5" s="638">
        <f t="shared" ref="BP5:BP36" si="20">IF(BO5&gt;=BO4,BO5-BO4,0)</f>
        <v>0</v>
      </c>
      <c r="BQ5" s="770">
        <v>488874</v>
      </c>
      <c r="BR5" s="638">
        <f t="shared" ref="BR5:BR11" si="21">IF(BQ5&gt;=BQ4,BQ5-BQ4,0)</f>
        <v>0</v>
      </c>
      <c r="BS5" s="770"/>
      <c r="BT5" s="713"/>
      <c r="BU5" s="434"/>
      <c r="BV5" s="711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1">
        <v>22922178</v>
      </c>
      <c r="J6" s="638">
        <f t="shared" ref="J6:J36" si="22">IF(I6&gt;=I5,I6-I5,0)</f>
        <v>9836</v>
      </c>
      <c r="K6" s="638">
        <f t="shared" si="0"/>
        <v>3372</v>
      </c>
      <c r="L6" s="771">
        <v>279129</v>
      </c>
      <c r="M6" s="638">
        <f t="shared" si="1"/>
        <v>2469</v>
      </c>
      <c r="N6" s="771">
        <v>276089</v>
      </c>
      <c r="O6" s="638">
        <f>IF(N6&gt;=N5,N6-N5,0)</f>
        <v>903</v>
      </c>
      <c r="P6" s="771">
        <v>218235</v>
      </c>
      <c r="Q6" s="638">
        <f t="shared" si="3"/>
        <v>630</v>
      </c>
      <c r="R6" s="770">
        <v>156775</v>
      </c>
      <c r="S6" s="638">
        <f t="shared" si="4"/>
        <v>412</v>
      </c>
      <c r="T6" s="770">
        <v>285727</v>
      </c>
      <c r="U6" s="638">
        <f t="shared" si="5"/>
        <v>836</v>
      </c>
      <c r="V6" s="770">
        <v>86332</v>
      </c>
      <c r="W6" s="638">
        <f t="shared" si="6"/>
        <v>6157.3280000000032</v>
      </c>
      <c r="X6" s="771">
        <v>666755</v>
      </c>
      <c r="Y6" s="638">
        <f t="shared" si="7"/>
        <v>5469.0700000000006</v>
      </c>
      <c r="Z6" s="770">
        <v>812070</v>
      </c>
      <c r="AA6" s="638">
        <f t="shared" si="8"/>
        <v>0</v>
      </c>
      <c r="AB6" s="770">
        <v>384449</v>
      </c>
      <c r="AC6" s="638">
        <f>IF(AB6&gt;=AB5,AB6-AB5,0)*0.53</f>
        <v>42.400000000000006</v>
      </c>
      <c r="AD6" s="770">
        <v>449854</v>
      </c>
      <c r="AE6" s="638">
        <f t="shared" ref="AE6:AE36" si="23">IF(AD6&gt;=AD5,AD6-AD5,0)*0.53</f>
        <v>2889.03</v>
      </c>
      <c r="AF6" s="770">
        <v>828148</v>
      </c>
      <c r="AG6" s="638">
        <f t="shared" si="9"/>
        <v>0</v>
      </c>
      <c r="AH6" s="771">
        <v>776726</v>
      </c>
      <c r="AI6" s="638">
        <f t="shared" si="10"/>
        <v>1463.8600000000001</v>
      </c>
      <c r="AJ6" s="771">
        <v>724501</v>
      </c>
      <c r="AK6" s="638">
        <f t="shared" si="11"/>
        <v>5512.5300000000007</v>
      </c>
      <c r="AL6" s="770">
        <v>437679</v>
      </c>
      <c r="AM6" s="638">
        <f t="shared" si="12"/>
        <v>212</v>
      </c>
      <c r="AN6" s="638">
        <f t="shared" ref="AN6:AN36" si="24">W6+Y6+AA6+AC6+AE6+AG6+AI6+AK6+AM6</f>
        <v>21746.218000000008</v>
      </c>
      <c r="AO6" s="770">
        <v>7425375</v>
      </c>
      <c r="AP6" s="638">
        <f t="shared" ref="AP6:AP36" si="25">IF(AO6&gt;=AO5,AO6-AO5,0)*0.1125</f>
        <v>221.96250000000001</v>
      </c>
      <c r="AQ6" s="770">
        <v>625632</v>
      </c>
      <c r="AR6" s="638">
        <f t="shared" si="13"/>
        <v>256</v>
      </c>
      <c r="AS6" s="770">
        <v>937577</v>
      </c>
      <c r="AT6" s="638">
        <f t="shared" ref="AT6:AT34" si="26">IF(AS6&gt;=AS5,AS6-AS5,0)</f>
        <v>246</v>
      </c>
      <c r="AU6" s="712">
        <v>801984</v>
      </c>
      <c r="AV6" s="638">
        <f t="shared" si="14"/>
        <v>21</v>
      </c>
      <c r="AW6" s="771">
        <v>2466394</v>
      </c>
      <c r="AX6" s="638">
        <f t="shared" si="15"/>
        <v>1341</v>
      </c>
      <c r="AY6" s="771">
        <v>219380</v>
      </c>
      <c r="AZ6" s="638">
        <f t="shared" si="16"/>
        <v>0</v>
      </c>
      <c r="BA6" s="771">
        <v>18412158</v>
      </c>
      <c r="BB6" s="638">
        <f t="shared" si="17"/>
        <v>5908</v>
      </c>
      <c r="BC6" s="770">
        <v>524104</v>
      </c>
      <c r="BD6" s="638">
        <f t="shared" si="17"/>
        <v>232</v>
      </c>
      <c r="BE6" s="770">
        <v>16209</v>
      </c>
      <c r="BF6" s="638">
        <f t="shared" si="17"/>
        <v>137</v>
      </c>
      <c r="BG6" s="771">
        <v>22984584</v>
      </c>
      <c r="BH6" s="638">
        <f t="shared" ref="BH6:BH36" si="27">IF(BG6&gt;=BG5,BG6-BG5,0)-(0.45*BN6)-(0.45*BP6)-BR6</f>
        <v>5937.25</v>
      </c>
      <c r="BI6" s="638">
        <f t="shared" ref="BI6:BI36" si="28">AP6+AR6+AT6+AV6+AX6+AZ6+BB6+BD6+BF6+BH6</f>
        <v>14300.2125</v>
      </c>
      <c r="BJ6" s="638">
        <f t="shared" ref="BJ6:BJ36" si="29">BI6+AN6</f>
        <v>36046.430500000009</v>
      </c>
      <c r="BK6" s="771">
        <v>1394789</v>
      </c>
      <c r="BL6" s="638">
        <f t="shared" si="18"/>
        <v>0</v>
      </c>
      <c r="BM6" s="771">
        <v>3707479</v>
      </c>
      <c r="BN6" s="638">
        <f t="shared" si="19"/>
        <v>1264</v>
      </c>
      <c r="BO6" s="771">
        <v>392345</v>
      </c>
      <c r="BP6" s="638">
        <f t="shared" si="20"/>
        <v>131</v>
      </c>
      <c r="BQ6" s="770">
        <v>489100</v>
      </c>
      <c r="BR6" s="638">
        <f t="shared" si="21"/>
        <v>226</v>
      </c>
      <c r="BS6" s="694">
        <f t="shared" ref="BS6:BS36" si="30">J6+Q6+AN6+BI6</f>
        <v>46512.430500000009</v>
      </c>
      <c r="BT6" s="695">
        <v>177</v>
      </c>
      <c r="BU6" s="694" t="e">
        <f t="shared" ref="BU6:BU12" si="31">IF(BS6&gt;0,BS6/BT5,0)</f>
        <v>#DIV/0!</v>
      </c>
      <c r="BV6" s="695"/>
      <c r="BW6" s="694" t="e">
        <f t="shared" ref="BW6:BW36" si="32">IF(BS6&gt;0,BS6/BV6,0)</f>
        <v>#DIV/0!</v>
      </c>
      <c r="BX6" s="694">
        <f>((BS6-Q6)*$BZ$1)+(Q6*$BR$1)</f>
        <v>53772.795075000009</v>
      </c>
      <c r="BY6" s="694" t="e">
        <f t="shared" ref="BY6:BY15" si="33">IF(BX6&gt;0,BX6/BT5,0)</f>
        <v>#DIV/0!</v>
      </c>
      <c r="BZ6" s="696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1">
        <v>22927394</v>
      </c>
      <c r="J7" s="638">
        <f t="shared" si="22"/>
        <v>5216</v>
      </c>
      <c r="K7" s="638">
        <f t="shared" si="0"/>
        <v>3379</v>
      </c>
      <c r="L7" s="771">
        <v>281166</v>
      </c>
      <c r="M7" s="638">
        <f>IF(L7&gt;=L6,L7-L6,0)</f>
        <v>2037</v>
      </c>
      <c r="N7" s="771">
        <v>277431</v>
      </c>
      <c r="O7" s="638">
        <f>IF(N7&gt;=N6,N7-N6,0)</f>
        <v>1342</v>
      </c>
      <c r="P7" s="771">
        <v>218250</v>
      </c>
      <c r="Q7" s="638">
        <f t="shared" si="3"/>
        <v>450</v>
      </c>
      <c r="R7" s="770">
        <v>156912</v>
      </c>
      <c r="S7" s="638">
        <f t="shared" si="4"/>
        <v>137</v>
      </c>
      <c r="T7" s="770">
        <v>285998</v>
      </c>
      <c r="U7" s="638">
        <f t="shared" si="5"/>
        <v>271</v>
      </c>
      <c r="V7" s="770">
        <v>92944</v>
      </c>
      <c r="W7" s="638">
        <f t="shared" si="6"/>
        <v>3504.36</v>
      </c>
      <c r="X7" s="771">
        <v>674342</v>
      </c>
      <c r="Y7" s="638">
        <f t="shared" si="7"/>
        <v>4021.11</v>
      </c>
      <c r="Z7" s="770">
        <v>812070</v>
      </c>
      <c r="AA7" s="638">
        <f t="shared" si="8"/>
        <v>0</v>
      </c>
      <c r="AB7" s="770">
        <v>384449</v>
      </c>
      <c r="AC7" s="638">
        <f t="shared" ref="AC7:AC36" si="34">IF(AB7&gt;=AB6,AB7-AB6,0)*0.53</f>
        <v>0</v>
      </c>
      <c r="AD7" s="770">
        <v>453372</v>
      </c>
      <c r="AE7" s="638">
        <f t="shared" si="23"/>
        <v>1864.5400000000002</v>
      </c>
      <c r="AF7" s="770">
        <v>828166</v>
      </c>
      <c r="AG7" s="638">
        <f t="shared" si="9"/>
        <v>9.5400000000000009</v>
      </c>
      <c r="AH7" s="771">
        <v>778830</v>
      </c>
      <c r="AI7" s="638">
        <f t="shared" si="10"/>
        <v>1115.1200000000001</v>
      </c>
      <c r="AJ7" s="771">
        <v>731406</v>
      </c>
      <c r="AK7" s="638">
        <f t="shared" si="11"/>
        <v>3659.65</v>
      </c>
      <c r="AL7" s="770">
        <v>438003</v>
      </c>
      <c r="AM7" s="638">
        <f t="shared" si="12"/>
        <v>171.72</v>
      </c>
      <c r="AN7" s="638">
        <f t="shared" si="24"/>
        <v>14346.04</v>
      </c>
      <c r="AO7" s="770">
        <v>7427233</v>
      </c>
      <c r="AP7" s="638">
        <f t="shared" si="25"/>
        <v>209.02500000000001</v>
      </c>
      <c r="AQ7" s="770">
        <v>625928</v>
      </c>
      <c r="AR7" s="638">
        <f t="shared" si="13"/>
        <v>296</v>
      </c>
      <c r="AS7" s="770">
        <v>937763</v>
      </c>
      <c r="AT7" s="638">
        <f t="shared" si="26"/>
        <v>186</v>
      </c>
      <c r="AU7" s="712">
        <v>802052</v>
      </c>
      <c r="AV7" s="638">
        <f t="shared" si="14"/>
        <v>68</v>
      </c>
      <c r="AW7" s="771">
        <v>2467453</v>
      </c>
      <c r="AX7" s="638">
        <f t="shared" si="15"/>
        <v>1059</v>
      </c>
      <c r="AY7" s="770">
        <v>219392</v>
      </c>
      <c r="AZ7" s="638">
        <f t="shared" si="16"/>
        <v>12</v>
      </c>
      <c r="BA7" s="771">
        <v>18417165</v>
      </c>
      <c r="BB7" s="638">
        <f t="shared" si="17"/>
        <v>5007</v>
      </c>
      <c r="BC7" s="770">
        <v>524306</v>
      </c>
      <c r="BD7" s="638">
        <f t="shared" si="17"/>
        <v>202</v>
      </c>
      <c r="BE7" s="770">
        <v>16360</v>
      </c>
      <c r="BF7" s="638">
        <f t="shared" si="17"/>
        <v>151</v>
      </c>
      <c r="BG7" s="771">
        <v>22991408</v>
      </c>
      <c r="BH7" s="638">
        <f t="shared" si="27"/>
        <v>5832.0999999999995</v>
      </c>
      <c r="BI7" s="638">
        <f t="shared" si="28"/>
        <v>13022.125</v>
      </c>
      <c r="BJ7" s="638">
        <f t="shared" si="29"/>
        <v>27368.165000000001</v>
      </c>
      <c r="BK7" s="771">
        <v>1394793</v>
      </c>
      <c r="BL7" s="638">
        <f t="shared" si="18"/>
        <v>4</v>
      </c>
      <c r="BM7" s="771">
        <v>3709102</v>
      </c>
      <c r="BN7" s="638">
        <f t="shared" si="19"/>
        <v>1623</v>
      </c>
      <c r="BO7" s="771">
        <v>392464</v>
      </c>
      <c r="BP7" s="638">
        <f t="shared" si="20"/>
        <v>119</v>
      </c>
      <c r="BQ7" s="770">
        <v>489308</v>
      </c>
      <c r="BR7" s="638">
        <f t="shared" si="21"/>
        <v>208</v>
      </c>
      <c r="BS7" s="694">
        <f t="shared" si="30"/>
        <v>33034.165000000001</v>
      </c>
      <c r="BT7" s="695">
        <v>212</v>
      </c>
      <c r="BU7" s="694">
        <f t="shared" si="31"/>
        <v>186.63370056497175</v>
      </c>
      <c r="BV7" s="695"/>
      <c r="BW7" s="694" t="e">
        <f t="shared" si="32"/>
        <v>#DIV/0!</v>
      </c>
      <c r="BX7" s="694">
        <f t="shared" ref="BX7:BX36" si="35">((BS7-Q7)*$BZ$1)+(Q7*$BR$1)</f>
        <v>38191.789749999996</v>
      </c>
      <c r="BY7" s="694">
        <f t="shared" si="33"/>
        <v>215.77282344632766</v>
      </c>
      <c r="BZ7" s="696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1">
        <v>22932824</v>
      </c>
      <c r="J8" s="638">
        <f t="shared" si="22"/>
        <v>5430</v>
      </c>
      <c r="K8" s="638">
        <f t="shared" si="0"/>
        <v>3481</v>
      </c>
      <c r="L8" s="771">
        <v>283234</v>
      </c>
      <c r="M8" s="638">
        <f>IF(L8&gt;=L7,L8-L7,0)</f>
        <v>2068</v>
      </c>
      <c r="N8" s="771">
        <v>278844</v>
      </c>
      <c r="O8" s="638">
        <f t="shared" ref="O8:O11" si="40">IF(N8&gt;=N7,N8-N7,0)</f>
        <v>1413</v>
      </c>
      <c r="P8" s="771">
        <v>218270</v>
      </c>
      <c r="Q8" s="638">
        <f t="shared" si="3"/>
        <v>600</v>
      </c>
      <c r="R8" s="770">
        <v>157052</v>
      </c>
      <c r="S8" s="638">
        <f t="shared" si="4"/>
        <v>140</v>
      </c>
      <c r="T8" s="770">
        <v>286263</v>
      </c>
      <c r="U8" s="638">
        <f t="shared" si="5"/>
        <v>265</v>
      </c>
      <c r="V8" s="770">
        <v>99875</v>
      </c>
      <c r="W8" s="638">
        <f t="shared" si="6"/>
        <v>3673.4300000000003</v>
      </c>
      <c r="X8" s="771">
        <v>682143</v>
      </c>
      <c r="Y8" s="638">
        <f t="shared" si="7"/>
        <v>4134.5300000000007</v>
      </c>
      <c r="Z8" s="771">
        <v>812070</v>
      </c>
      <c r="AA8" s="638">
        <f t="shared" si="8"/>
        <v>0</v>
      </c>
      <c r="AB8" s="770">
        <v>384449</v>
      </c>
      <c r="AC8" s="638">
        <f t="shared" si="34"/>
        <v>0</v>
      </c>
      <c r="AD8" s="770">
        <v>456862</v>
      </c>
      <c r="AE8" s="638">
        <f t="shared" si="23"/>
        <v>1849.7</v>
      </c>
      <c r="AF8" s="770">
        <v>828319</v>
      </c>
      <c r="AG8" s="638">
        <f t="shared" si="9"/>
        <v>81.09</v>
      </c>
      <c r="AH8" s="770">
        <v>780985</v>
      </c>
      <c r="AI8" s="638">
        <f t="shared" si="10"/>
        <v>1142.1500000000001</v>
      </c>
      <c r="AJ8" s="770">
        <v>738607</v>
      </c>
      <c r="AK8" s="638">
        <f t="shared" si="11"/>
        <v>3816.53</v>
      </c>
      <c r="AL8" s="770">
        <v>438331</v>
      </c>
      <c r="AM8" s="638">
        <f t="shared" si="12"/>
        <v>173.84</v>
      </c>
      <c r="AN8" s="638">
        <f t="shared" si="24"/>
        <v>14871.270000000002</v>
      </c>
      <c r="AO8" s="770">
        <v>7429219</v>
      </c>
      <c r="AP8" s="638">
        <f t="shared" si="25"/>
        <v>223.42500000000001</v>
      </c>
      <c r="AQ8" s="771">
        <v>626126</v>
      </c>
      <c r="AR8" s="638">
        <f t="shared" si="13"/>
        <v>198</v>
      </c>
      <c r="AS8" s="771">
        <v>937960</v>
      </c>
      <c r="AT8" s="638">
        <f t="shared" si="26"/>
        <v>197</v>
      </c>
      <c r="AU8" s="712">
        <v>802127</v>
      </c>
      <c r="AV8" s="638">
        <f>IF(AU8&gt;=AU7,AU8-AU7,0)</f>
        <v>75</v>
      </c>
      <c r="AW8" s="771">
        <v>2468559</v>
      </c>
      <c r="AX8" s="638">
        <f t="shared" si="15"/>
        <v>1106</v>
      </c>
      <c r="AY8" s="770">
        <v>219409</v>
      </c>
      <c r="AZ8" s="638">
        <f t="shared" si="16"/>
        <v>17</v>
      </c>
      <c r="BA8" s="770">
        <v>18422074</v>
      </c>
      <c r="BB8" s="638">
        <f t="shared" si="17"/>
        <v>4909</v>
      </c>
      <c r="BC8" s="770">
        <v>524512</v>
      </c>
      <c r="BD8" s="638">
        <f t="shared" si="17"/>
        <v>206</v>
      </c>
      <c r="BE8" s="770">
        <v>16489</v>
      </c>
      <c r="BF8" s="638">
        <f t="shared" si="17"/>
        <v>129</v>
      </c>
      <c r="BG8" s="771">
        <v>22998437</v>
      </c>
      <c r="BH8" s="638">
        <f t="shared" si="27"/>
        <v>6001.5999999999995</v>
      </c>
      <c r="BI8" s="638">
        <f t="shared" si="28"/>
        <v>13062.025</v>
      </c>
      <c r="BJ8" s="638">
        <f t="shared" si="29"/>
        <v>27933.295000000002</v>
      </c>
      <c r="BK8" s="771">
        <v>1394852</v>
      </c>
      <c r="BL8" s="638">
        <f t="shared" si="18"/>
        <v>59</v>
      </c>
      <c r="BM8" s="770">
        <v>3710800</v>
      </c>
      <c r="BN8" s="638">
        <f t="shared" si="19"/>
        <v>1698</v>
      </c>
      <c r="BO8" s="770">
        <v>392578</v>
      </c>
      <c r="BP8" s="638">
        <f t="shared" si="20"/>
        <v>114</v>
      </c>
      <c r="BQ8" s="770">
        <v>489520</v>
      </c>
      <c r="BR8" s="638">
        <f t="shared" si="21"/>
        <v>212</v>
      </c>
      <c r="BS8" s="694">
        <f t="shared" si="30"/>
        <v>33963.295000000006</v>
      </c>
      <c r="BT8" s="695">
        <v>214</v>
      </c>
      <c r="BU8" s="694">
        <f t="shared" si="31"/>
        <v>160.20422169811323</v>
      </c>
      <c r="BV8" s="695"/>
      <c r="BW8" s="694" t="e">
        <f t="shared" si="32"/>
        <v>#DIV/0!</v>
      </c>
      <c r="BX8" s="694">
        <f t="shared" si="35"/>
        <v>39327.789250000002</v>
      </c>
      <c r="BY8" s="694">
        <f t="shared" si="33"/>
        <v>185.50843985849056</v>
      </c>
      <c r="BZ8" s="696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1">
        <v>22938410</v>
      </c>
      <c r="J9" s="638">
        <f>IF(I9&gt;=I8,I9-I8,0)</f>
        <v>5586</v>
      </c>
      <c r="K9" s="638">
        <f t="shared" si="0"/>
        <v>3484</v>
      </c>
      <c r="L9" s="771">
        <v>285293</v>
      </c>
      <c r="M9" s="638">
        <f>IF(L9&gt;=L8,L9-L8,0)</f>
        <v>2059</v>
      </c>
      <c r="N9" s="771">
        <v>280269</v>
      </c>
      <c r="O9" s="638">
        <f t="shared" si="40"/>
        <v>1425</v>
      </c>
      <c r="P9" s="771">
        <v>218294</v>
      </c>
      <c r="Q9" s="638">
        <f t="shared" si="3"/>
        <v>720</v>
      </c>
      <c r="R9" s="770">
        <v>157189</v>
      </c>
      <c r="S9" s="638">
        <f t="shared" si="4"/>
        <v>137</v>
      </c>
      <c r="T9" s="770">
        <v>286533</v>
      </c>
      <c r="U9" s="638">
        <f t="shared" si="5"/>
        <v>270</v>
      </c>
      <c r="V9" s="770">
        <v>106862</v>
      </c>
      <c r="W9" s="638">
        <f t="shared" si="6"/>
        <v>3703.11</v>
      </c>
      <c r="X9" s="771">
        <v>689772</v>
      </c>
      <c r="Y9" s="638">
        <f t="shared" si="7"/>
        <v>4043.3700000000003</v>
      </c>
      <c r="Z9" s="771">
        <v>812070</v>
      </c>
      <c r="AA9" s="638">
        <f t="shared" si="8"/>
        <v>0</v>
      </c>
      <c r="AB9" s="770">
        <v>384449</v>
      </c>
      <c r="AC9" s="638">
        <f t="shared" si="34"/>
        <v>0</v>
      </c>
      <c r="AD9" s="770">
        <v>459936</v>
      </c>
      <c r="AE9" s="638">
        <f t="shared" si="23"/>
        <v>1629.22</v>
      </c>
      <c r="AF9" s="770">
        <v>829126</v>
      </c>
      <c r="AG9" s="638">
        <f t="shared" si="9"/>
        <v>427.71000000000004</v>
      </c>
      <c r="AH9" s="771">
        <v>783087</v>
      </c>
      <c r="AI9" s="638">
        <f t="shared" si="10"/>
        <v>1114.06</v>
      </c>
      <c r="AJ9" s="771">
        <v>745655</v>
      </c>
      <c r="AK9" s="638">
        <f t="shared" si="11"/>
        <v>3735.44</v>
      </c>
      <c r="AL9" s="770">
        <v>438658</v>
      </c>
      <c r="AM9" s="638">
        <f t="shared" si="12"/>
        <v>173.31</v>
      </c>
      <c r="AN9" s="638">
        <f t="shared" si="24"/>
        <v>14826.22</v>
      </c>
      <c r="AO9" s="770">
        <v>7431031</v>
      </c>
      <c r="AP9" s="638">
        <f t="shared" si="25"/>
        <v>203.85</v>
      </c>
      <c r="AQ9" s="770">
        <v>626341</v>
      </c>
      <c r="AR9" s="638">
        <f t="shared" si="13"/>
        <v>215</v>
      </c>
      <c r="AS9" s="771">
        <v>938143</v>
      </c>
      <c r="AT9" s="638">
        <f t="shared" si="26"/>
        <v>183</v>
      </c>
      <c r="AU9" s="712">
        <v>802202</v>
      </c>
      <c r="AV9" s="638">
        <f>IF(AU9&gt;=AU8,AU9-AU8,0)</f>
        <v>75</v>
      </c>
      <c r="AW9" s="771">
        <v>2469632</v>
      </c>
      <c r="AX9" s="638">
        <f t="shared" si="15"/>
        <v>1073</v>
      </c>
      <c r="AY9" s="770">
        <v>219426</v>
      </c>
      <c r="AZ9" s="638">
        <f t="shared" si="16"/>
        <v>17</v>
      </c>
      <c r="BA9" s="771">
        <v>18427520</v>
      </c>
      <c r="BB9" s="638">
        <f t="shared" si="17"/>
        <v>5446</v>
      </c>
      <c r="BC9" s="770">
        <v>524751</v>
      </c>
      <c r="BD9" s="638">
        <f t="shared" si="17"/>
        <v>239</v>
      </c>
      <c r="BE9" s="770">
        <v>16546</v>
      </c>
      <c r="BF9" s="638">
        <f t="shared" si="17"/>
        <v>57</v>
      </c>
      <c r="BG9" s="771">
        <v>23005460</v>
      </c>
      <c r="BH9" s="638">
        <f t="shared" si="27"/>
        <v>5962.1</v>
      </c>
      <c r="BI9" s="638">
        <f t="shared" si="28"/>
        <v>13470.95</v>
      </c>
      <c r="BJ9" s="638">
        <f t="shared" si="29"/>
        <v>28297.17</v>
      </c>
      <c r="BK9" s="771">
        <v>1394909</v>
      </c>
      <c r="BL9" s="638">
        <f t="shared" si="18"/>
        <v>57</v>
      </c>
      <c r="BM9" s="771">
        <v>3712592</v>
      </c>
      <c r="BN9" s="638">
        <f t="shared" si="19"/>
        <v>1792</v>
      </c>
      <c r="BO9" s="771">
        <v>392688</v>
      </c>
      <c r="BP9" s="638">
        <f t="shared" si="20"/>
        <v>110</v>
      </c>
      <c r="BQ9" s="770">
        <v>489725</v>
      </c>
      <c r="BR9" s="638">
        <f t="shared" si="21"/>
        <v>205</v>
      </c>
      <c r="BS9" s="694">
        <f t="shared" si="30"/>
        <v>34603.17</v>
      </c>
      <c r="BT9" s="695">
        <v>222</v>
      </c>
      <c r="BU9" s="694">
        <f t="shared" si="31"/>
        <v>161.69705607476635</v>
      </c>
      <c r="BV9" s="695"/>
      <c r="BW9" s="694" t="e">
        <f t="shared" si="32"/>
        <v>#DIV/0!</v>
      </c>
      <c r="BX9" s="694">
        <f t="shared" si="35"/>
        <v>40117.645499999991</v>
      </c>
      <c r="BY9" s="694">
        <f t="shared" si="33"/>
        <v>187.46563317757006</v>
      </c>
      <c r="BZ9" s="696" t="e">
        <f t="shared" si="36"/>
        <v>#DIV/0!</v>
      </c>
    </row>
    <row r="10" spans="1:78" s="457" customFormat="1" ht="33.75" customHeight="1">
      <c r="A10" s="430">
        <v>5</v>
      </c>
      <c r="B10" s="455"/>
      <c r="C10" s="770">
        <f t="shared" si="37"/>
        <v>0</v>
      </c>
      <c r="D10" s="770"/>
      <c r="E10" s="770">
        <f t="shared" si="38"/>
        <v>0</v>
      </c>
      <c r="F10" s="770"/>
      <c r="G10" s="770">
        <f t="shared" si="39"/>
        <v>0</v>
      </c>
      <c r="H10" s="456">
        <v>58</v>
      </c>
      <c r="I10" s="771">
        <v>22944323</v>
      </c>
      <c r="J10" s="638">
        <f>IF(I10&gt;=I9,I10-I9,0)</f>
        <v>5913</v>
      </c>
      <c r="K10" s="638">
        <f t="shared" si="0"/>
        <v>3689</v>
      </c>
      <c r="L10" s="771">
        <v>287435</v>
      </c>
      <c r="M10" s="638">
        <f>IF(L10&gt;=L9,L10-L9,0)</f>
        <v>2142</v>
      </c>
      <c r="N10" s="770">
        <v>281816</v>
      </c>
      <c r="O10" s="638">
        <f t="shared" si="40"/>
        <v>1547</v>
      </c>
      <c r="P10" s="771">
        <v>218311</v>
      </c>
      <c r="Q10" s="638">
        <f t="shared" si="3"/>
        <v>510</v>
      </c>
      <c r="R10" s="770">
        <v>157330</v>
      </c>
      <c r="S10" s="638">
        <f t="shared" si="4"/>
        <v>141</v>
      </c>
      <c r="T10" s="770">
        <v>286823</v>
      </c>
      <c r="U10" s="638">
        <f t="shared" si="5"/>
        <v>290</v>
      </c>
      <c r="V10" s="770">
        <v>113501</v>
      </c>
      <c r="W10" s="638">
        <f t="shared" si="6"/>
        <v>3518.67</v>
      </c>
      <c r="X10" s="771">
        <v>697508</v>
      </c>
      <c r="Y10" s="638">
        <f t="shared" si="7"/>
        <v>4100.08</v>
      </c>
      <c r="Z10" s="771">
        <v>812070</v>
      </c>
      <c r="AA10" s="638">
        <f t="shared" si="8"/>
        <v>0</v>
      </c>
      <c r="AB10" s="770">
        <v>384449</v>
      </c>
      <c r="AC10" s="638">
        <f t="shared" si="34"/>
        <v>0</v>
      </c>
      <c r="AD10" s="770">
        <v>463392</v>
      </c>
      <c r="AE10" s="638">
        <f t="shared" si="23"/>
        <v>1831.68</v>
      </c>
      <c r="AF10" s="770">
        <v>829147</v>
      </c>
      <c r="AG10" s="638">
        <f t="shared" si="9"/>
        <v>11.13</v>
      </c>
      <c r="AH10" s="770">
        <v>785253</v>
      </c>
      <c r="AI10" s="638">
        <f t="shared" si="10"/>
        <v>1147.98</v>
      </c>
      <c r="AJ10" s="770">
        <v>752775</v>
      </c>
      <c r="AK10" s="638">
        <f t="shared" si="11"/>
        <v>3773.6000000000004</v>
      </c>
      <c r="AL10" s="770">
        <v>438993</v>
      </c>
      <c r="AM10" s="638">
        <f t="shared" si="12"/>
        <v>177.55</v>
      </c>
      <c r="AN10" s="638">
        <f t="shared" si="24"/>
        <v>14560.689999999999</v>
      </c>
      <c r="AO10" s="770">
        <v>7432815</v>
      </c>
      <c r="AP10" s="638">
        <f t="shared" si="25"/>
        <v>200.70000000000002</v>
      </c>
      <c r="AQ10" s="770">
        <v>626554</v>
      </c>
      <c r="AR10" s="638">
        <f t="shared" si="13"/>
        <v>213</v>
      </c>
      <c r="AS10" s="770">
        <v>938343</v>
      </c>
      <c r="AT10" s="638">
        <f t="shared" si="26"/>
        <v>200</v>
      </c>
      <c r="AU10" s="770">
        <v>802278</v>
      </c>
      <c r="AV10" s="638">
        <f>IF(AU10&gt;=AU9,AU10-AU9,0)</f>
        <v>76</v>
      </c>
      <c r="AW10" s="770">
        <v>2470738</v>
      </c>
      <c r="AX10" s="638">
        <f t="shared" si="15"/>
        <v>1106</v>
      </c>
      <c r="AY10" s="771">
        <v>219473</v>
      </c>
      <c r="AZ10" s="638">
        <f t="shared" si="16"/>
        <v>47</v>
      </c>
      <c r="BA10" s="770">
        <v>18432278</v>
      </c>
      <c r="BB10" s="638">
        <f t="shared" si="17"/>
        <v>4758</v>
      </c>
      <c r="BC10" s="770">
        <v>524997</v>
      </c>
      <c r="BD10" s="638">
        <f t="shared" si="17"/>
        <v>246</v>
      </c>
      <c r="BE10" s="770">
        <v>16752</v>
      </c>
      <c r="BF10" s="638">
        <f t="shared" si="17"/>
        <v>206</v>
      </c>
      <c r="BG10" s="771">
        <v>23012637</v>
      </c>
      <c r="BH10" s="638">
        <f t="shared" si="27"/>
        <v>6135.75</v>
      </c>
      <c r="BI10" s="638">
        <f t="shared" si="28"/>
        <v>13188.45</v>
      </c>
      <c r="BJ10" s="638">
        <f t="shared" si="29"/>
        <v>27749.14</v>
      </c>
      <c r="BK10" s="771">
        <v>1394969</v>
      </c>
      <c r="BL10" s="638">
        <f t="shared" si="18"/>
        <v>60</v>
      </c>
      <c r="BM10" s="771">
        <v>3714310</v>
      </c>
      <c r="BN10" s="638">
        <f t="shared" si="19"/>
        <v>1718</v>
      </c>
      <c r="BO10" s="709">
        <v>392815</v>
      </c>
      <c r="BP10" s="638">
        <f t="shared" si="20"/>
        <v>127</v>
      </c>
      <c r="BQ10" s="770">
        <v>489936</v>
      </c>
      <c r="BR10" s="638">
        <f t="shared" si="21"/>
        <v>211</v>
      </c>
      <c r="BS10" s="694">
        <f t="shared" si="30"/>
        <v>34172.14</v>
      </c>
      <c r="BT10" s="695">
        <v>231</v>
      </c>
      <c r="BU10" s="694">
        <f t="shared" si="31"/>
        <v>153.92855855855856</v>
      </c>
      <c r="BV10" s="695"/>
      <c r="BW10" s="694" t="e">
        <f t="shared" si="32"/>
        <v>#DIV/0!</v>
      </c>
      <c r="BX10" s="694">
        <f t="shared" si="35"/>
        <v>39527.460999999996</v>
      </c>
      <c r="BY10" s="694">
        <f t="shared" si="33"/>
        <v>178.05162612612611</v>
      </c>
      <c r="BZ10" s="696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1">
        <v>22950256</v>
      </c>
      <c r="J11" s="638">
        <f>IF(I11&gt;=I10,I11-I10,0)</f>
        <v>5933</v>
      </c>
      <c r="K11" s="638">
        <f t="shared" si="0"/>
        <v>3687</v>
      </c>
      <c r="L11" s="770">
        <v>289564</v>
      </c>
      <c r="M11" s="638">
        <f>IF(L11&gt;=L10,L11-L10,0)</f>
        <v>2129</v>
      </c>
      <c r="N11" s="770">
        <v>283374</v>
      </c>
      <c r="O11" s="638">
        <f t="shared" si="40"/>
        <v>1558</v>
      </c>
      <c r="P11" s="771">
        <v>218331</v>
      </c>
      <c r="Q11" s="638">
        <f t="shared" si="3"/>
        <v>600</v>
      </c>
      <c r="R11" s="770">
        <v>157467</v>
      </c>
      <c r="S11" s="638">
        <f t="shared" si="4"/>
        <v>137</v>
      </c>
      <c r="T11" s="770">
        <v>287106</v>
      </c>
      <c r="U11" s="638">
        <f t="shared" si="5"/>
        <v>283</v>
      </c>
      <c r="V11" s="770">
        <v>120793</v>
      </c>
      <c r="W11" s="638">
        <f t="shared" si="6"/>
        <v>3864.76</v>
      </c>
      <c r="X11" s="771">
        <v>705216</v>
      </c>
      <c r="Y11" s="638">
        <f t="shared" si="7"/>
        <v>4085.2400000000002</v>
      </c>
      <c r="Z11" s="774">
        <v>812070</v>
      </c>
      <c r="AA11" s="638">
        <f t="shared" si="8"/>
        <v>0</v>
      </c>
      <c r="AB11" s="770">
        <v>384449</v>
      </c>
      <c r="AC11" s="638">
        <f>IF(AB11&gt;=AB10,AB11-AB10,0)*0.53</f>
        <v>0</v>
      </c>
      <c r="AD11" s="770">
        <v>466897</v>
      </c>
      <c r="AE11" s="638">
        <f t="shared" si="23"/>
        <v>1857.65</v>
      </c>
      <c r="AF11" s="770">
        <v>829166</v>
      </c>
      <c r="AG11" s="638">
        <f t="shared" si="9"/>
        <v>10.07</v>
      </c>
      <c r="AH11" s="770">
        <v>787373</v>
      </c>
      <c r="AI11" s="638">
        <f t="shared" si="10"/>
        <v>1123.6000000000001</v>
      </c>
      <c r="AJ11" s="770">
        <v>759180</v>
      </c>
      <c r="AK11" s="638">
        <f t="shared" si="11"/>
        <v>3394.65</v>
      </c>
      <c r="AL11" s="770">
        <v>439327</v>
      </c>
      <c r="AM11" s="638">
        <f t="shared" si="12"/>
        <v>177.02</v>
      </c>
      <c r="AN11" s="638">
        <f t="shared" si="24"/>
        <v>14512.99</v>
      </c>
      <c r="AO11" s="709">
        <v>7434618</v>
      </c>
      <c r="AP11" s="638">
        <f t="shared" si="25"/>
        <v>202.83750000000001</v>
      </c>
      <c r="AQ11" s="770">
        <v>626735</v>
      </c>
      <c r="AR11" s="638">
        <f t="shared" si="13"/>
        <v>181</v>
      </c>
      <c r="AS11" s="771">
        <v>938538</v>
      </c>
      <c r="AT11" s="638">
        <f t="shared" si="26"/>
        <v>195</v>
      </c>
      <c r="AU11" s="771">
        <v>802313</v>
      </c>
      <c r="AV11" s="638">
        <f t="shared" si="14"/>
        <v>35</v>
      </c>
      <c r="AW11" s="770">
        <v>2471874</v>
      </c>
      <c r="AX11" s="638">
        <f t="shared" si="15"/>
        <v>1136</v>
      </c>
      <c r="AY11" s="771">
        <v>219525</v>
      </c>
      <c r="AZ11" s="638">
        <f t="shared" si="16"/>
        <v>52</v>
      </c>
      <c r="BA11" s="771">
        <v>18437580</v>
      </c>
      <c r="BB11" s="638">
        <f t="shared" si="17"/>
        <v>5302</v>
      </c>
      <c r="BC11" s="770">
        <v>525212</v>
      </c>
      <c r="BD11" s="638">
        <f t="shared" si="17"/>
        <v>215</v>
      </c>
      <c r="BE11" s="770">
        <v>16872</v>
      </c>
      <c r="BF11" s="638">
        <f t="shared" si="17"/>
        <v>120</v>
      </c>
      <c r="BG11" s="771">
        <v>23019535</v>
      </c>
      <c r="BH11" s="638">
        <f t="shared" si="27"/>
        <v>5915.9</v>
      </c>
      <c r="BI11" s="638">
        <f t="shared" si="28"/>
        <v>13354.737499999999</v>
      </c>
      <c r="BJ11" s="638">
        <f t="shared" si="29"/>
        <v>27867.727500000001</v>
      </c>
      <c r="BK11" s="771">
        <v>1395026</v>
      </c>
      <c r="BL11" s="638">
        <f t="shared" si="18"/>
        <v>57</v>
      </c>
      <c r="BM11" s="771">
        <v>3715938</v>
      </c>
      <c r="BN11" s="638">
        <f t="shared" si="19"/>
        <v>1628</v>
      </c>
      <c r="BO11" s="770">
        <v>392925</v>
      </c>
      <c r="BP11" s="638">
        <f t="shared" si="20"/>
        <v>110</v>
      </c>
      <c r="BQ11" s="771">
        <v>490136</v>
      </c>
      <c r="BR11" s="638">
        <f t="shared" si="21"/>
        <v>200</v>
      </c>
      <c r="BS11" s="694">
        <f t="shared" si="30"/>
        <v>34400.727499999994</v>
      </c>
      <c r="BT11" s="695">
        <v>226</v>
      </c>
      <c r="BU11" s="694">
        <f t="shared" si="31"/>
        <v>148.92089826839825</v>
      </c>
      <c r="BV11" s="695"/>
      <c r="BW11" s="694" t="e">
        <f t="shared" si="32"/>
        <v>#DIV/0!</v>
      </c>
      <c r="BX11" s="694">
        <f t="shared" si="35"/>
        <v>39830.836624999989</v>
      </c>
      <c r="BY11" s="694">
        <f t="shared" si="33"/>
        <v>172.42786417748914</v>
      </c>
      <c r="BZ11" s="696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1">
        <v>22956151</v>
      </c>
      <c r="J12" s="638">
        <f>IF(I12&gt;=I11,I12-I11,0)</f>
        <v>5895</v>
      </c>
      <c r="K12" s="638">
        <f t="shared" si="0"/>
        <v>3550</v>
      </c>
      <c r="L12" s="771">
        <v>291656</v>
      </c>
      <c r="M12" s="638">
        <f t="shared" si="1"/>
        <v>2092</v>
      </c>
      <c r="N12" s="771">
        <v>284832</v>
      </c>
      <c r="O12" s="638">
        <f>IF(N12&gt;=N11,N12-N11,0)</f>
        <v>1458</v>
      </c>
      <c r="P12" s="771">
        <v>218351</v>
      </c>
      <c r="Q12" s="638">
        <f t="shared" si="3"/>
        <v>600</v>
      </c>
      <c r="R12" s="770">
        <v>157608</v>
      </c>
      <c r="S12" s="638">
        <f t="shared" si="4"/>
        <v>141</v>
      </c>
      <c r="T12" s="770">
        <v>287392</v>
      </c>
      <c r="U12" s="638">
        <f t="shared" si="5"/>
        <v>286</v>
      </c>
      <c r="V12" s="770">
        <v>127992</v>
      </c>
      <c r="W12" s="638">
        <f t="shared" si="6"/>
        <v>3815.4700000000003</v>
      </c>
      <c r="X12" s="771">
        <v>707800</v>
      </c>
      <c r="Y12" s="638">
        <f t="shared" si="7"/>
        <v>1369.52</v>
      </c>
      <c r="Z12" s="770">
        <v>817385</v>
      </c>
      <c r="AA12" s="638">
        <f t="shared" si="8"/>
        <v>2816.9500000000003</v>
      </c>
      <c r="AB12" s="770">
        <v>384478</v>
      </c>
      <c r="AC12" s="638">
        <f t="shared" si="34"/>
        <v>15.370000000000001</v>
      </c>
      <c r="AD12" s="770">
        <v>470493</v>
      </c>
      <c r="AE12" s="638">
        <f t="shared" si="23"/>
        <v>1905.88</v>
      </c>
      <c r="AF12" s="770">
        <v>829186</v>
      </c>
      <c r="AG12" s="638">
        <f t="shared" si="9"/>
        <v>10.600000000000001</v>
      </c>
      <c r="AH12" s="770">
        <v>789576</v>
      </c>
      <c r="AI12" s="638">
        <f t="shared" si="10"/>
        <v>1167.5900000000001</v>
      </c>
      <c r="AJ12" s="770">
        <v>767217</v>
      </c>
      <c r="AK12" s="638">
        <f t="shared" si="11"/>
        <v>4259.6100000000006</v>
      </c>
      <c r="AL12" s="770">
        <v>439669</v>
      </c>
      <c r="AM12" s="638">
        <f t="shared" si="12"/>
        <v>181.26000000000002</v>
      </c>
      <c r="AN12" s="638">
        <f t="shared" si="24"/>
        <v>15542.250000000002</v>
      </c>
      <c r="AO12" s="770">
        <v>7436414</v>
      </c>
      <c r="AP12" s="638">
        <f t="shared" si="25"/>
        <v>202.05</v>
      </c>
      <c r="AQ12" s="771">
        <v>626907</v>
      </c>
      <c r="AR12" s="638">
        <f t="shared" si="13"/>
        <v>172</v>
      </c>
      <c r="AS12" s="770">
        <v>938747</v>
      </c>
      <c r="AT12" s="638">
        <f t="shared" si="26"/>
        <v>209</v>
      </c>
      <c r="AU12" s="712">
        <v>802356</v>
      </c>
      <c r="AV12" s="638">
        <f t="shared" si="14"/>
        <v>43</v>
      </c>
      <c r="AW12" s="771">
        <v>2473011</v>
      </c>
      <c r="AX12" s="638">
        <f t="shared" si="15"/>
        <v>1137</v>
      </c>
      <c r="AY12" s="770">
        <v>219603</v>
      </c>
      <c r="AZ12" s="638">
        <f t="shared" si="16"/>
        <v>78</v>
      </c>
      <c r="BA12" s="771">
        <v>18442299</v>
      </c>
      <c r="BB12" s="638">
        <f t="shared" si="17"/>
        <v>4719</v>
      </c>
      <c r="BC12" s="770">
        <v>525459</v>
      </c>
      <c r="BD12" s="638">
        <f t="shared" si="17"/>
        <v>247</v>
      </c>
      <c r="BE12" s="770">
        <v>16894</v>
      </c>
      <c r="BF12" s="638">
        <f t="shared" si="17"/>
        <v>22</v>
      </c>
      <c r="BG12" s="771">
        <v>23026629</v>
      </c>
      <c r="BH12" s="638">
        <f t="shared" si="27"/>
        <v>6032.4</v>
      </c>
      <c r="BI12" s="638">
        <f t="shared" si="28"/>
        <v>12861.45</v>
      </c>
      <c r="BJ12" s="638">
        <f t="shared" si="29"/>
        <v>28403.700000000004</v>
      </c>
      <c r="BK12" s="771">
        <v>1395086</v>
      </c>
      <c r="BL12" s="638">
        <f t="shared" si="18"/>
        <v>60</v>
      </c>
      <c r="BM12" s="771">
        <v>3717746</v>
      </c>
      <c r="BN12" s="638">
        <f t="shared" si="19"/>
        <v>1808</v>
      </c>
      <c r="BO12" s="771">
        <v>393045</v>
      </c>
      <c r="BP12" s="638">
        <f t="shared" si="20"/>
        <v>120</v>
      </c>
      <c r="BQ12" s="770">
        <v>490330</v>
      </c>
      <c r="BR12" s="638">
        <f t="shared" ref="BR12:BR36" si="41">IF(BQ12&gt;=BQ11,BQ12-BQ11,0)</f>
        <v>194</v>
      </c>
      <c r="BS12" s="694">
        <f t="shared" si="30"/>
        <v>34898.699999999997</v>
      </c>
      <c r="BT12" s="695">
        <v>187</v>
      </c>
      <c r="BU12" s="694">
        <f t="shared" si="31"/>
        <v>154.41902654867255</v>
      </c>
      <c r="BV12" s="695"/>
      <c r="BW12" s="694" t="e">
        <f t="shared" si="32"/>
        <v>#DIV/0!</v>
      </c>
      <c r="BX12" s="694">
        <f t="shared" si="35"/>
        <v>40403.50499999999</v>
      </c>
      <c r="BY12" s="694">
        <f t="shared" si="33"/>
        <v>178.77657079646013</v>
      </c>
      <c r="BZ12" s="696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1">
        <v>22961598</v>
      </c>
      <c r="J13" s="638">
        <f t="shared" si="22"/>
        <v>5447</v>
      </c>
      <c r="K13" s="638">
        <f t="shared" si="0"/>
        <v>3338</v>
      </c>
      <c r="L13" s="771">
        <v>293610</v>
      </c>
      <c r="M13" s="638">
        <f t="shared" si="1"/>
        <v>1954</v>
      </c>
      <c r="N13" s="771">
        <v>286216</v>
      </c>
      <c r="O13" s="638">
        <f>IF(N13&gt;=N12,N13-N12,0)</f>
        <v>1384</v>
      </c>
      <c r="P13" s="771">
        <v>218376</v>
      </c>
      <c r="Q13" s="638">
        <f t="shared" si="3"/>
        <v>750</v>
      </c>
      <c r="R13" s="770">
        <v>157746</v>
      </c>
      <c r="S13" s="638">
        <f t="shared" si="4"/>
        <v>138</v>
      </c>
      <c r="T13" s="770">
        <v>287661</v>
      </c>
      <c r="U13" s="638">
        <f t="shared" si="5"/>
        <v>269</v>
      </c>
      <c r="V13" s="770">
        <v>136018</v>
      </c>
      <c r="W13" s="638">
        <f t="shared" si="6"/>
        <v>4253.7800000000007</v>
      </c>
      <c r="X13" s="771">
        <v>707800</v>
      </c>
      <c r="Y13" s="638">
        <f t="shared" si="7"/>
        <v>0</v>
      </c>
      <c r="Z13" s="770">
        <v>824586</v>
      </c>
      <c r="AA13" s="638">
        <f t="shared" si="8"/>
        <v>3816.53</v>
      </c>
      <c r="AB13" s="770">
        <v>384478</v>
      </c>
      <c r="AC13" s="638">
        <f t="shared" si="34"/>
        <v>0</v>
      </c>
      <c r="AD13" s="770">
        <v>473959</v>
      </c>
      <c r="AE13" s="638">
        <f t="shared" si="23"/>
        <v>1836.98</v>
      </c>
      <c r="AF13" s="770">
        <v>829204</v>
      </c>
      <c r="AG13" s="638">
        <f t="shared" ref="AG13:AG36" si="42">IF(AF13&gt;=AF12,AF13-AF12,0)*0.53</f>
        <v>9.5400000000000009</v>
      </c>
      <c r="AH13" s="771">
        <v>791635</v>
      </c>
      <c r="AI13" s="638">
        <f t="shared" si="10"/>
        <v>1091.27</v>
      </c>
      <c r="AJ13" s="771">
        <v>774338</v>
      </c>
      <c r="AK13" s="638">
        <f t="shared" ref="AK13" si="43">IF(AJ13&gt;=AJ12,AJ13-AJ12,0)*0.53</f>
        <v>3774.13</v>
      </c>
      <c r="AL13" s="770">
        <v>439992</v>
      </c>
      <c r="AM13" s="638">
        <f t="shared" si="12"/>
        <v>171.19</v>
      </c>
      <c r="AN13" s="638">
        <f t="shared" si="24"/>
        <v>14953.420000000004</v>
      </c>
      <c r="AO13" s="770">
        <v>7438107</v>
      </c>
      <c r="AP13" s="638">
        <f t="shared" si="25"/>
        <v>190.46250000000001</v>
      </c>
      <c r="AQ13" s="770">
        <v>627072</v>
      </c>
      <c r="AR13" s="638">
        <f t="shared" si="13"/>
        <v>165</v>
      </c>
      <c r="AS13" s="771">
        <v>938930</v>
      </c>
      <c r="AT13" s="638">
        <f t="shared" si="26"/>
        <v>183</v>
      </c>
      <c r="AU13" s="771">
        <v>802434</v>
      </c>
      <c r="AV13" s="638">
        <f t="shared" si="14"/>
        <v>78</v>
      </c>
      <c r="AW13" s="771">
        <v>2474053</v>
      </c>
      <c r="AX13" s="638">
        <f t="shared" si="15"/>
        <v>1042</v>
      </c>
      <c r="AY13" s="771">
        <v>219678</v>
      </c>
      <c r="AZ13" s="638">
        <f t="shared" si="16"/>
        <v>75</v>
      </c>
      <c r="BA13" s="771">
        <v>18447094</v>
      </c>
      <c r="BB13" s="638">
        <f t="shared" si="17"/>
        <v>4795</v>
      </c>
      <c r="BC13" s="770">
        <v>525677</v>
      </c>
      <c r="BD13" s="638">
        <f t="shared" si="17"/>
        <v>218</v>
      </c>
      <c r="BE13" s="770">
        <v>17193</v>
      </c>
      <c r="BF13" s="638">
        <f t="shared" si="17"/>
        <v>299</v>
      </c>
      <c r="BG13" s="771">
        <v>23033464</v>
      </c>
      <c r="BH13" s="638">
        <f t="shared" si="27"/>
        <v>5786.65</v>
      </c>
      <c r="BI13" s="638">
        <f t="shared" si="28"/>
        <v>12832.112499999999</v>
      </c>
      <c r="BJ13" s="638">
        <f t="shared" si="29"/>
        <v>27785.532500000001</v>
      </c>
      <c r="BK13" s="771">
        <v>1395145</v>
      </c>
      <c r="BL13" s="638">
        <f t="shared" si="18"/>
        <v>59</v>
      </c>
      <c r="BM13" s="771">
        <v>3719491</v>
      </c>
      <c r="BN13" s="638">
        <f t="shared" si="19"/>
        <v>1745</v>
      </c>
      <c r="BO13" s="771">
        <v>393163</v>
      </c>
      <c r="BP13" s="638">
        <f t="shared" si="20"/>
        <v>118</v>
      </c>
      <c r="BQ13" s="771">
        <v>490540</v>
      </c>
      <c r="BR13" s="638">
        <f t="shared" si="41"/>
        <v>210</v>
      </c>
      <c r="BS13" s="694">
        <f t="shared" si="30"/>
        <v>33982.532500000001</v>
      </c>
      <c r="BT13" s="695">
        <v>173</v>
      </c>
      <c r="BU13" s="694">
        <f t="shared" ref="BU13:BU19" si="44">IF(BS13&gt;0,BS13/BT12,0)</f>
        <v>181.72477272727272</v>
      </c>
      <c r="BV13" s="695"/>
      <c r="BW13" s="694" t="e">
        <f t="shared" si="32"/>
        <v>#DIV/0!</v>
      </c>
      <c r="BX13" s="694">
        <f t="shared" si="35"/>
        <v>39417.412375</v>
      </c>
      <c r="BY13" s="694">
        <f t="shared" si="33"/>
        <v>210.78830147058824</v>
      </c>
      <c r="BZ13" s="696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1">
        <v>22967372</v>
      </c>
      <c r="J14" s="638">
        <f t="shared" si="22"/>
        <v>5774</v>
      </c>
      <c r="K14" s="638">
        <f t="shared" si="0"/>
        <v>3512</v>
      </c>
      <c r="L14" s="771">
        <v>295670</v>
      </c>
      <c r="M14" s="638">
        <f>IF(L14&gt;=L13,L14-L13,0)</f>
        <v>2060</v>
      </c>
      <c r="N14" s="771">
        <v>287668</v>
      </c>
      <c r="O14" s="638">
        <f t="shared" si="2"/>
        <v>1452</v>
      </c>
      <c r="P14" s="771">
        <v>218396</v>
      </c>
      <c r="Q14" s="638">
        <f t="shared" si="3"/>
        <v>600</v>
      </c>
      <c r="R14" s="770">
        <v>157884</v>
      </c>
      <c r="S14" s="638">
        <f t="shared" si="4"/>
        <v>138</v>
      </c>
      <c r="T14" s="770">
        <v>287927</v>
      </c>
      <c r="U14" s="638">
        <f t="shared" si="5"/>
        <v>266</v>
      </c>
      <c r="V14" s="770">
        <v>143253</v>
      </c>
      <c r="W14" s="638">
        <f t="shared" si="6"/>
        <v>3834.55</v>
      </c>
      <c r="X14" s="771">
        <v>711508</v>
      </c>
      <c r="Y14" s="638">
        <f t="shared" si="7"/>
        <v>1965.24</v>
      </c>
      <c r="Z14" s="771">
        <v>828860</v>
      </c>
      <c r="AA14" s="638">
        <f t="shared" si="8"/>
        <v>2265.2200000000003</v>
      </c>
      <c r="AB14" s="770">
        <v>384478</v>
      </c>
      <c r="AC14" s="638">
        <f t="shared" si="34"/>
        <v>0</v>
      </c>
      <c r="AD14" s="770">
        <v>477531</v>
      </c>
      <c r="AE14" s="638">
        <f t="shared" si="23"/>
        <v>1893.16</v>
      </c>
      <c r="AF14" s="770">
        <v>829224</v>
      </c>
      <c r="AG14" s="638">
        <f t="shared" si="42"/>
        <v>10.600000000000001</v>
      </c>
      <c r="AH14" s="770">
        <v>793744</v>
      </c>
      <c r="AI14" s="638">
        <f t="shared" si="10"/>
        <v>1117.77</v>
      </c>
      <c r="AJ14" s="770">
        <v>782368</v>
      </c>
      <c r="AK14" s="638">
        <f t="shared" ref="AK14:AK36" si="45">IF(AJ14&gt;=AJ13,AJ14-AJ13,0)*0.53</f>
        <v>4255.9000000000005</v>
      </c>
      <c r="AL14" s="770">
        <v>440321</v>
      </c>
      <c r="AM14" s="638">
        <f t="shared" si="12"/>
        <v>174.37</v>
      </c>
      <c r="AN14" s="638">
        <f t="shared" si="24"/>
        <v>15516.810000000003</v>
      </c>
      <c r="AO14" s="770">
        <v>7439891</v>
      </c>
      <c r="AP14" s="638">
        <f t="shared" si="25"/>
        <v>200.70000000000002</v>
      </c>
      <c r="AQ14" s="771">
        <v>627241</v>
      </c>
      <c r="AR14" s="638">
        <f t="shared" si="13"/>
        <v>169</v>
      </c>
      <c r="AS14" s="771">
        <v>939109</v>
      </c>
      <c r="AT14" s="638">
        <f t="shared" si="26"/>
        <v>179</v>
      </c>
      <c r="AU14" s="771">
        <v>802489</v>
      </c>
      <c r="AV14" s="638">
        <f t="shared" si="14"/>
        <v>55</v>
      </c>
      <c r="AW14" s="770">
        <v>2475125</v>
      </c>
      <c r="AX14" s="638">
        <f t="shared" si="15"/>
        <v>1072</v>
      </c>
      <c r="AY14" s="771">
        <v>219754</v>
      </c>
      <c r="AZ14" s="638">
        <f t="shared" si="16"/>
        <v>76</v>
      </c>
      <c r="BA14" s="771">
        <v>18451745</v>
      </c>
      <c r="BB14" s="638">
        <f t="shared" si="17"/>
        <v>4651</v>
      </c>
      <c r="BC14" s="770">
        <v>525886</v>
      </c>
      <c r="BD14" s="638">
        <f t="shared" si="17"/>
        <v>209</v>
      </c>
      <c r="BE14" s="770">
        <v>17266</v>
      </c>
      <c r="BF14" s="638">
        <f t="shared" si="17"/>
        <v>73</v>
      </c>
      <c r="BG14" s="771">
        <v>23040423</v>
      </c>
      <c r="BH14" s="638">
        <f t="shared" si="27"/>
        <v>5906.8</v>
      </c>
      <c r="BI14" s="638">
        <f t="shared" si="28"/>
        <v>12591.5</v>
      </c>
      <c r="BJ14" s="638">
        <f t="shared" si="29"/>
        <v>28108.310000000005</v>
      </c>
      <c r="BK14" s="771">
        <v>1395203</v>
      </c>
      <c r="BL14" s="638">
        <f t="shared" si="18"/>
        <v>58</v>
      </c>
      <c r="BM14" s="771">
        <v>3721260</v>
      </c>
      <c r="BN14" s="638">
        <f t="shared" si="19"/>
        <v>1769</v>
      </c>
      <c r="BO14" s="771">
        <v>393270</v>
      </c>
      <c r="BP14" s="638">
        <f t="shared" si="20"/>
        <v>107</v>
      </c>
      <c r="BQ14" s="771">
        <v>490748</v>
      </c>
      <c r="BR14" s="638">
        <f t="shared" si="41"/>
        <v>208</v>
      </c>
      <c r="BS14" s="694">
        <f t="shared" si="30"/>
        <v>34482.310000000005</v>
      </c>
      <c r="BT14" s="695">
        <v>170</v>
      </c>
      <c r="BU14" s="694">
        <f t="shared" si="44"/>
        <v>199.31971098265899</v>
      </c>
      <c r="BV14" s="695"/>
      <c r="BW14" s="694" t="e">
        <f t="shared" si="32"/>
        <v>#DIV/0!</v>
      </c>
      <c r="BX14" s="694">
        <f t="shared" si="35"/>
        <v>39924.656500000005</v>
      </c>
      <c r="BY14" s="694">
        <f t="shared" si="33"/>
        <v>230.77836127167632</v>
      </c>
      <c r="BZ14" s="696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1">
        <v>22973046</v>
      </c>
      <c r="J15" s="638">
        <f t="shared" si="22"/>
        <v>5674</v>
      </c>
      <c r="K15" s="638">
        <f t="shared" si="0"/>
        <v>3674</v>
      </c>
      <c r="L15" s="771">
        <v>297867</v>
      </c>
      <c r="M15" s="638">
        <f>IF(L15&gt;=L14,L15-L14,0)</f>
        <v>2197</v>
      </c>
      <c r="N15" s="771">
        <v>289145</v>
      </c>
      <c r="O15" s="638">
        <f t="shared" si="2"/>
        <v>1477</v>
      </c>
      <c r="P15" s="771">
        <v>218416</v>
      </c>
      <c r="Q15" s="638">
        <f t="shared" si="3"/>
        <v>600</v>
      </c>
      <c r="R15" s="770">
        <v>158024</v>
      </c>
      <c r="S15" s="638">
        <f t="shared" si="4"/>
        <v>140</v>
      </c>
      <c r="T15" s="770">
        <v>288201</v>
      </c>
      <c r="U15" s="638">
        <f t="shared" si="5"/>
        <v>274</v>
      </c>
      <c r="V15" s="770">
        <v>151221</v>
      </c>
      <c r="W15" s="638">
        <f t="shared" si="6"/>
        <v>4223.04</v>
      </c>
      <c r="X15" s="771">
        <v>717344</v>
      </c>
      <c r="Y15" s="638">
        <f t="shared" si="7"/>
        <v>3093.0800000000004</v>
      </c>
      <c r="Z15" s="771">
        <v>831471</v>
      </c>
      <c r="AA15" s="638">
        <f t="shared" si="8"/>
        <v>1383.8300000000002</v>
      </c>
      <c r="AB15" s="770">
        <v>384553</v>
      </c>
      <c r="AC15" s="638">
        <f t="shared" si="34"/>
        <v>39.75</v>
      </c>
      <c r="AD15" s="770">
        <v>481245</v>
      </c>
      <c r="AE15" s="638">
        <f t="shared" si="23"/>
        <v>1968.42</v>
      </c>
      <c r="AF15" s="770">
        <v>829243</v>
      </c>
      <c r="AG15" s="638">
        <f t="shared" si="42"/>
        <v>10.07</v>
      </c>
      <c r="AH15" s="771">
        <v>795942</v>
      </c>
      <c r="AI15" s="638">
        <f t="shared" si="10"/>
        <v>1164.94</v>
      </c>
      <c r="AJ15" s="771">
        <v>790658</v>
      </c>
      <c r="AK15" s="638">
        <f t="shared" si="45"/>
        <v>4393.7</v>
      </c>
      <c r="AL15" s="770">
        <v>440663</v>
      </c>
      <c r="AM15" s="638">
        <f t="shared" si="12"/>
        <v>181.26000000000002</v>
      </c>
      <c r="AN15" s="638">
        <f t="shared" si="24"/>
        <v>16458.09</v>
      </c>
      <c r="AO15" s="770">
        <v>7441756</v>
      </c>
      <c r="AP15" s="638">
        <f t="shared" si="25"/>
        <v>209.8125</v>
      </c>
      <c r="AQ15" s="770">
        <v>627406</v>
      </c>
      <c r="AR15" s="638">
        <f t="shared" si="13"/>
        <v>165</v>
      </c>
      <c r="AS15" s="771">
        <v>939288</v>
      </c>
      <c r="AT15" s="638">
        <f t="shared" si="26"/>
        <v>179</v>
      </c>
      <c r="AU15" s="770">
        <v>802558</v>
      </c>
      <c r="AV15" s="638">
        <f t="shared" si="14"/>
        <v>69</v>
      </c>
      <c r="AW15" s="771">
        <v>2476290</v>
      </c>
      <c r="AX15" s="638">
        <f t="shared" si="15"/>
        <v>1165</v>
      </c>
      <c r="AY15" s="771">
        <v>219828</v>
      </c>
      <c r="AZ15" s="638">
        <f t="shared" si="16"/>
        <v>74</v>
      </c>
      <c r="BA15" s="771">
        <v>18456445</v>
      </c>
      <c r="BB15" s="638">
        <f t="shared" si="17"/>
        <v>4700</v>
      </c>
      <c r="BC15" s="770">
        <v>526112</v>
      </c>
      <c r="BD15" s="638">
        <f t="shared" si="17"/>
        <v>226</v>
      </c>
      <c r="BE15" s="770">
        <v>17390</v>
      </c>
      <c r="BF15" s="638">
        <f t="shared" si="17"/>
        <v>124</v>
      </c>
      <c r="BG15" s="771">
        <v>23047825</v>
      </c>
      <c r="BH15" s="638">
        <f t="shared" si="27"/>
        <v>6314.6</v>
      </c>
      <c r="BI15" s="638">
        <f t="shared" si="28"/>
        <v>13226.4125</v>
      </c>
      <c r="BJ15" s="638">
        <f t="shared" si="29"/>
        <v>29684.502500000002</v>
      </c>
      <c r="BK15" s="771">
        <v>1395255</v>
      </c>
      <c r="BL15" s="638">
        <f t="shared" si="18"/>
        <v>52</v>
      </c>
      <c r="BM15" s="771">
        <v>3723082</v>
      </c>
      <c r="BN15" s="638">
        <f t="shared" si="19"/>
        <v>1822</v>
      </c>
      <c r="BO15" s="771">
        <v>393380</v>
      </c>
      <c r="BP15" s="638">
        <f t="shared" si="20"/>
        <v>110</v>
      </c>
      <c r="BQ15" s="771">
        <v>490966</v>
      </c>
      <c r="BR15" s="638">
        <f t="shared" si="41"/>
        <v>218</v>
      </c>
      <c r="BS15" s="694">
        <f t="shared" si="30"/>
        <v>35958.502500000002</v>
      </c>
      <c r="BT15" s="695">
        <v>171</v>
      </c>
      <c r="BU15" s="694">
        <f t="shared" si="44"/>
        <v>211.52060294117649</v>
      </c>
      <c r="BV15" s="695"/>
      <c r="BW15" s="694" t="e">
        <f t="shared" si="32"/>
        <v>#DIV/0!</v>
      </c>
      <c r="BX15" s="694">
        <f t="shared" si="35"/>
        <v>41622.277875</v>
      </c>
      <c r="BY15" s="694">
        <f t="shared" si="33"/>
        <v>244.83692867647059</v>
      </c>
      <c r="BZ15" s="696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1">
        <v>22978940</v>
      </c>
      <c r="J16" s="638">
        <f t="shared" si="22"/>
        <v>5894</v>
      </c>
      <c r="K16" s="638">
        <f t="shared" si="0"/>
        <v>3856</v>
      </c>
      <c r="L16" s="771">
        <v>300160</v>
      </c>
      <c r="M16" s="638">
        <f>IF(L16&gt;=L15,L16-L15,0)</f>
        <v>2293</v>
      </c>
      <c r="N16" s="770">
        <v>290708</v>
      </c>
      <c r="O16" s="638">
        <f t="shared" si="2"/>
        <v>1563</v>
      </c>
      <c r="P16" s="771">
        <v>218437</v>
      </c>
      <c r="Q16" s="638">
        <f t="shared" si="3"/>
        <v>630</v>
      </c>
      <c r="R16" s="770">
        <v>158165</v>
      </c>
      <c r="S16" s="638">
        <f t="shared" si="4"/>
        <v>141</v>
      </c>
      <c r="T16" s="770">
        <v>288482</v>
      </c>
      <c r="U16" s="638">
        <f t="shared" si="5"/>
        <v>281</v>
      </c>
      <c r="V16" s="770">
        <v>159456</v>
      </c>
      <c r="W16" s="638">
        <f t="shared" si="6"/>
        <v>4364.55</v>
      </c>
      <c r="X16" s="771">
        <v>725284</v>
      </c>
      <c r="Y16" s="638">
        <f t="shared" si="7"/>
        <v>4208.2</v>
      </c>
      <c r="Z16" s="771">
        <v>831688</v>
      </c>
      <c r="AA16" s="638">
        <f t="shared" si="8"/>
        <v>115.01</v>
      </c>
      <c r="AB16" s="770">
        <v>384553</v>
      </c>
      <c r="AC16" s="638">
        <f t="shared" si="34"/>
        <v>0</v>
      </c>
      <c r="AD16" s="770">
        <v>484716</v>
      </c>
      <c r="AE16" s="638">
        <f t="shared" si="23"/>
        <v>1839.63</v>
      </c>
      <c r="AF16" s="770">
        <v>829262</v>
      </c>
      <c r="AG16" s="638">
        <f t="shared" si="42"/>
        <v>10.07</v>
      </c>
      <c r="AH16" s="770">
        <v>798143</v>
      </c>
      <c r="AI16" s="638">
        <f t="shared" si="10"/>
        <v>1166.53</v>
      </c>
      <c r="AJ16" s="770">
        <v>798583</v>
      </c>
      <c r="AK16" s="638">
        <f t="shared" si="45"/>
        <v>4200.25</v>
      </c>
      <c r="AL16" s="770">
        <v>441001</v>
      </c>
      <c r="AM16" s="638">
        <f t="shared" si="12"/>
        <v>179.14000000000001</v>
      </c>
      <c r="AN16" s="638">
        <f t="shared" si="24"/>
        <v>16083.38</v>
      </c>
      <c r="AO16" s="770">
        <v>7443181</v>
      </c>
      <c r="AP16" s="638">
        <f t="shared" si="25"/>
        <v>160.3125</v>
      </c>
      <c r="AQ16" s="770">
        <v>627576</v>
      </c>
      <c r="AR16" s="638">
        <f t="shared" si="13"/>
        <v>170</v>
      </c>
      <c r="AS16" s="770">
        <v>939460</v>
      </c>
      <c r="AT16" s="638">
        <f t="shared" si="26"/>
        <v>172</v>
      </c>
      <c r="AU16" s="770">
        <v>802644</v>
      </c>
      <c r="AV16" s="638">
        <f t="shared" si="14"/>
        <v>86</v>
      </c>
      <c r="AW16" s="770">
        <v>2477478</v>
      </c>
      <c r="AX16" s="638">
        <f t="shared" si="15"/>
        <v>1188</v>
      </c>
      <c r="AY16" s="770">
        <v>219903</v>
      </c>
      <c r="AZ16" s="638">
        <f t="shared" si="16"/>
        <v>75</v>
      </c>
      <c r="BA16" s="770">
        <v>18461328</v>
      </c>
      <c r="BB16" s="638">
        <f t="shared" si="17"/>
        <v>4883</v>
      </c>
      <c r="BC16" s="770">
        <v>526323</v>
      </c>
      <c r="BD16" s="638">
        <f t="shared" si="17"/>
        <v>211</v>
      </c>
      <c r="BE16" s="770">
        <v>17485</v>
      </c>
      <c r="BF16" s="638">
        <f t="shared" si="17"/>
        <v>95</v>
      </c>
      <c r="BG16" s="771">
        <v>23054741</v>
      </c>
      <c r="BH16" s="638">
        <f t="shared" si="27"/>
        <v>5906.4000000000005</v>
      </c>
      <c r="BI16" s="638">
        <f t="shared" si="28"/>
        <v>12946.712500000001</v>
      </c>
      <c r="BJ16" s="638">
        <f t="shared" si="29"/>
        <v>29030.092499999999</v>
      </c>
      <c r="BK16" s="771">
        <v>1395329</v>
      </c>
      <c r="BL16" s="638">
        <f t="shared" si="18"/>
        <v>74</v>
      </c>
      <c r="BM16" s="771">
        <v>3724759</v>
      </c>
      <c r="BN16" s="638">
        <f t="shared" si="19"/>
        <v>1677</v>
      </c>
      <c r="BO16" s="770">
        <v>393491</v>
      </c>
      <c r="BP16" s="638">
        <f t="shared" si="20"/>
        <v>111</v>
      </c>
      <c r="BQ16" s="770">
        <v>491171</v>
      </c>
      <c r="BR16" s="638">
        <f t="shared" si="41"/>
        <v>205</v>
      </c>
      <c r="BS16" s="694">
        <f t="shared" si="30"/>
        <v>35554.092499999999</v>
      </c>
      <c r="BT16" s="695">
        <v>176</v>
      </c>
      <c r="BU16" s="694">
        <f t="shared" si="44"/>
        <v>207.91866959064328</v>
      </c>
      <c r="BV16" s="695"/>
      <c r="BW16" s="694" t="e">
        <f t="shared" si="32"/>
        <v>#DIV/0!</v>
      </c>
      <c r="BX16" s="694">
        <f t="shared" si="35"/>
        <v>41170.706374999994</v>
      </c>
      <c r="BY16" s="694">
        <f>IF(BX16&gt;0,BX16/BT15,0)</f>
        <v>240.76436476608183</v>
      </c>
      <c r="BZ16" s="696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1">
        <v>22984696</v>
      </c>
      <c r="J17" s="638">
        <f t="shared" si="22"/>
        <v>5756</v>
      </c>
      <c r="K17" s="638">
        <f t="shared" si="0"/>
        <v>3440</v>
      </c>
      <c r="L17" s="770">
        <v>302267</v>
      </c>
      <c r="M17" s="638">
        <f>IF(L17&gt;=L16,L17-L16,0)</f>
        <v>2107</v>
      </c>
      <c r="N17" s="770">
        <v>292041</v>
      </c>
      <c r="O17" s="638">
        <f t="shared" si="2"/>
        <v>1333</v>
      </c>
      <c r="P17" s="771">
        <v>218458</v>
      </c>
      <c r="Q17" s="638">
        <f t="shared" si="3"/>
        <v>630</v>
      </c>
      <c r="R17" s="770">
        <v>158308</v>
      </c>
      <c r="S17" s="638">
        <f t="shared" si="4"/>
        <v>143</v>
      </c>
      <c r="T17" s="770">
        <v>288762</v>
      </c>
      <c r="U17" s="638">
        <f t="shared" si="5"/>
        <v>280</v>
      </c>
      <c r="V17" s="770">
        <v>167181</v>
      </c>
      <c r="W17" s="638">
        <f t="shared" si="6"/>
        <v>4094.25</v>
      </c>
      <c r="X17" s="771">
        <v>727480</v>
      </c>
      <c r="Y17" s="638">
        <f t="shared" si="7"/>
        <v>1163.8800000000001</v>
      </c>
      <c r="Z17" s="774">
        <v>836831</v>
      </c>
      <c r="AA17" s="638">
        <f t="shared" si="8"/>
        <v>2725.79</v>
      </c>
      <c r="AB17" s="770">
        <v>384553</v>
      </c>
      <c r="AC17" s="638">
        <f t="shared" si="34"/>
        <v>0</v>
      </c>
      <c r="AD17" s="770">
        <v>488293</v>
      </c>
      <c r="AE17" s="638">
        <f t="shared" si="23"/>
        <v>1895.8100000000002</v>
      </c>
      <c r="AF17" s="770">
        <v>829281</v>
      </c>
      <c r="AG17" s="638">
        <f t="shared" si="42"/>
        <v>10.07</v>
      </c>
      <c r="AH17" s="770">
        <v>800157</v>
      </c>
      <c r="AI17" s="638">
        <f t="shared" si="10"/>
        <v>1067.42</v>
      </c>
      <c r="AJ17" s="770">
        <v>805840</v>
      </c>
      <c r="AK17" s="638">
        <f t="shared" si="45"/>
        <v>3846.21</v>
      </c>
      <c r="AL17" s="770">
        <v>441314</v>
      </c>
      <c r="AM17" s="638">
        <f t="shared" si="12"/>
        <v>165.89000000000001</v>
      </c>
      <c r="AN17" s="638">
        <f t="shared" si="24"/>
        <v>14969.32</v>
      </c>
      <c r="AO17" s="709">
        <v>7444905</v>
      </c>
      <c r="AP17" s="638">
        <f t="shared" si="25"/>
        <v>193.95000000000002</v>
      </c>
      <c r="AQ17" s="770">
        <v>627745</v>
      </c>
      <c r="AR17" s="638">
        <f t="shared" si="13"/>
        <v>169</v>
      </c>
      <c r="AS17" s="770">
        <v>939619</v>
      </c>
      <c r="AT17" s="638">
        <f t="shared" si="26"/>
        <v>159</v>
      </c>
      <c r="AU17" s="770">
        <v>802690</v>
      </c>
      <c r="AV17" s="638">
        <f t="shared" si="14"/>
        <v>46</v>
      </c>
      <c r="AW17" s="770">
        <v>2478580</v>
      </c>
      <c r="AX17" s="638">
        <f t="shared" si="15"/>
        <v>1102</v>
      </c>
      <c r="AY17" s="770">
        <v>219967</v>
      </c>
      <c r="AZ17" s="638">
        <f t="shared" si="16"/>
        <v>64</v>
      </c>
      <c r="BA17" s="770">
        <v>18466412</v>
      </c>
      <c r="BB17" s="638">
        <f t="shared" si="17"/>
        <v>5084</v>
      </c>
      <c r="BC17" s="770">
        <v>526540</v>
      </c>
      <c r="BD17" s="638">
        <f t="shared" si="17"/>
        <v>217</v>
      </c>
      <c r="BE17" s="770">
        <v>17593</v>
      </c>
      <c r="BF17" s="638">
        <f t="shared" si="17"/>
        <v>108</v>
      </c>
      <c r="BG17" s="771">
        <v>23061918</v>
      </c>
      <c r="BH17" s="638">
        <f t="shared" si="27"/>
        <v>6123.6</v>
      </c>
      <c r="BI17" s="638">
        <f t="shared" si="28"/>
        <v>13266.55</v>
      </c>
      <c r="BJ17" s="638">
        <f t="shared" si="29"/>
        <v>28235.87</v>
      </c>
      <c r="BK17" s="771">
        <v>1395417</v>
      </c>
      <c r="BL17" s="638">
        <f t="shared" si="18"/>
        <v>88</v>
      </c>
      <c r="BM17" s="770">
        <v>3726515</v>
      </c>
      <c r="BN17" s="638">
        <f t="shared" si="19"/>
        <v>1756</v>
      </c>
      <c r="BO17" s="709">
        <v>393607</v>
      </c>
      <c r="BP17" s="638">
        <f t="shared" si="20"/>
        <v>116</v>
      </c>
      <c r="BQ17" s="770">
        <v>491382</v>
      </c>
      <c r="BR17" s="638">
        <f t="shared" si="41"/>
        <v>211</v>
      </c>
      <c r="BS17" s="694">
        <f t="shared" si="30"/>
        <v>34621.869999999995</v>
      </c>
      <c r="BT17" s="695">
        <v>200</v>
      </c>
      <c r="BU17" s="694">
        <f t="shared" si="44"/>
        <v>196.71517045454542</v>
      </c>
      <c r="BV17" s="695"/>
      <c r="BW17" s="694" t="e">
        <f t="shared" si="32"/>
        <v>#DIV/0!</v>
      </c>
      <c r="BX17" s="694">
        <f t="shared" si="35"/>
        <v>40098.650499999989</v>
      </c>
      <c r="BY17" s="694">
        <f>IF(BX17&gt;0,BX17/BT16,0)</f>
        <v>227.83324147727265</v>
      </c>
      <c r="BZ17" s="696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1">
        <v>22990087</v>
      </c>
      <c r="J18" s="638">
        <f t="shared" si="22"/>
        <v>5391</v>
      </c>
      <c r="K18" s="638">
        <f t="shared" si="0"/>
        <v>3373</v>
      </c>
      <c r="L18" s="771">
        <v>304313</v>
      </c>
      <c r="M18" s="638">
        <f>IF(L18&gt;=L17,L18-L17,0)</f>
        <v>2046</v>
      </c>
      <c r="N18" s="771">
        <v>293368</v>
      </c>
      <c r="O18" s="638">
        <f t="shared" si="2"/>
        <v>1327</v>
      </c>
      <c r="P18" s="771">
        <v>218479</v>
      </c>
      <c r="Q18" s="638">
        <f t="shared" si="3"/>
        <v>630</v>
      </c>
      <c r="R18" s="770">
        <v>158442</v>
      </c>
      <c r="S18" s="638">
        <f t="shared" si="4"/>
        <v>134</v>
      </c>
      <c r="T18" s="770">
        <v>289021</v>
      </c>
      <c r="U18" s="638">
        <f t="shared" si="5"/>
        <v>259</v>
      </c>
      <c r="V18" s="770">
        <v>174908</v>
      </c>
      <c r="W18" s="638">
        <f t="shared" si="6"/>
        <v>4095.3100000000004</v>
      </c>
      <c r="X18" s="771">
        <v>731544</v>
      </c>
      <c r="Y18" s="638">
        <f t="shared" si="7"/>
        <v>2153.92</v>
      </c>
      <c r="Z18" s="770">
        <v>840169</v>
      </c>
      <c r="AA18" s="638">
        <f t="shared" si="8"/>
        <v>1769.14</v>
      </c>
      <c r="AB18" s="770">
        <v>384553</v>
      </c>
      <c r="AC18" s="638">
        <f t="shared" si="34"/>
        <v>0</v>
      </c>
      <c r="AD18" s="770">
        <v>491728</v>
      </c>
      <c r="AE18" s="638">
        <f t="shared" si="23"/>
        <v>1820.5500000000002</v>
      </c>
      <c r="AF18" s="770">
        <v>829300</v>
      </c>
      <c r="AG18" s="638">
        <f t="shared" si="42"/>
        <v>10.07</v>
      </c>
      <c r="AH18" s="770">
        <v>802174</v>
      </c>
      <c r="AI18" s="638">
        <f t="shared" si="10"/>
        <v>1069.01</v>
      </c>
      <c r="AJ18" s="770">
        <v>813195</v>
      </c>
      <c r="AK18" s="638">
        <f t="shared" si="45"/>
        <v>3898.15</v>
      </c>
      <c r="AL18" s="770">
        <v>441629</v>
      </c>
      <c r="AM18" s="638">
        <f t="shared" si="12"/>
        <v>166.95000000000002</v>
      </c>
      <c r="AN18" s="638">
        <f t="shared" si="24"/>
        <v>14983.100000000002</v>
      </c>
      <c r="AO18" s="770">
        <v>7446809</v>
      </c>
      <c r="AP18" s="638">
        <f t="shared" si="25"/>
        <v>214.20000000000002</v>
      </c>
      <c r="AQ18" s="771">
        <v>627918</v>
      </c>
      <c r="AR18" s="638">
        <f t="shared" si="13"/>
        <v>173</v>
      </c>
      <c r="AS18" s="771">
        <v>939781</v>
      </c>
      <c r="AT18" s="638">
        <f t="shared" si="26"/>
        <v>162</v>
      </c>
      <c r="AU18" s="771">
        <v>802728</v>
      </c>
      <c r="AV18" s="638">
        <f t="shared" si="14"/>
        <v>38</v>
      </c>
      <c r="AW18" s="771">
        <v>2479687</v>
      </c>
      <c r="AX18" s="638">
        <f t="shared" si="15"/>
        <v>1107</v>
      </c>
      <c r="AY18" s="770">
        <v>220022</v>
      </c>
      <c r="AZ18" s="638">
        <f t="shared" si="16"/>
        <v>55</v>
      </c>
      <c r="BA18" s="770">
        <v>18470824</v>
      </c>
      <c r="BB18" s="638">
        <f t="shared" si="17"/>
        <v>4412</v>
      </c>
      <c r="BC18" s="770">
        <v>526735</v>
      </c>
      <c r="BD18" s="638">
        <f t="shared" si="17"/>
        <v>195</v>
      </c>
      <c r="BE18" s="770">
        <v>17646</v>
      </c>
      <c r="BF18" s="638">
        <f t="shared" si="17"/>
        <v>53</v>
      </c>
      <c r="BG18" s="771">
        <v>23068853</v>
      </c>
      <c r="BH18" s="638">
        <f t="shared" si="27"/>
        <v>5937.5</v>
      </c>
      <c r="BI18" s="638">
        <f t="shared" si="28"/>
        <v>12346.7</v>
      </c>
      <c r="BJ18" s="638">
        <f t="shared" si="29"/>
        <v>27329.800000000003</v>
      </c>
      <c r="BK18" s="771">
        <v>1395490</v>
      </c>
      <c r="BL18" s="638">
        <f t="shared" si="18"/>
        <v>73</v>
      </c>
      <c r="BM18" s="770">
        <v>3728183</v>
      </c>
      <c r="BN18" s="638">
        <f t="shared" si="19"/>
        <v>1668</v>
      </c>
      <c r="BO18" s="770">
        <v>393709</v>
      </c>
      <c r="BP18" s="638">
        <f t="shared" si="20"/>
        <v>102</v>
      </c>
      <c r="BQ18" s="770">
        <v>491583</v>
      </c>
      <c r="BR18" s="638">
        <f t="shared" si="41"/>
        <v>201</v>
      </c>
      <c r="BS18" s="694">
        <f t="shared" si="30"/>
        <v>33350.800000000003</v>
      </c>
      <c r="BT18" s="695">
        <v>186</v>
      </c>
      <c r="BU18" s="694">
        <f t="shared" si="44"/>
        <v>166.75400000000002</v>
      </c>
      <c r="BV18" s="695"/>
      <c r="BW18" s="694" t="e">
        <f t="shared" si="32"/>
        <v>#DIV/0!</v>
      </c>
      <c r="BX18" s="694">
        <f t="shared" si="35"/>
        <v>38636.92</v>
      </c>
      <c r="BY18" s="694">
        <f>IF(BX18&gt;0,BX18/BT17,0)</f>
        <v>193.18459999999999</v>
      </c>
      <c r="BZ18" s="696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1">
        <v>22995323</v>
      </c>
      <c r="J19" s="638">
        <f t="shared" si="22"/>
        <v>5236</v>
      </c>
      <c r="K19" s="638">
        <f t="shared" si="0"/>
        <v>3535</v>
      </c>
      <c r="L19" s="771">
        <v>306440</v>
      </c>
      <c r="M19" s="638">
        <f t="shared" si="1"/>
        <v>2127</v>
      </c>
      <c r="N19" s="771">
        <v>294776</v>
      </c>
      <c r="O19" s="638">
        <f t="shared" si="2"/>
        <v>1408</v>
      </c>
      <c r="P19" s="771">
        <v>218499</v>
      </c>
      <c r="Q19" s="638">
        <f t="shared" ref="Q19:Q36" si="46">IF(P19&gt;=P18,P19-P18,0)*30</f>
        <v>600</v>
      </c>
      <c r="R19" s="770">
        <v>158575</v>
      </c>
      <c r="S19" s="638">
        <f t="shared" si="4"/>
        <v>133</v>
      </c>
      <c r="T19" s="770">
        <v>289283</v>
      </c>
      <c r="U19" s="638">
        <f t="shared" si="5"/>
        <v>262</v>
      </c>
      <c r="V19" s="770">
        <v>181652</v>
      </c>
      <c r="W19" s="638">
        <f t="shared" si="6"/>
        <v>3574.32</v>
      </c>
      <c r="X19" s="771">
        <v>739015</v>
      </c>
      <c r="Y19" s="638">
        <f t="shared" si="7"/>
        <v>3959.63</v>
      </c>
      <c r="Z19" s="770">
        <v>840169</v>
      </c>
      <c r="AA19" s="638">
        <f t="shared" si="8"/>
        <v>0</v>
      </c>
      <c r="AB19" s="770">
        <v>384553</v>
      </c>
      <c r="AC19" s="638">
        <f t="shared" si="34"/>
        <v>0</v>
      </c>
      <c r="AD19" s="770">
        <v>494861</v>
      </c>
      <c r="AE19" s="638">
        <f t="shared" si="23"/>
        <v>1660.49</v>
      </c>
      <c r="AF19" s="770">
        <v>829319</v>
      </c>
      <c r="AG19" s="638">
        <f t="shared" si="42"/>
        <v>10.07</v>
      </c>
      <c r="AH19" s="771">
        <v>804285</v>
      </c>
      <c r="AI19" s="638">
        <f t="shared" si="10"/>
        <v>1118.8300000000002</v>
      </c>
      <c r="AJ19" s="771">
        <v>820862</v>
      </c>
      <c r="AK19" s="638">
        <f t="shared" si="45"/>
        <v>4063.51</v>
      </c>
      <c r="AL19" s="770">
        <v>441957</v>
      </c>
      <c r="AM19" s="638">
        <f t="shared" si="12"/>
        <v>173.84</v>
      </c>
      <c r="AN19" s="638">
        <f t="shared" si="24"/>
        <v>14560.69</v>
      </c>
      <c r="AO19" s="770">
        <v>7448776</v>
      </c>
      <c r="AP19" s="638">
        <f t="shared" si="25"/>
        <v>221.28749999999999</v>
      </c>
      <c r="AQ19" s="770">
        <v>628078</v>
      </c>
      <c r="AR19" s="638">
        <f t="shared" si="13"/>
        <v>160</v>
      </c>
      <c r="AS19" s="771">
        <v>939958</v>
      </c>
      <c r="AT19" s="638">
        <f t="shared" si="26"/>
        <v>177</v>
      </c>
      <c r="AU19" s="770">
        <v>802776</v>
      </c>
      <c r="AV19" s="638">
        <f t="shared" si="14"/>
        <v>48</v>
      </c>
      <c r="AW19" s="771">
        <v>2480801</v>
      </c>
      <c r="AX19" s="638">
        <f t="shared" si="15"/>
        <v>1114</v>
      </c>
      <c r="AY19" s="770">
        <v>220083</v>
      </c>
      <c r="AZ19" s="638">
        <f t="shared" ref="AZ19:AZ36" si="47">IF(AY19&gt;=AY18,AY19-AY18,0)</f>
        <v>61</v>
      </c>
      <c r="BA19" s="771">
        <v>18475688</v>
      </c>
      <c r="BB19" s="638">
        <f t="shared" si="17"/>
        <v>4864</v>
      </c>
      <c r="BC19" s="770">
        <v>526935</v>
      </c>
      <c r="BD19" s="638">
        <f t="shared" si="17"/>
        <v>200</v>
      </c>
      <c r="BE19" s="770">
        <v>17697</v>
      </c>
      <c r="BF19" s="638">
        <f t="shared" si="17"/>
        <v>51</v>
      </c>
      <c r="BG19" s="771">
        <v>23075792</v>
      </c>
      <c r="BH19" s="638">
        <f t="shared" si="27"/>
        <v>5891.5</v>
      </c>
      <c r="BI19" s="638">
        <f t="shared" si="28"/>
        <v>12787.7875</v>
      </c>
      <c r="BJ19" s="638">
        <f t="shared" si="29"/>
        <v>27348.477500000001</v>
      </c>
      <c r="BK19" s="771">
        <v>1395548</v>
      </c>
      <c r="BL19" s="638">
        <f t="shared" si="18"/>
        <v>58</v>
      </c>
      <c r="BM19" s="770">
        <v>3729948</v>
      </c>
      <c r="BN19" s="638">
        <f t="shared" si="19"/>
        <v>1765</v>
      </c>
      <c r="BO19" s="709">
        <v>393814</v>
      </c>
      <c r="BP19" s="638">
        <f t="shared" si="20"/>
        <v>105</v>
      </c>
      <c r="BQ19" s="771">
        <v>491789</v>
      </c>
      <c r="BR19" s="638">
        <f t="shared" si="41"/>
        <v>206</v>
      </c>
      <c r="BS19" s="694">
        <f t="shared" si="30"/>
        <v>33184.477500000001</v>
      </c>
      <c r="BT19" s="695">
        <v>161</v>
      </c>
      <c r="BU19" s="694">
        <f t="shared" si="44"/>
        <v>178.41116935483871</v>
      </c>
      <c r="BV19" s="695"/>
      <c r="BW19" s="694" t="e">
        <f t="shared" si="32"/>
        <v>#DIV/0!</v>
      </c>
      <c r="BX19" s="694">
        <f t="shared" si="35"/>
        <v>38432.149124999996</v>
      </c>
      <c r="BY19" s="694">
        <f>IF(BX19&gt;0,BX19/BT18,0)</f>
        <v>206.62445766129031</v>
      </c>
      <c r="BZ19" s="696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1">
        <v>23000505</v>
      </c>
      <c r="J20" s="638">
        <f t="shared" si="22"/>
        <v>5182</v>
      </c>
      <c r="K20" s="638">
        <f t="shared" si="0"/>
        <v>3317</v>
      </c>
      <c r="L20" s="771">
        <v>308418</v>
      </c>
      <c r="M20" s="638">
        <f t="shared" si="1"/>
        <v>1978</v>
      </c>
      <c r="N20" s="771">
        <v>296115</v>
      </c>
      <c r="O20" s="638">
        <f t="shared" si="2"/>
        <v>1339</v>
      </c>
      <c r="P20" s="771">
        <v>218519</v>
      </c>
      <c r="Q20" s="638">
        <f t="shared" si="46"/>
        <v>600</v>
      </c>
      <c r="R20" s="770">
        <v>158713</v>
      </c>
      <c r="S20" s="638">
        <f t="shared" si="4"/>
        <v>138</v>
      </c>
      <c r="T20" s="770">
        <v>289540</v>
      </c>
      <c r="U20" s="638">
        <f t="shared" si="5"/>
        <v>257</v>
      </c>
      <c r="V20" s="770">
        <v>183363</v>
      </c>
      <c r="W20" s="638">
        <f t="shared" si="6"/>
        <v>906.83</v>
      </c>
      <c r="X20" s="771">
        <v>746542</v>
      </c>
      <c r="Y20" s="638">
        <f t="shared" si="7"/>
        <v>3989.3100000000004</v>
      </c>
      <c r="Z20" s="771">
        <v>840169</v>
      </c>
      <c r="AA20" s="638">
        <f t="shared" si="8"/>
        <v>0</v>
      </c>
      <c r="AB20" s="770">
        <v>389824</v>
      </c>
      <c r="AC20" s="638">
        <f t="shared" si="34"/>
        <v>2793.63</v>
      </c>
      <c r="AD20" s="770">
        <v>498290</v>
      </c>
      <c r="AE20" s="638">
        <f t="shared" si="23"/>
        <v>1817.3700000000001</v>
      </c>
      <c r="AF20" s="770">
        <v>829339</v>
      </c>
      <c r="AG20" s="638">
        <f t="shared" si="42"/>
        <v>10.600000000000001</v>
      </c>
      <c r="AH20" s="770">
        <v>806357</v>
      </c>
      <c r="AI20" s="638">
        <f t="shared" si="10"/>
        <v>1098.1600000000001</v>
      </c>
      <c r="AJ20" s="770">
        <v>828428</v>
      </c>
      <c r="AK20" s="638">
        <f t="shared" si="45"/>
        <v>4009.98</v>
      </c>
      <c r="AL20" s="770">
        <v>442278</v>
      </c>
      <c r="AM20" s="638">
        <f t="shared" si="12"/>
        <v>170.13</v>
      </c>
      <c r="AN20" s="638">
        <f t="shared" si="24"/>
        <v>14796.01</v>
      </c>
      <c r="AO20" s="770">
        <v>7450700</v>
      </c>
      <c r="AP20" s="638">
        <f t="shared" si="25"/>
        <v>216.45000000000002</v>
      </c>
      <c r="AQ20" s="771">
        <v>628263</v>
      </c>
      <c r="AR20" s="638">
        <f t="shared" si="13"/>
        <v>185</v>
      </c>
      <c r="AS20" s="770">
        <v>940107</v>
      </c>
      <c r="AT20" s="638">
        <f t="shared" si="26"/>
        <v>149</v>
      </c>
      <c r="AU20" s="770">
        <v>802843</v>
      </c>
      <c r="AV20" s="638">
        <f t="shared" si="14"/>
        <v>67</v>
      </c>
      <c r="AW20" s="770">
        <v>2481918</v>
      </c>
      <c r="AX20" s="638">
        <f t="shared" si="15"/>
        <v>1117</v>
      </c>
      <c r="AY20" s="770">
        <v>220140</v>
      </c>
      <c r="AZ20" s="638">
        <f t="shared" si="47"/>
        <v>57</v>
      </c>
      <c r="BA20" s="770">
        <v>18480583</v>
      </c>
      <c r="BB20" s="638">
        <f t="shared" si="17"/>
        <v>4895</v>
      </c>
      <c r="BC20" s="770">
        <v>527136</v>
      </c>
      <c r="BD20" s="638">
        <f t="shared" si="17"/>
        <v>201</v>
      </c>
      <c r="BE20" s="770">
        <v>17742</v>
      </c>
      <c r="BF20" s="638">
        <f t="shared" si="17"/>
        <v>45</v>
      </c>
      <c r="BG20" s="771">
        <v>23082760</v>
      </c>
      <c r="BH20" s="638">
        <f t="shared" si="27"/>
        <v>5930.05</v>
      </c>
      <c r="BI20" s="638">
        <f t="shared" si="28"/>
        <v>12862.5</v>
      </c>
      <c r="BJ20" s="638">
        <f t="shared" si="29"/>
        <v>27658.510000000002</v>
      </c>
      <c r="BK20" s="771">
        <v>1395606</v>
      </c>
      <c r="BL20" s="638">
        <f t="shared" si="18"/>
        <v>58</v>
      </c>
      <c r="BM20" s="770">
        <v>3731688</v>
      </c>
      <c r="BN20" s="638">
        <f t="shared" si="19"/>
        <v>1740</v>
      </c>
      <c r="BO20" s="770">
        <v>393925</v>
      </c>
      <c r="BP20" s="638">
        <f t="shared" si="20"/>
        <v>111</v>
      </c>
      <c r="BQ20" s="770">
        <v>491994</v>
      </c>
      <c r="BR20" s="638">
        <f t="shared" si="41"/>
        <v>205</v>
      </c>
      <c r="BS20" s="694">
        <f t="shared" si="30"/>
        <v>33440.51</v>
      </c>
      <c r="BT20" s="695">
        <v>137</v>
      </c>
      <c r="BU20" s="694">
        <f t="shared" ref="BU20:BU36" si="48">IF(BS20&gt;0,BS20/BT20,0)</f>
        <v>244.09131386861316</v>
      </c>
      <c r="BV20" s="695"/>
      <c r="BW20" s="694" t="e">
        <f t="shared" si="32"/>
        <v>#DIV/0!</v>
      </c>
      <c r="BX20" s="694">
        <f t="shared" si="35"/>
        <v>38726.586499999998</v>
      </c>
      <c r="BY20" s="694">
        <f t="shared" ref="BY20:BY36" si="49">IF(BX20&gt;0,BX20/BT20,0)</f>
        <v>282.67581386861315</v>
      </c>
      <c r="BZ20" s="696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1">
        <v>23005540</v>
      </c>
      <c r="J21" s="638">
        <f t="shared" si="22"/>
        <v>5035</v>
      </c>
      <c r="K21" s="638">
        <f t="shared" si="0"/>
        <v>3407</v>
      </c>
      <c r="L21" s="771">
        <v>310433</v>
      </c>
      <c r="M21" s="638">
        <f t="shared" si="1"/>
        <v>2015</v>
      </c>
      <c r="N21" s="771">
        <v>297507</v>
      </c>
      <c r="O21" s="638">
        <f t="shared" si="2"/>
        <v>1392</v>
      </c>
      <c r="P21" s="771">
        <v>218538</v>
      </c>
      <c r="Q21" s="638">
        <f t="shared" si="46"/>
        <v>570</v>
      </c>
      <c r="R21" s="770">
        <v>158852</v>
      </c>
      <c r="S21" s="638">
        <f t="shared" ref="S21:S36" si="50">IF(R21&gt;=R20,R21-R20,0)</f>
        <v>139</v>
      </c>
      <c r="T21" s="770">
        <v>289807</v>
      </c>
      <c r="U21" s="638">
        <f t="shared" si="5"/>
        <v>267</v>
      </c>
      <c r="V21" s="770">
        <v>183363</v>
      </c>
      <c r="W21" s="638">
        <f t="shared" si="6"/>
        <v>0</v>
      </c>
      <c r="X21" s="771">
        <v>753590</v>
      </c>
      <c r="Y21" s="638">
        <f t="shared" si="7"/>
        <v>3735.44</v>
      </c>
      <c r="Z21" s="771">
        <v>840169</v>
      </c>
      <c r="AA21" s="638">
        <f t="shared" si="8"/>
        <v>0</v>
      </c>
      <c r="AB21" s="770">
        <v>396331</v>
      </c>
      <c r="AC21" s="638">
        <f t="shared" si="34"/>
        <v>3448.71</v>
      </c>
      <c r="AD21" s="770">
        <v>501666</v>
      </c>
      <c r="AE21" s="638">
        <f t="shared" si="23"/>
        <v>1789.2800000000002</v>
      </c>
      <c r="AF21" s="770">
        <v>829359</v>
      </c>
      <c r="AG21" s="638">
        <f t="shared" si="42"/>
        <v>10.600000000000001</v>
      </c>
      <c r="AH21" s="771">
        <v>808510</v>
      </c>
      <c r="AI21" s="638">
        <f t="shared" si="10"/>
        <v>1141.0900000000001</v>
      </c>
      <c r="AJ21" s="771">
        <v>835665</v>
      </c>
      <c r="AK21" s="638">
        <f t="shared" si="45"/>
        <v>3835.61</v>
      </c>
      <c r="AL21" s="770">
        <v>442614</v>
      </c>
      <c r="AM21" s="638">
        <f t="shared" si="12"/>
        <v>178.08</v>
      </c>
      <c r="AN21" s="638">
        <f t="shared" si="24"/>
        <v>14138.810000000001</v>
      </c>
      <c r="AO21" s="770">
        <v>7452608</v>
      </c>
      <c r="AP21" s="638">
        <f t="shared" si="25"/>
        <v>214.65</v>
      </c>
      <c r="AQ21" s="770">
        <v>628511</v>
      </c>
      <c r="AR21" s="638">
        <f t="shared" si="13"/>
        <v>248</v>
      </c>
      <c r="AS21" s="770">
        <v>940302</v>
      </c>
      <c r="AT21" s="638">
        <f t="shared" si="26"/>
        <v>195</v>
      </c>
      <c r="AU21" s="770">
        <v>802912</v>
      </c>
      <c r="AV21" s="638">
        <f t="shared" si="14"/>
        <v>69</v>
      </c>
      <c r="AW21" s="770">
        <v>2483041</v>
      </c>
      <c r="AX21" s="638">
        <f t="shared" si="15"/>
        <v>1123</v>
      </c>
      <c r="AY21" s="771">
        <v>220195</v>
      </c>
      <c r="AZ21" s="638">
        <f t="shared" si="47"/>
        <v>55</v>
      </c>
      <c r="BA21" s="771">
        <v>18485698</v>
      </c>
      <c r="BB21" s="638">
        <f t="shared" si="17"/>
        <v>5115</v>
      </c>
      <c r="BC21" s="770">
        <v>527336</v>
      </c>
      <c r="BD21" s="638">
        <f t="shared" si="17"/>
        <v>200</v>
      </c>
      <c r="BE21" s="770">
        <v>17792</v>
      </c>
      <c r="BF21" s="638">
        <f t="shared" si="17"/>
        <v>50</v>
      </c>
      <c r="BG21" s="771">
        <v>23089804</v>
      </c>
      <c r="BH21" s="638">
        <f t="shared" si="27"/>
        <v>6638.55</v>
      </c>
      <c r="BI21" s="638">
        <f t="shared" si="28"/>
        <v>13908.2</v>
      </c>
      <c r="BJ21" s="638">
        <f t="shared" si="29"/>
        <v>28047.010000000002</v>
      </c>
      <c r="BK21" s="771">
        <v>1395665</v>
      </c>
      <c r="BL21" s="638">
        <f t="shared" si="18"/>
        <v>59</v>
      </c>
      <c r="BM21" s="770">
        <v>3732589</v>
      </c>
      <c r="BN21" s="638">
        <f t="shared" si="19"/>
        <v>901</v>
      </c>
      <c r="BO21" s="770">
        <v>393925</v>
      </c>
      <c r="BP21" s="638">
        <f t="shared" si="20"/>
        <v>0</v>
      </c>
      <c r="BQ21" s="770">
        <v>491994</v>
      </c>
      <c r="BR21" s="638">
        <f t="shared" si="41"/>
        <v>0</v>
      </c>
      <c r="BS21" s="694">
        <f t="shared" si="30"/>
        <v>33652.01</v>
      </c>
      <c r="BT21" s="695">
        <v>133</v>
      </c>
      <c r="BU21" s="694">
        <f t="shared" si="48"/>
        <v>253.0226315789474</v>
      </c>
      <c r="BV21" s="695"/>
      <c r="BW21" s="694" t="e">
        <f t="shared" si="32"/>
        <v>#DIV/0!</v>
      </c>
      <c r="BX21" s="694">
        <f t="shared" si="35"/>
        <v>38956.311499999996</v>
      </c>
      <c r="BY21" s="694">
        <f t="shared" si="49"/>
        <v>292.9045977443609</v>
      </c>
      <c r="BZ21" s="696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1">
        <v>23011233</v>
      </c>
      <c r="J22" s="638">
        <f t="shared" ref="J22:J31" si="51">IF(I22&gt;=I21,I22-I21,0)</f>
        <v>5693</v>
      </c>
      <c r="K22" s="638">
        <f t="shared" si="0"/>
        <v>3669</v>
      </c>
      <c r="L22" s="771">
        <v>312504</v>
      </c>
      <c r="M22" s="638">
        <f t="shared" si="1"/>
        <v>2071</v>
      </c>
      <c r="N22" s="771">
        <v>299105</v>
      </c>
      <c r="O22" s="638">
        <f t="shared" si="2"/>
        <v>1598</v>
      </c>
      <c r="P22" s="771">
        <v>218556</v>
      </c>
      <c r="Q22" s="638">
        <f t="shared" si="46"/>
        <v>540</v>
      </c>
      <c r="R22" s="770">
        <v>158987</v>
      </c>
      <c r="S22" s="638">
        <f t="shared" si="50"/>
        <v>135</v>
      </c>
      <c r="T22" s="770">
        <v>290068</v>
      </c>
      <c r="U22" s="638">
        <f t="shared" si="5"/>
        <v>261</v>
      </c>
      <c r="V22" s="770">
        <v>183363</v>
      </c>
      <c r="W22" s="638">
        <f t="shared" si="6"/>
        <v>0</v>
      </c>
      <c r="X22" s="771">
        <v>761471</v>
      </c>
      <c r="Y22" s="638">
        <f t="shared" si="7"/>
        <v>4176.93</v>
      </c>
      <c r="Z22" s="771">
        <v>840169</v>
      </c>
      <c r="AA22" s="638">
        <f t="shared" si="8"/>
        <v>0</v>
      </c>
      <c r="AB22" s="770">
        <v>403260</v>
      </c>
      <c r="AC22" s="638">
        <f t="shared" si="34"/>
        <v>3672.3700000000003</v>
      </c>
      <c r="AD22" s="770">
        <v>505010</v>
      </c>
      <c r="AE22" s="638">
        <f t="shared" si="23"/>
        <v>1772.3200000000002</v>
      </c>
      <c r="AF22" s="770">
        <v>829378</v>
      </c>
      <c r="AG22" s="638">
        <f t="shared" si="42"/>
        <v>10.07</v>
      </c>
      <c r="AH22" s="770">
        <v>810651</v>
      </c>
      <c r="AI22" s="638">
        <f t="shared" si="10"/>
        <v>1134.73</v>
      </c>
      <c r="AJ22" s="770">
        <v>843504</v>
      </c>
      <c r="AK22" s="638">
        <f t="shared" si="45"/>
        <v>4154.67</v>
      </c>
      <c r="AL22" s="770">
        <v>442933</v>
      </c>
      <c r="AM22" s="638">
        <f t="shared" si="12"/>
        <v>169.07000000000002</v>
      </c>
      <c r="AN22" s="638">
        <f t="shared" si="24"/>
        <v>15090.16</v>
      </c>
      <c r="AO22" s="770">
        <v>7454447</v>
      </c>
      <c r="AP22" s="638">
        <f t="shared" si="25"/>
        <v>206.88750000000002</v>
      </c>
      <c r="AQ22" s="771">
        <v>628687</v>
      </c>
      <c r="AR22" s="638">
        <f t="shared" si="13"/>
        <v>176</v>
      </c>
      <c r="AS22" s="770">
        <v>940504</v>
      </c>
      <c r="AT22" s="638">
        <f t="shared" si="26"/>
        <v>202</v>
      </c>
      <c r="AU22" s="770">
        <v>802976</v>
      </c>
      <c r="AV22" s="638">
        <f t="shared" si="14"/>
        <v>64</v>
      </c>
      <c r="AW22" s="770">
        <v>2484104</v>
      </c>
      <c r="AX22" s="638">
        <f t="shared" si="15"/>
        <v>1063</v>
      </c>
      <c r="AY22" s="770">
        <v>220262</v>
      </c>
      <c r="AZ22" s="638">
        <f t="shared" si="47"/>
        <v>67</v>
      </c>
      <c r="BA22" s="770">
        <v>18490606</v>
      </c>
      <c r="BB22" s="638">
        <f t="shared" si="17"/>
        <v>4908</v>
      </c>
      <c r="BC22" s="770">
        <v>527540</v>
      </c>
      <c r="BD22" s="638">
        <f t="shared" si="17"/>
        <v>204</v>
      </c>
      <c r="BE22" s="770">
        <v>17845</v>
      </c>
      <c r="BF22" s="638">
        <f t="shared" si="17"/>
        <v>53</v>
      </c>
      <c r="BG22" s="771">
        <v>23097073</v>
      </c>
      <c r="BH22" s="638">
        <f t="shared" si="27"/>
        <v>6314.3</v>
      </c>
      <c r="BI22" s="638">
        <f t="shared" si="28"/>
        <v>13258.1875</v>
      </c>
      <c r="BJ22" s="638">
        <f t="shared" si="29"/>
        <v>28348.3475</v>
      </c>
      <c r="BK22" s="771">
        <v>1395725</v>
      </c>
      <c r="BL22" s="638">
        <f t="shared" si="18"/>
        <v>60</v>
      </c>
      <c r="BM22" s="771">
        <v>3734139</v>
      </c>
      <c r="BN22" s="638">
        <f t="shared" si="19"/>
        <v>1550</v>
      </c>
      <c r="BO22" s="770">
        <v>394041</v>
      </c>
      <c r="BP22" s="638">
        <f t="shared" si="20"/>
        <v>116</v>
      </c>
      <c r="BQ22" s="770">
        <v>492199</v>
      </c>
      <c r="BR22" s="638">
        <f t="shared" si="41"/>
        <v>205</v>
      </c>
      <c r="BS22" s="694">
        <f t="shared" si="30"/>
        <v>34581.347500000003</v>
      </c>
      <c r="BT22" s="695">
        <v>127</v>
      </c>
      <c r="BU22" s="694">
        <f t="shared" si="48"/>
        <v>272.29407480314961</v>
      </c>
      <c r="BV22" s="695"/>
      <c r="BW22" s="694" t="e">
        <f t="shared" si="32"/>
        <v>#DIV/0!</v>
      </c>
      <c r="BX22" s="694">
        <f t="shared" si="35"/>
        <v>40011.549625</v>
      </c>
      <c r="BY22" s="694">
        <f t="shared" si="49"/>
        <v>315.05157185039371</v>
      </c>
      <c r="BZ22" s="696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1">
        <v>23016805</v>
      </c>
      <c r="J23" s="638">
        <f t="shared" si="51"/>
        <v>5572</v>
      </c>
      <c r="K23" s="638">
        <f t="shared" si="0"/>
        <v>3558</v>
      </c>
      <c r="L23" s="771">
        <v>314561</v>
      </c>
      <c r="M23" s="638">
        <f t="shared" si="1"/>
        <v>2057</v>
      </c>
      <c r="N23" s="771">
        <v>300606</v>
      </c>
      <c r="O23" s="638">
        <f t="shared" si="2"/>
        <v>1501</v>
      </c>
      <c r="P23" s="771">
        <v>218574</v>
      </c>
      <c r="Q23" s="638">
        <f t="shared" si="46"/>
        <v>540</v>
      </c>
      <c r="R23" s="770">
        <v>159124</v>
      </c>
      <c r="S23" s="638">
        <f t="shared" si="50"/>
        <v>137</v>
      </c>
      <c r="T23" s="770">
        <v>290337</v>
      </c>
      <c r="U23" s="638">
        <f t="shared" si="5"/>
        <v>269</v>
      </c>
      <c r="V23" s="770">
        <v>183363</v>
      </c>
      <c r="W23" s="638">
        <f t="shared" si="6"/>
        <v>0</v>
      </c>
      <c r="X23" s="771">
        <v>769122</v>
      </c>
      <c r="Y23" s="638">
        <f t="shared" si="7"/>
        <v>4055.03</v>
      </c>
      <c r="Z23" s="774">
        <v>840169</v>
      </c>
      <c r="AA23" s="638">
        <f t="shared" si="8"/>
        <v>0</v>
      </c>
      <c r="AB23" s="770">
        <v>409565</v>
      </c>
      <c r="AC23" s="638">
        <f t="shared" si="34"/>
        <v>3341.65</v>
      </c>
      <c r="AD23" s="770">
        <v>508151</v>
      </c>
      <c r="AE23" s="638">
        <f t="shared" si="23"/>
        <v>1664.73</v>
      </c>
      <c r="AF23" s="770">
        <v>829398</v>
      </c>
      <c r="AG23" s="638">
        <f t="shared" si="42"/>
        <v>10.600000000000001</v>
      </c>
      <c r="AH23" s="770">
        <v>812755</v>
      </c>
      <c r="AI23" s="638">
        <f t="shared" si="10"/>
        <v>1115.1200000000001</v>
      </c>
      <c r="AJ23" s="770">
        <v>851216</v>
      </c>
      <c r="AK23" s="638">
        <f t="shared" si="45"/>
        <v>4087.36</v>
      </c>
      <c r="AL23" s="770">
        <v>443242</v>
      </c>
      <c r="AM23" s="638">
        <f t="shared" si="12"/>
        <v>163.77000000000001</v>
      </c>
      <c r="AN23" s="638">
        <f t="shared" si="24"/>
        <v>14438.260000000002</v>
      </c>
      <c r="AO23" s="709">
        <v>7456396</v>
      </c>
      <c r="AP23" s="638">
        <f t="shared" si="25"/>
        <v>219.26250000000002</v>
      </c>
      <c r="AQ23" s="770">
        <v>628844</v>
      </c>
      <c r="AR23" s="638">
        <f t="shared" si="13"/>
        <v>157</v>
      </c>
      <c r="AS23" s="770">
        <v>940705</v>
      </c>
      <c r="AT23" s="638">
        <f t="shared" si="26"/>
        <v>201</v>
      </c>
      <c r="AU23" s="770">
        <v>803043</v>
      </c>
      <c r="AV23" s="638">
        <f t="shared" si="14"/>
        <v>67</v>
      </c>
      <c r="AW23" s="770">
        <v>2485144</v>
      </c>
      <c r="AX23" s="638">
        <f t="shared" si="15"/>
        <v>1040</v>
      </c>
      <c r="AY23" s="771">
        <v>220326</v>
      </c>
      <c r="AZ23" s="638">
        <f t="shared" si="47"/>
        <v>64</v>
      </c>
      <c r="BA23" s="771">
        <v>18495386</v>
      </c>
      <c r="BB23" s="638">
        <f t="shared" si="17"/>
        <v>4780</v>
      </c>
      <c r="BC23" s="770">
        <v>527736</v>
      </c>
      <c r="BD23" s="638">
        <f t="shared" si="17"/>
        <v>196</v>
      </c>
      <c r="BE23" s="770">
        <v>17893</v>
      </c>
      <c r="BF23" s="638">
        <f t="shared" si="17"/>
        <v>48</v>
      </c>
      <c r="BG23" s="771">
        <v>23104299</v>
      </c>
      <c r="BH23" s="638">
        <f t="shared" si="27"/>
        <v>6502.85</v>
      </c>
      <c r="BI23" s="638">
        <f t="shared" si="28"/>
        <v>13275.112499999999</v>
      </c>
      <c r="BJ23" s="638">
        <f t="shared" si="29"/>
        <v>27713.372500000001</v>
      </c>
      <c r="BK23" s="771">
        <v>1395782</v>
      </c>
      <c r="BL23" s="638">
        <f t="shared" si="18"/>
        <v>57</v>
      </c>
      <c r="BM23" s="770">
        <v>3735170</v>
      </c>
      <c r="BN23" s="638">
        <f t="shared" si="19"/>
        <v>1031</v>
      </c>
      <c r="BO23" s="770">
        <v>394157</v>
      </c>
      <c r="BP23" s="638">
        <f t="shared" si="20"/>
        <v>116</v>
      </c>
      <c r="BQ23" s="771">
        <v>492406</v>
      </c>
      <c r="BR23" s="638">
        <f t="shared" si="41"/>
        <v>207</v>
      </c>
      <c r="BS23" s="694">
        <f t="shared" si="30"/>
        <v>33825.372499999998</v>
      </c>
      <c r="BT23" s="695">
        <v>158</v>
      </c>
      <c r="BU23" s="694">
        <f t="shared" si="48"/>
        <v>214.08463607594936</v>
      </c>
      <c r="BV23" s="695"/>
      <c r="BW23" s="694" t="e">
        <f t="shared" si="32"/>
        <v>#DIV/0!</v>
      </c>
      <c r="BX23" s="694">
        <f t="shared" si="35"/>
        <v>39142.178374999996</v>
      </c>
      <c r="BY23" s="694">
        <f t="shared" si="49"/>
        <v>247.73530617088605</v>
      </c>
      <c r="BZ23" s="696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1">
        <v>23021640</v>
      </c>
      <c r="J24" s="638">
        <f t="shared" si="51"/>
        <v>4835</v>
      </c>
      <c r="K24" s="638">
        <f t="shared" si="0"/>
        <v>3463</v>
      </c>
      <c r="L24" s="771">
        <v>316680</v>
      </c>
      <c r="M24" s="638">
        <f t="shared" si="1"/>
        <v>2119</v>
      </c>
      <c r="N24" s="771">
        <v>301950</v>
      </c>
      <c r="O24" s="638">
        <f t="shared" si="2"/>
        <v>1344</v>
      </c>
      <c r="P24" s="771">
        <v>218595</v>
      </c>
      <c r="Q24" s="638">
        <f>IF(P24&gt;=P23,P24-P23,0)*30</f>
        <v>630</v>
      </c>
      <c r="R24" s="770">
        <v>159266</v>
      </c>
      <c r="S24" s="638">
        <f t="shared" si="50"/>
        <v>142</v>
      </c>
      <c r="T24" s="770">
        <v>290603</v>
      </c>
      <c r="U24" s="638">
        <f t="shared" si="5"/>
        <v>266</v>
      </c>
      <c r="V24" s="770">
        <v>183363</v>
      </c>
      <c r="W24" s="638">
        <f t="shared" si="6"/>
        <v>0</v>
      </c>
      <c r="X24" s="771">
        <v>776549</v>
      </c>
      <c r="Y24" s="638">
        <f t="shared" si="7"/>
        <v>3936.3100000000004</v>
      </c>
      <c r="Z24" s="770">
        <v>840169</v>
      </c>
      <c r="AA24" s="638">
        <f t="shared" si="8"/>
        <v>0</v>
      </c>
      <c r="AB24" s="770">
        <v>416473</v>
      </c>
      <c r="AC24" s="638">
        <f t="shared" si="34"/>
        <v>3661.2400000000002</v>
      </c>
      <c r="AD24" s="770">
        <v>511433</v>
      </c>
      <c r="AE24" s="638">
        <f t="shared" si="23"/>
        <v>1739.46</v>
      </c>
      <c r="AF24" s="770">
        <v>829419</v>
      </c>
      <c r="AG24" s="638">
        <f t="shared" si="42"/>
        <v>11.13</v>
      </c>
      <c r="AH24" s="770">
        <v>814884</v>
      </c>
      <c r="AI24" s="638">
        <f t="shared" si="10"/>
        <v>1128.3700000000001</v>
      </c>
      <c r="AJ24" s="770">
        <v>859136</v>
      </c>
      <c r="AK24" s="638">
        <f t="shared" si="45"/>
        <v>4197.6000000000004</v>
      </c>
      <c r="AL24" s="770">
        <v>443568</v>
      </c>
      <c r="AM24" s="638">
        <f t="shared" si="12"/>
        <v>172.78</v>
      </c>
      <c r="AN24" s="638">
        <f t="shared" si="24"/>
        <v>14846.890000000003</v>
      </c>
      <c r="AO24" s="770">
        <v>7457840</v>
      </c>
      <c r="AP24" s="638">
        <f t="shared" si="25"/>
        <v>162.45000000000002</v>
      </c>
      <c r="AQ24" s="771">
        <v>629021</v>
      </c>
      <c r="AR24" s="638">
        <f t="shared" si="13"/>
        <v>177</v>
      </c>
      <c r="AS24" s="771">
        <v>940876</v>
      </c>
      <c r="AT24" s="638">
        <f t="shared" si="26"/>
        <v>171</v>
      </c>
      <c r="AU24" s="770">
        <v>803107</v>
      </c>
      <c r="AV24" s="638">
        <f t="shared" si="14"/>
        <v>64</v>
      </c>
      <c r="AW24" s="770">
        <v>2486215</v>
      </c>
      <c r="AX24" s="638">
        <f t="shared" si="15"/>
        <v>1071</v>
      </c>
      <c r="AY24" s="771">
        <v>220376</v>
      </c>
      <c r="AZ24" s="638">
        <f t="shared" si="47"/>
        <v>50</v>
      </c>
      <c r="BA24" s="770">
        <v>18500271</v>
      </c>
      <c r="BB24" s="638">
        <f t="shared" si="17"/>
        <v>4885</v>
      </c>
      <c r="BC24" s="770">
        <v>527939</v>
      </c>
      <c r="BD24" s="638">
        <f t="shared" si="17"/>
        <v>203</v>
      </c>
      <c r="BE24" s="770">
        <v>17943</v>
      </c>
      <c r="BF24" s="638">
        <f t="shared" si="17"/>
        <v>50</v>
      </c>
      <c r="BG24" s="771">
        <v>23111865</v>
      </c>
      <c r="BH24" s="638">
        <f t="shared" si="27"/>
        <v>6477.55</v>
      </c>
      <c r="BI24" s="638">
        <f t="shared" si="28"/>
        <v>13311</v>
      </c>
      <c r="BJ24" s="638">
        <f t="shared" si="29"/>
        <v>28157.890000000003</v>
      </c>
      <c r="BK24" s="771">
        <v>1395971</v>
      </c>
      <c r="BL24" s="638">
        <f t="shared" si="18"/>
        <v>189</v>
      </c>
      <c r="BM24" s="771">
        <v>3737009</v>
      </c>
      <c r="BN24" s="638">
        <f t="shared" si="19"/>
        <v>1839</v>
      </c>
      <c r="BO24" s="770">
        <v>394279</v>
      </c>
      <c r="BP24" s="638">
        <f t="shared" si="20"/>
        <v>122</v>
      </c>
      <c r="BQ24" s="771">
        <v>492612</v>
      </c>
      <c r="BR24" s="638">
        <f t="shared" si="41"/>
        <v>206</v>
      </c>
      <c r="BS24" s="694">
        <f t="shared" si="30"/>
        <v>33622.89</v>
      </c>
      <c r="BT24" s="695">
        <v>164</v>
      </c>
      <c r="BU24" s="694">
        <f t="shared" si="48"/>
        <v>205.0176219512195</v>
      </c>
      <c r="BV24" s="695"/>
      <c r="BW24" s="694" t="e">
        <f t="shared" si="32"/>
        <v>#DIV/0!</v>
      </c>
      <c r="BX24" s="694">
        <f t="shared" si="35"/>
        <v>38949.823499999999</v>
      </c>
      <c r="BY24" s="694">
        <f t="shared" si="49"/>
        <v>237.49892378048779</v>
      </c>
      <c r="BZ24" s="696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1">
        <v>23027069</v>
      </c>
      <c r="J25" s="638">
        <f t="shared" si="51"/>
        <v>5429</v>
      </c>
      <c r="K25" s="638">
        <f t="shared" si="0"/>
        <v>3511.0363636360271</v>
      </c>
      <c r="L25" s="771">
        <v>318808</v>
      </c>
      <c r="M25" s="638">
        <f t="shared" si="1"/>
        <v>2128</v>
      </c>
      <c r="N25" s="771">
        <v>303333.03636363603</v>
      </c>
      <c r="O25" s="638">
        <f t="shared" si="2"/>
        <v>1383.0363636360271</v>
      </c>
      <c r="P25" s="771">
        <v>218613</v>
      </c>
      <c r="Q25" s="638">
        <f t="shared" si="46"/>
        <v>540</v>
      </c>
      <c r="R25" s="770">
        <v>159403</v>
      </c>
      <c r="S25" s="638">
        <f t="shared" si="50"/>
        <v>137</v>
      </c>
      <c r="T25" s="770">
        <v>290862</v>
      </c>
      <c r="U25" s="638">
        <f t="shared" si="5"/>
        <v>259</v>
      </c>
      <c r="V25" s="770">
        <v>183363</v>
      </c>
      <c r="W25" s="638">
        <f t="shared" si="6"/>
        <v>0</v>
      </c>
      <c r="X25" s="771">
        <v>784043</v>
      </c>
      <c r="Y25" s="638">
        <f t="shared" si="7"/>
        <v>3971.82</v>
      </c>
      <c r="Z25" s="770">
        <v>840169</v>
      </c>
      <c r="AA25" s="638">
        <f t="shared" si="8"/>
        <v>0</v>
      </c>
      <c r="AB25" s="770">
        <v>423050</v>
      </c>
      <c r="AC25" s="638">
        <f t="shared" si="34"/>
        <v>3485.8100000000004</v>
      </c>
      <c r="AD25" s="770">
        <v>514649</v>
      </c>
      <c r="AE25" s="638">
        <f t="shared" si="23"/>
        <v>1704.48</v>
      </c>
      <c r="AF25" s="770">
        <v>829439</v>
      </c>
      <c r="AG25" s="638">
        <f t="shared" si="42"/>
        <v>10.600000000000001</v>
      </c>
      <c r="AH25" s="770">
        <v>816997</v>
      </c>
      <c r="AI25" s="638">
        <f t="shared" si="10"/>
        <v>1119.8900000000001</v>
      </c>
      <c r="AJ25" s="770">
        <v>866427</v>
      </c>
      <c r="AK25" s="638">
        <f t="shared" si="45"/>
        <v>3864.23</v>
      </c>
      <c r="AL25" s="770">
        <v>443894</v>
      </c>
      <c r="AM25" s="638">
        <f t="shared" si="12"/>
        <v>172.78</v>
      </c>
      <c r="AN25" s="638">
        <f t="shared" si="24"/>
        <v>14329.61</v>
      </c>
      <c r="AO25" s="770">
        <v>7459696</v>
      </c>
      <c r="AP25" s="638">
        <f t="shared" si="25"/>
        <v>208.8</v>
      </c>
      <c r="AQ25" s="770">
        <v>629215</v>
      </c>
      <c r="AR25" s="638">
        <f>IF(AQ25&gt;=AQ24,AQ25-AQ24,0)</f>
        <v>194</v>
      </c>
      <c r="AS25" s="771">
        <v>941039</v>
      </c>
      <c r="AT25" s="638">
        <f t="shared" si="26"/>
        <v>163</v>
      </c>
      <c r="AU25" s="770">
        <v>803152</v>
      </c>
      <c r="AV25" s="638">
        <f t="shared" si="14"/>
        <v>45</v>
      </c>
      <c r="AW25" s="770">
        <v>2487361</v>
      </c>
      <c r="AX25" s="638">
        <f t="shared" si="15"/>
        <v>1146</v>
      </c>
      <c r="AY25" s="771">
        <v>220413</v>
      </c>
      <c r="AZ25" s="638">
        <f t="shared" si="47"/>
        <v>37</v>
      </c>
      <c r="BA25" s="770">
        <v>18505004</v>
      </c>
      <c r="BB25" s="638">
        <f t="shared" si="17"/>
        <v>4733</v>
      </c>
      <c r="BC25" s="770">
        <v>528163</v>
      </c>
      <c r="BD25" s="638">
        <f t="shared" si="17"/>
        <v>224</v>
      </c>
      <c r="BE25" s="770">
        <v>17993</v>
      </c>
      <c r="BF25" s="638">
        <f t="shared" si="17"/>
        <v>50</v>
      </c>
      <c r="BG25" s="771">
        <v>23119101</v>
      </c>
      <c r="BH25" s="638">
        <f t="shared" si="27"/>
        <v>6251.25</v>
      </c>
      <c r="BI25" s="638">
        <f t="shared" si="28"/>
        <v>13052.05</v>
      </c>
      <c r="BJ25" s="638">
        <f t="shared" si="29"/>
        <v>27381.66</v>
      </c>
      <c r="BK25" s="771">
        <v>1396232</v>
      </c>
      <c r="BL25" s="638">
        <f t="shared" si="18"/>
        <v>261</v>
      </c>
      <c r="BM25" s="771">
        <v>3738667</v>
      </c>
      <c r="BN25" s="638">
        <f t="shared" si="19"/>
        <v>1658</v>
      </c>
      <c r="BO25" s="709">
        <v>394396</v>
      </c>
      <c r="BP25" s="638">
        <f t="shared" si="20"/>
        <v>117</v>
      </c>
      <c r="BQ25" s="770">
        <v>492798</v>
      </c>
      <c r="BR25" s="638">
        <f t="shared" si="41"/>
        <v>186</v>
      </c>
      <c r="BS25" s="694">
        <f t="shared" si="30"/>
        <v>33350.660000000003</v>
      </c>
      <c r="BT25" s="695">
        <v>161</v>
      </c>
      <c r="BU25" s="694">
        <f t="shared" si="48"/>
        <v>207.14695652173916</v>
      </c>
      <c r="BV25" s="695"/>
      <c r="BW25" s="694" t="e">
        <f t="shared" si="32"/>
        <v>#DIV/0!</v>
      </c>
      <c r="BX25" s="694">
        <f t="shared" si="35"/>
        <v>38596.258999999998</v>
      </c>
      <c r="BY25" s="694">
        <f t="shared" si="49"/>
        <v>239.72831677018632</v>
      </c>
      <c r="BZ25" s="696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1">
        <v>23031800</v>
      </c>
      <c r="J26" s="638">
        <f t="shared" si="51"/>
        <v>4731</v>
      </c>
      <c r="K26" s="638">
        <f t="shared" si="0"/>
        <v>3009.9636363639729</v>
      </c>
      <c r="L26" s="771">
        <v>320510</v>
      </c>
      <c r="M26" s="638">
        <f t="shared" si="1"/>
        <v>1702</v>
      </c>
      <c r="N26" s="771">
        <v>304641</v>
      </c>
      <c r="O26" s="638">
        <f t="shared" si="2"/>
        <v>1307.9636363639729</v>
      </c>
      <c r="P26" s="771">
        <v>218631</v>
      </c>
      <c r="Q26" s="638">
        <f t="shared" si="46"/>
        <v>540</v>
      </c>
      <c r="R26" s="770">
        <v>159538</v>
      </c>
      <c r="S26" s="638">
        <f t="shared" si="50"/>
        <v>135</v>
      </c>
      <c r="T26" s="770">
        <v>291118</v>
      </c>
      <c r="U26" s="638">
        <f t="shared" si="5"/>
        <v>256</v>
      </c>
      <c r="V26" s="770">
        <v>183363</v>
      </c>
      <c r="W26" s="638">
        <f t="shared" si="6"/>
        <v>0</v>
      </c>
      <c r="X26" s="771">
        <v>791481</v>
      </c>
      <c r="Y26" s="638">
        <f t="shared" si="7"/>
        <v>3942.1400000000003</v>
      </c>
      <c r="Z26" s="771">
        <v>840169</v>
      </c>
      <c r="AA26" s="638">
        <f t="shared" si="8"/>
        <v>0</v>
      </c>
      <c r="AB26" s="770">
        <v>430179</v>
      </c>
      <c r="AC26" s="638">
        <f t="shared" si="34"/>
        <v>3778.3700000000003</v>
      </c>
      <c r="AD26" s="770">
        <v>517877</v>
      </c>
      <c r="AE26" s="638">
        <f t="shared" si="23"/>
        <v>1710.8400000000001</v>
      </c>
      <c r="AF26" s="770">
        <v>829458</v>
      </c>
      <c r="AG26" s="638">
        <f t="shared" si="42"/>
        <v>10.07</v>
      </c>
      <c r="AH26" s="770">
        <v>818951</v>
      </c>
      <c r="AI26" s="638">
        <f t="shared" si="10"/>
        <v>1035.6200000000001</v>
      </c>
      <c r="AJ26" s="770">
        <v>874397</v>
      </c>
      <c r="AK26" s="638">
        <f t="shared" si="45"/>
        <v>4224.1000000000004</v>
      </c>
      <c r="AL26" s="770">
        <v>444192</v>
      </c>
      <c r="AM26" s="638">
        <f t="shared" si="12"/>
        <v>157.94</v>
      </c>
      <c r="AN26" s="638">
        <f t="shared" si="24"/>
        <v>14859.080000000002</v>
      </c>
      <c r="AO26" s="770">
        <v>7461128</v>
      </c>
      <c r="AP26" s="638">
        <f t="shared" si="25"/>
        <v>161.1</v>
      </c>
      <c r="AQ26" s="771">
        <v>629386</v>
      </c>
      <c r="AR26" s="638">
        <f>IF(AQ26&gt;=AQ25,AQ26-AQ25,0)</f>
        <v>171</v>
      </c>
      <c r="AS26" s="771">
        <v>941245</v>
      </c>
      <c r="AT26" s="638">
        <f t="shared" si="26"/>
        <v>206</v>
      </c>
      <c r="AU26" s="770">
        <v>803183</v>
      </c>
      <c r="AV26" s="638">
        <f t="shared" si="14"/>
        <v>31</v>
      </c>
      <c r="AW26" s="770">
        <v>2488265</v>
      </c>
      <c r="AX26" s="638">
        <f t="shared" si="15"/>
        <v>904</v>
      </c>
      <c r="AY26" s="771">
        <v>220474</v>
      </c>
      <c r="AZ26" s="638">
        <f t="shared" si="47"/>
        <v>61</v>
      </c>
      <c r="BA26" s="770">
        <v>18509420</v>
      </c>
      <c r="BB26" s="638">
        <f t="shared" si="17"/>
        <v>4416</v>
      </c>
      <c r="BC26" s="770">
        <v>528378</v>
      </c>
      <c r="BD26" s="638">
        <f t="shared" si="17"/>
        <v>215</v>
      </c>
      <c r="BE26" s="770">
        <v>18051</v>
      </c>
      <c r="BF26" s="638">
        <f t="shared" si="17"/>
        <v>58</v>
      </c>
      <c r="BG26" s="771">
        <v>23126515</v>
      </c>
      <c r="BH26" s="638">
        <f t="shared" si="27"/>
        <v>6391.05</v>
      </c>
      <c r="BI26" s="638">
        <f t="shared" si="28"/>
        <v>12614.150000000001</v>
      </c>
      <c r="BJ26" s="638">
        <f t="shared" si="29"/>
        <v>27473.230000000003</v>
      </c>
      <c r="BK26" s="771">
        <v>1396491</v>
      </c>
      <c r="BL26" s="638">
        <f t="shared" si="18"/>
        <v>259</v>
      </c>
      <c r="BM26" s="770">
        <v>3740403</v>
      </c>
      <c r="BN26" s="638">
        <f t="shared" si="19"/>
        <v>1736</v>
      </c>
      <c r="BO26" s="770">
        <v>394511</v>
      </c>
      <c r="BP26" s="638">
        <f t="shared" si="20"/>
        <v>115</v>
      </c>
      <c r="BQ26" s="770">
        <v>492988</v>
      </c>
      <c r="BR26" s="638">
        <f t="shared" si="41"/>
        <v>190</v>
      </c>
      <c r="BS26" s="694">
        <f t="shared" si="30"/>
        <v>32744.230000000003</v>
      </c>
      <c r="BT26" s="695">
        <v>149</v>
      </c>
      <c r="BU26" s="694">
        <f t="shared" si="48"/>
        <v>219.75993288590607</v>
      </c>
      <c r="BV26" s="695"/>
      <c r="BW26" s="694" t="e">
        <f t="shared" si="32"/>
        <v>#DIV/0!</v>
      </c>
      <c r="BX26" s="694">
        <f t="shared" si="35"/>
        <v>37898.864500000003</v>
      </c>
      <c r="BY26" s="694">
        <f t="shared" si="49"/>
        <v>254.35479530201346</v>
      </c>
      <c r="BZ26" s="696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1">
        <v>23036592</v>
      </c>
      <c r="J27" s="638">
        <f t="shared" si="51"/>
        <v>4792</v>
      </c>
      <c r="K27" s="638">
        <f t="shared" si="0"/>
        <v>3516</v>
      </c>
      <c r="L27" s="771">
        <v>322521</v>
      </c>
      <c r="M27" s="638">
        <f t="shared" si="1"/>
        <v>2011</v>
      </c>
      <c r="N27" s="771">
        <v>306146</v>
      </c>
      <c r="O27" s="638">
        <f t="shared" si="2"/>
        <v>1505</v>
      </c>
      <c r="P27" s="771">
        <v>218651</v>
      </c>
      <c r="Q27" s="638">
        <f>IF(P27&gt;=P26,P27-P26,0)*30</f>
        <v>600</v>
      </c>
      <c r="R27" s="770">
        <v>159699</v>
      </c>
      <c r="S27" s="638">
        <f t="shared" si="50"/>
        <v>161</v>
      </c>
      <c r="T27" s="770">
        <v>291442</v>
      </c>
      <c r="U27" s="638">
        <f t="shared" si="5"/>
        <v>324</v>
      </c>
      <c r="V27" s="770">
        <v>183363</v>
      </c>
      <c r="W27" s="638">
        <f t="shared" si="6"/>
        <v>0</v>
      </c>
      <c r="X27" s="771">
        <v>799264</v>
      </c>
      <c r="Y27" s="638">
        <f t="shared" si="7"/>
        <v>4124.99</v>
      </c>
      <c r="Z27" s="771">
        <v>840169</v>
      </c>
      <c r="AA27" s="638">
        <f t="shared" si="8"/>
        <v>0</v>
      </c>
      <c r="AB27" s="770">
        <v>437285</v>
      </c>
      <c r="AC27" s="638">
        <f t="shared" si="34"/>
        <v>3766.1800000000003</v>
      </c>
      <c r="AD27" s="770">
        <v>521742</v>
      </c>
      <c r="AE27" s="638">
        <f t="shared" si="23"/>
        <v>2048.4500000000003</v>
      </c>
      <c r="AF27" s="770">
        <v>829480</v>
      </c>
      <c r="AG27" s="638">
        <f t="shared" si="42"/>
        <v>11.66</v>
      </c>
      <c r="AH27" s="771">
        <v>821048</v>
      </c>
      <c r="AI27" s="638">
        <f t="shared" si="10"/>
        <v>1111.4100000000001</v>
      </c>
      <c r="AJ27" s="771">
        <v>882362</v>
      </c>
      <c r="AK27" s="638">
        <f t="shared" si="45"/>
        <v>4221.45</v>
      </c>
      <c r="AL27" s="770">
        <v>444518</v>
      </c>
      <c r="AM27" s="638">
        <f t="shared" si="12"/>
        <v>172.78</v>
      </c>
      <c r="AN27" s="638">
        <f t="shared" si="24"/>
        <v>15456.92</v>
      </c>
      <c r="AO27" s="770">
        <v>7462970</v>
      </c>
      <c r="AP27" s="638">
        <f t="shared" si="25"/>
        <v>207.22499999999999</v>
      </c>
      <c r="AQ27" s="770">
        <v>629588</v>
      </c>
      <c r="AR27" s="638">
        <f>IF(AQ27&gt;=AQ26,AQ27-AQ26,0)</f>
        <v>202</v>
      </c>
      <c r="AS27" s="770">
        <v>941422</v>
      </c>
      <c r="AT27" s="638">
        <f t="shared" si="26"/>
        <v>177</v>
      </c>
      <c r="AU27" s="770">
        <v>803247</v>
      </c>
      <c r="AV27" s="638">
        <f t="shared" si="14"/>
        <v>64</v>
      </c>
      <c r="AW27" s="770">
        <v>2489317</v>
      </c>
      <c r="AX27" s="638">
        <f t="shared" si="15"/>
        <v>1052</v>
      </c>
      <c r="AY27" s="771">
        <v>220530</v>
      </c>
      <c r="AZ27" s="638">
        <f t="shared" si="47"/>
        <v>56</v>
      </c>
      <c r="BA27" s="770">
        <v>18514802</v>
      </c>
      <c r="BB27" s="638">
        <f t="shared" si="17"/>
        <v>5382</v>
      </c>
      <c r="BC27" s="770">
        <v>528635</v>
      </c>
      <c r="BD27" s="638">
        <f t="shared" si="17"/>
        <v>257</v>
      </c>
      <c r="BE27" s="770">
        <v>18110</v>
      </c>
      <c r="BF27" s="638">
        <f t="shared" si="17"/>
        <v>59</v>
      </c>
      <c r="BG27" s="771">
        <v>23134640</v>
      </c>
      <c r="BH27" s="638">
        <f t="shared" si="27"/>
        <v>7027.95</v>
      </c>
      <c r="BI27" s="638">
        <f t="shared" si="28"/>
        <v>14484.174999999999</v>
      </c>
      <c r="BJ27" s="638">
        <f t="shared" si="29"/>
        <v>29941.095000000001</v>
      </c>
      <c r="BK27" s="771">
        <v>1396776</v>
      </c>
      <c r="BL27" s="638">
        <f t="shared" si="18"/>
        <v>285</v>
      </c>
      <c r="BM27" s="770">
        <v>3742244</v>
      </c>
      <c r="BN27" s="638">
        <f t="shared" si="19"/>
        <v>1841</v>
      </c>
      <c r="BO27" s="770">
        <v>394639</v>
      </c>
      <c r="BP27" s="638">
        <f t="shared" si="20"/>
        <v>128</v>
      </c>
      <c r="BQ27" s="770">
        <v>493199</v>
      </c>
      <c r="BR27" s="638">
        <f t="shared" si="41"/>
        <v>211</v>
      </c>
      <c r="BS27" s="694">
        <f t="shared" si="30"/>
        <v>35333.095000000001</v>
      </c>
      <c r="BT27" s="695">
        <v>149</v>
      </c>
      <c r="BU27" s="694">
        <f t="shared" si="48"/>
        <v>237.13486577181209</v>
      </c>
      <c r="BV27" s="695"/>
      <c r="BW27" s="694" t="e">
        <f t="shared" si="32"/>
        <v>#DIV/0!</v>
      </c>
      <c r="BX27" s="694">
        <f t="shared" si="35"/>
        <v>40903.059249999998</v>
      </c>
      <c r="BY27" s="694">
        <f t="shared" si="49"/>
        <v>274.51717617449663</v>
      </c>
      <c r="BZ27" s="696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1">
        <v>23041462</v>
      </c>
      <c r="J28" s="638">
        <f t="shared" si="51"/>
        <v>4870</v>
      </c>
      <c r="K28" s="638">
        <f t="shared" si="0"/>
        <v>3346</v>
      </c>
      <c r="L28" s="771">
        <v>324452</v>
      </c>
      <c r="M28" s="638">
        <f t="shared" si="1"/>
        <v>1931</v>
      </c>
      <c r="N28" s="770">
        <v>307561</v>
      </c>
      <c r="O28" s="638">
        <f t="shared" si="2"/>
        <v>1415</v>
      </c>
      <c r="P28" s="771">
        <v>218672</v>
      </c>
      <c r="Q28" s="638">
        <f t="shared" si="46"/>
        <v>630</v>
      </c>
      <c r="R28" s="770">
        <v>159819</v>
      </c>
      <c r="S28" s="638">
        <f t="shared" si="50"/>
        <v>120</v>
      </c>
      <c r="T28" s="770">
        <v>291682</v>
      </c>
      <c r="U28" s="638">
        <f t="shared" si="5"/>
        <v>240</v>
      </c>
      <c r="V28" s="770">
        <v>188288</v>
      </c>
      <c r="W28" s="638">
        <f t="shared" si="6"/>
        <v>2610.25</v>
      </c>
      <c r="X28" s="771">
        <v>806777</v>
      </c>
      <c r="Y28" s="638">
        <f t="shared" si="7"/>
        <v>3981.8900000000003</v>
      </c>
      <c r="Z28" s="771">
        <v>840169</v>
      </c>
      <c r="AA28" s="638">
        <f t="shared" si="8"/>
        <v>0</v>
      </c>
      <c r="AB28" s="770">
        <v>437408</v>
      </c>
      <c r="AC28" s="638">
        <f t="shared" si="34"/>
        <v>65.19</v>
      </c>
      <c r="AD28" s="770">
        <v>524604</v>
      </c>
      <c r="AE28" s="638">
        <f t="shared" si="23"/>
        <v>1516.8600000000001</v>
      </c>
      <c r="AF28" s="770">
        <v>829498</v>
      </c>
      <c r="AG28" s="638">
        <f t="shared" si="42"/>
        <v>9.5400000000000009</v>
      </c>
      <c r="AH28" s="770">
        <v>823090</v>
      </c>
      <c r="AI28" s="638">
        <f t="shared" si="10"/>
        <v>1082.26</v>
      </c>
      <c r="AJ28" s="770">
        <v>889721</v>
      </c>
      <c r="AK28" s="638">
        <f t="shared" si="45"/>
        <v>3900.27</v>
      </c>
      <c r="AL28" s="770">
        <v>444842</v>
      </c>
      <c r="AM28" s="638">
        <f t="shared" si="12"/>
        <v>171.72</v>
      </c>
      <c r="AN28" s="638">
        <f t="shared" si="24"/>
        <v>13337.98</v>
      </c>
      <c r="AO28" s="770">
        <v>7464894</v>
      </c>
      <c r="AP28" s="638">
        <f t="shared" si="25"/>
        <v>216.45000000000002</v>
      </c>
      <c r="AQ28" s="770">
        <v>629789</v>
      </c>
      <c r="AR28" s="638">
        <f>IF(AQ28&gt;=AQ27,AQ28-AQ27,0)</f>
        <v>201</v>
      </c>
      <c r="AS28" s="771">
        <v>941598</v>
      </c>
      <c r="AT28" s="638">
        <f t="shared" si="26"/>
        <v>176</v>
      </c>
      <c r="AU28" s="770">
        <v>803312</v>
      </c>
      <c r="AV28" s="638">
        <f t="shared" si="14"/>
        <v>65</v>
      </c>
      <c r="AW28" s="770">
        <v>2490344</v>
      </c>
      <c r="AX28" s="638">
        <f t="shared" si="15"/>
        <v>1027</v>
      </c>
      <c r="AY28" s="770">
        <v>220574</v>
      </c>
      <c r="AZ28" s="638">
        <f t="shared" si="47"/>
        <v>44</v>
      </c>
      <c r="BA28" s="770">
        <v>18519426</v>
      </c>
      <c r="BB28" s="638">
        <f t="shared" si="17"/>
        <v>4624</v>
      </c>
      <c r="BC28" s="770">
        <v>528831</v>
      </c>
      <c r="BD28" s="638">
        <f t="shared" si="17"/>
        <v>196</v>
      </c>
      <c r="BE28" s="770">
        <v>18164</v>
      </c>
      <c r="BF28" s="638">
        <f t="shared" si="17"/>
        <v>54</v>
      </c>
      <c r="BG28" s="770">
        <v>23141491</v>
      </c>
      <c r="BH28" s="638">
        <f t="shared" si="27"/>
        <v>6850.55</v>
      </c>
      <c r="BI28" s="638">
        <f t="shared" si="28"/>
        <v>13454</v>
      </c>
      <c r="BJ28" s="638">
        <f t="shared" si="29"/>
        <v>26791.98</v>
      </c>
      <c r="BK28" s="771">
        <v>1397021</v>
      </c>
      <c r="BL28" s="638">
        <f t="shared" si="18"/>
        <v>245</v>
      </c>
      <c r="BM28" s="770">
        <v>3742245</v>
      </c>
      <c r="BN28" s="638">
        <f t="shared" si="19"/>
        <v>1</v>
      </c>
      <c r="BO28" s="770">
        <v>394639</v>
      </c>
      <c r="BP28" s="638">
        <f t="shared" si="20"/>
        <v>0</v>
      </c>
      <c r="BQ28" s="770">
        <v>493199</v>
      </c>
      <c r="BR28" s="638">
        <f t="shared" si="41"/>
        <v>0</v>
      </c>
      <c r="BS28" s="694">
        <f t="shared" si="30"/>
        <v>32291.98</v>
      </c>
      <c r="BT28" s="695">
        <v>149</v>
      </c>
      <c r="BU28" s="694">
        <f t="shared" si="48"/>
        <v>216.72469798657718</v>
      </c>
      <c r="BV28" s="695"/>
      <c r="BW28" s="694" t="e">
        <f t="shared" si="32"/>
        <v>#DIV/0!</v>
      </c>
      <c r="BX28" s="694">
        <f t="shared" si="35"/>
        <v>37419.276999999995</v>
      </c>
      <c r="BY28" s="694">
        <f t="shared" si="49"/>
        <v>251.1360872483221</v>
      </c>
      <c r="BZ28" s="696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1">
        <v>23047045</v>
      </c>
      <c r="J29" s="638">
        <f t="shared" si="51"/>
        <v>5583</v>
      </c>
      <c r="K29" s="638">
        <f t="shared" si="0"/>
        <v>3396</v>
      </c>
      <c r="L29" s="770">
        <v>326412</v>
      </c>
      <c r="M29" s="638">
        <f t="shared" si="1"/>
        <v>1960</v>
      </c>
      <c r="N29" s="770">
        <v>308997</v>
      </c>
      <c r="O29" s="638">
        <f t="shared" si="2"/>
        <v>1436</v>
      </c>
      <c r="P29" s="771">
        <v>218693</v>
      </c>
      <c r="Q29" s="638">
        <f t="shared" si="46"/>
        <v>630</v>
      </c>
      <c r="R29" s="770">
        <v>159958</v>
      </c>
      <c r="S29" s="638">
        <f>IF(R29&gt;=R28,R29-R28,0)</f>
        <v>139</v>
      </c>
      <c r="T29" s="770">
        <v>291937</v>
      </c>
      <c r="U29" s="638">
        <f t="shared" ref="U29:U36" si="52">IF(T29&gt;=T28,T29-T28,0)</f>
        <v>255</v>
      </c>
      <c r="V29" s="770">
        <v>194042</v>
      </c>
      <c r="W29" s="638">
        <f t="shared" si="6"/>
        <v>3049.6200000000003</v>
      </c>
      <c r="X29" s="771">
        <v>814036</v>
      </c>
      <c r="Y29" s="638">
        <f t="shared" si="7"/>
        <v>3847.27</v>
      </c>
      <c r="Z29" s="774">
        <v>840169</v>
      </c>
      <c r="AA29" s="638">
        <f t="shared" si="8"/>
        <v>0</v>
      </c>
      <c r="AB29" s="770">
        <v>437408</v>
      </c>
      <c r="AC29" s="638">
        <f t="shared" si="34"/>
        <v>0</v>
      </c>
      <c r="AD29" s="770">
        <v>527801</v>
      </c>
      <c r="AE29" s="638">
        <f t="shared" si="23"/>
        <v>1694.41</v>
      </c>
      <c r="AF29" s="770">
        <v>829518</v>
      </c>
      <c r="AG29" s="638">
        <f t="shared" si="42"/>
        <v>10.600000000000001</v>
      </c>
      <c r="AH29" s="770">
        <v>825169</v>
      </c>
      <c r="AI29" s="638">
        <f t="shared" si="10"/>
        <v>1101.8700000000001</v>
      </c>
      <c r="AJ29" s="770">
        <v>897514</v>
      </c>
      <c r="AK29" s="638">
        <f t="shared" si="45"/>
        <v>4130.29</v>
      </c>
      <c r="AL29" s="770">
        <v>445153</v>
      </c>
      <c r="AM29" s="638">
        <f t="shared" si="12"/>
        <v>164.83</v>
      </c>
      <c r="AN29" s="638">
        <f t="shared" si="24"/>
        <v>13998.890000000001</v>
      </c>
      <c r="AO29" s="709">
        <v>7466673</v>
      </c>
      <c r="AP29" s="638">
        <f t="shared" si="25"/>
        <v>200.13750000000002</v>
      </c>
      <c r="AQ29" s="770">
        <v>630047</v>
      </c>
      <c r="AR29" s="638">
        <f t="shared" si="13"/>
        <v>258</v>
      </c>
      <c r="AS29" s="770">
        <v>941792</v>
      </c>
      <c r="AT29" s="638">
        <f t="shared" si="26"/>
        <v>194</v>
      </c>
      <c r="AU29" s="770">
        <v>803370</v>
      </c>
      <c r="AV29" s="638">
        <f t="shared" si="14"/>
        <v>58</v>
      </c>
      <c r="AW29" s="770">
        <v>2491320</v>
      </c>
      <c r="AX29" s="638">
        <f t="shared" si="15"/>
        <v>976</v>
      </c>
      <c r="AY29" s="770">
        <v>220619</v>
      </c>
      <c r="AZ29" s="638">
        <f t="shared" si="47"/>
        <v>45</v>
      </c>
      <c r="BA29" s="770">
        <v>18524110</v>
      </c>
      <c r="BB29" s="638">
        <f t="shared" si="17"/>
        <v>4684</v>
      </c>
      <c r="BC29" s="770">
        <v>529036</v>
      </c>
      <c r="BD29" s="638">
        <f t="shared" si="17"/>
        <v>205</v>
      </c>
      <c r="BE29" s="770">
        <v>18217</v>
      </c>
      <c r="BF29" s="638">
        <f t="shared" si="17"/>
        <v>53</v>
      </c>
      <c r="BG29" s="771">
        <v>23149168</v>
      </c>
      <c r="BH29" s="638">
        <f t="shared" si="27"/>
        <v>6603.2</v>
      </c>
      <c r="BI29" s="638">
        <f t="shared" si="28"/>
        <v>13276.3375</v>
      </c>
      <c r="BJ29" s="638">
        <f t="shared" si="29"/>
        <v>27275.227500000001</v>
      </c>
      <c r="BK29" s="771">
        <v>1397302</v>
      </c>
      <c r="BL29" s="638">
        <f t="shared" si="18"/>
        <v>281</v>
      </c>
      <c r="BM29" s="770">
        <v>3744070</v>
      </c>
      <c r="BN29" s="638">
        <f t="shared" si="19"/>
        <v>1825</v>
      </c>
      <c r="BO29" s="770">
        <v>394758</v>
      </c>
      <c r="BP29" s="638">
        <f t="shared" si="20"/>
        <v>119</v>
      </c>
      <c r="BQ29" s="771">
        <v>493398</v>
      </c>
      <c r="BR29" s="638">
        <f t="shared" si="41"/>
        <v>199</v>
      </c>
      <c r="BS29" s="694">
        <f t="shared" si="30"/>
        <v>33488.227500000001</v>
      </c>
      <c r="BT29" s="695">
        <v>139</v>
      </c>
      <c r="BU29" s="694">
        <f t="shared" si="48"/>
        <v>240.92250000000001</v>
      </c>
      <c r="BV29" s="695"/>
      <c r="BW29" s="694" t="e">
        <f t="shared" si="32"/>
        <v>#DIV/0!</v>
      </c>
      <c r="BX29" s="694">
        <f t="shared" si="35"/>
        <v>38794.961624999996</v>
      </c>
      <c r="BY29" s="694">
        <f t="shared" si="49"/>
        <v>279.1004433453237</v>
      </c>
      <c r="BZ29" s="696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3">IF(+B30-B29&gt;0,B30-B29,(B30-B29)&gt;0)*800</f>
        <v>0</v>
      </c>
      <c r="D30" s="432"/>
      <c r="E30" s="432">
        <f t="shared" ref="E30:E35" si="54">IF(+D30-D29&gt;0,D30-D29,(D30-D29)&gt;0)*80</f>
        <v>0</v>
      </c>
      <c r="F30" s="432"/>
      <c r="G30" s="432">
        <f t="shared" ref="G30:G35" si="55">IF(+F30-F29&gt;0,F30-F29,(F30-F29)&gt;0)*10</f>
        <v>0</v>
      </c>
      <c r="H30" s="433">
        <v>68</v>
      </c>
      <c r="I30" s="771">
        <v>23052394</v>
      </c>
      <c r="J30" s="638">
        <f t="shared" si="51"/>
        <v>5349</v>
      </c>
      <c r="K30" s="638">
        <f t="shared" si="0"/>
        <v>3501</v>
      </c>
      <c r="L30" s="771">
        <v>328405</v>
      </c>
      <c r="M30" s="638">
        <f t="shared" si="1"/>
        <v>1993</v>
      </c>
      <c r="N30" s="771">
        <v>310505</v>
      </c>
      <c r="O30" s="638">
        <f t="shared" si="2"/>
        <v>1508</v>
      </c>
      <c r="P30" s="771">
        <v>218714</v>
      </c>
      <c r="Q30" s="638">
        <f t="shared" si="46"/>
        <v>630</v>
      </c>
      <c r="R30" s="770">
        <v>160123</v>
      </c>
      <c r="S30" s="638">
        <f>IF(R30&gt;=R29,R30-R29,0)</f>
        <v>165</v>
      </c>
      <c r="T30" s="770">
        <v>292257</v>
      </c>
      <c r="U30" s="638">
        <f t="shared" si="52"/>
        <v>320</v>
      </c>
      <c r="V30" s="770">
        <v>200122</v>
      </c>
      <c r="W30" s="638">
        <f t="shared" si="6"/>
        <v>3222.4</v>
      </c>
      <c r="X30" s="771">
        <v>821595</v>
      </c>
      <c r="Y30" s="638">
        <f t="shared" si="7"/>
        <v>4006.27</v>
      </c>
      <c r="Z30" s="770">
        <v>840169</v>
      </c>
      <c r="AA30" s="638">
        <f t="shared" si="8"/>
        <v>0</v>
      </c>
      <c r="AB30" s="770">
        <v>437408</v>
      </c>
      <c r="AC30" s="638">
        <f t="shared" si="34"/>
        <v>0</v>
      </c>
      <c r="AD30" s="770">
        <v>531890</v>
      </c>
      <c r="AE30" s="638">
        <f t="shared" si="23"/>
        <v>2167.17</v>
      </c>
      <c r="AF30" s="770">
        <v>829543</v>
      </c>
      <c r="AG30" s="638">
        <f t="shared" si="42"/>
        <v>13.25</v>
      </c>
      <c r="AH30" s="770">
        <v>827239</v>
      </c>
      <c r="AI30" s="638">
        <f t="shared" si="10"/>
        <v>1097.1000000000001</v>
      </c>
      <c r="AJ30" s="770">
        <v>905301</v>
      </c>
      <c r="AK30" s="638">
        <f t="shared" si="45"/>
        <v>4127.1100000000006</v>
      </c>
      <c r="AL30" s="770">
        <v>445458</v>
      </c>
      <c r="AM30" s="638">
        <f t="shared" si="12"/>
        <v>161.65</v>
      </c>
      <c r="AN30" s="638">
        <f t="shared" si="24"/>
        <v>14794.95</v>
      </c>
      <c r="AO30" s="770">
        <v>7468661</v>
      </c>
      <c r="AP30" s="638">
        <f t="shared" si="25"/>
        <v>223.65</v>
      </c>
      <c r="AQ30" s="771">
        <v>630238</v>
      </c>
      <c r="AR30" s="638">
        <f t="shared" si="13"/>
        <v>191</v>
      </c>
      <c r="AS30" s="770">
        <v>941974</v>
      </c>
      <c r="AT30" s="638">
        <f t="shared" si="26"/>
        <v>182</v>
      </c>
      <c r="AU30" s="770">
        <v>803429</v>
      </c>
      <c r="AV30" s="638">
        <f t="shared" si="14"/>
        <v>59</v>
      </c>
      <c r="AW30" s="770">
        <v>2492289</v>
      </c>
      <c r="AX30" s="638">
        <f t="shared" si="15"/>
        <v>969</v>
      </c>
      <c r="AY30" s="770">
        <v>220680</v>
      </c>
      <c r="AZ30" s="638">
        <f t="shared" si="47"/>
        <v>61</v>
      </c>
      <c r="BA30" s="770">
        <v>18528684</v>
      </c>
      <c r="BB30" s="638">
        <f t="shared" si="17"/>
        <v>4574</v>
      </c>
      <c r="BC30" s="770">
        <v>529244</v>
      </c>
      <c r="BD30" s="638">
        <f t="shared" si="17"/>
        <v>208</v>
      </c>
      <c r="BE30" s="770">
        <v>18269</v>
      </c>
      <c r="BF30" s="638">
        <f t="shared" si="17"/>
        <v>52</v>
      </c>
      <c r="BG30" s="771">
        <v>23155775</v>
      </c>
      <c r="BH30" s="638">
        <f t="shared" si="27"/>
        <v>5665.85</v>
      </c>
      <c r="BI30" s="638">
        <f t="shared" si="28"/>
        <v>12185.5</v>
      </c>
      <c r="BJ30" s="638">
        <f t="shared" si="29"/>
        <v>26980.45</v>
      </c>
      <c r="BK30" s="771">
        <v>1397552</v>
      </c>
      <c r="BL30" s="638">
        <f t="shared" si="18"/>
        <v>250</v>
      </c>
      <c r="BM30" s="770">
        <v>3745670</v>
      </c>
      <c r="BN30" s="638">
        <f t="shared" si="19"/>
        <v>1600</v>
      </c>
      <c r="BO30" s="770">
        <v>394865</v>
      </c>
      <c r="BP30" s="638">
        <f t="shared" si="20"/>
        <v>107</v>
      </c>
      <c r="BQ30" s="770">
        <v>493571</v>
      </c>
      <c r="BR30" s="638">
        <f t="shared" si="41"/>
        <v>173</v>
      </c>
      <c r="BS30" s="694">
        <f t="shared" si="30"/>
        <v>32959.449999999997</v>
      </c>
      <c r="BT30" s="695">
        <v>177</v>
      </c>
      <c r="BU30" s="694">
        <f t="shared" si="48"/>
        <v>186.21158192090394</v>
      </c>
      <c r="BV30" s="695"/>
      <c r="BW30" s="694" t="e">
        <f t="shared" si="32"/>
        <v>#DIV/0!</v>
      </c>
      <c r="BX30" s="694">
        <f t="shared" si="35"/>
        <v>38186.867499999993</v>
      </c>
      <c r="BY30" s="694">
        <f t="shared" si="49"/>
        <v>215.74501412429373</v>
      </c>
      <c r="BZ30" s="696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3"/>
        <v>0</v>
      </c>
      <c r="D31" s="432"/>
      <c r="E31" s="432">
        <f t="shared" si="54"/>
        <v>0</v>
      </c>
      <c r="F31" s="432"/>
      <c r="G31" s="432">
        <f t="shared" si="55"/>
        <v>0</v>
      </c>
      <c r="H31" s="433"/>
      <c r="I31" s="771">
        <v>23057156</v>
      </c>
      <c r="J31" s="638">
        <f t="shared" si="51"/>
        <v>4762</v>
      </c>
      <c r="K31" s="638">
        <f t="shared" si="0"/>
        <v>3509</v>
      </c>
      <c r="L31" s="771">
        <v>330385</v>
      </c>
      <c r="M31" s="638">
        <f t="shared" si="1"/>
        <v>1980</v>
      </c>
      <c r="N31" s="771">
        <v>312034</v>
      </c>
      <c r="O31" s="638">
        <f t="shared" si="2"/>
        <v>1529</v>
      </c>
      <c r="P31" s="771">
        <v>218737</v>
      </c>
      <c r="Q31" s="638">
        <f t="shared" si="46"/>
        <v>690</v>
      </c>
      <c r="R31" s="770">
        <v>160237</v>
      </c>
      <c r="S31" s="638">
        <f t="shared" si="50"/>
        <v>114</v>
      </c>
      <c r="T31" s="770">
        <v>292478</v>
      </c>
      <c r="U31" s="638">
        <f t="shared" si="52"/>
        <v>221</v>
      </c>
      <c r="V31" s="770">
        <v>206567</v>
      </c>
      <c r="W31" s="638">
        <f t="shared" si="6"/>
        <v>3415.8500000000004</v>
      </c>
      <c r="X31" s="771">
        <v>829206</v>
      </c>
      <c r="Y31" s="638">
        <f t="shared" si="7"/>
        <v>4033.8300000000004</v>
      </c>
      <c r="Z31" s="770">
        <v>840169</v>
      </c>
      <c r="AA31" s="638">
        <f t="shared" si="8"/>
        <v>0</v>
      </c>
      <c r="AB31" s="770">
        <v>437408</v>
      </c>
      <c r="AC31" s="638">
        <f t="shared" si="34"/>
        <v>0</v>
      </c>
      <c r="AD31" s="770">
        <v>534986</v>
      </c>
      <c r="AE31" s="638">
        <f t="shared" si="23"/>
        <v>1640.88</v>
      </c>
      <c r="AF31" s="770">
        <v>829561</v>
      </c>
      <c r="AG31" s="638">
        <f t="shared" si="42"/>
        <v>9.5400000000000009</v>
      </c>
      <c r="AH31" s="771">
        <v>829293</v>
      </c>
      <c r="AI31" s="638">
        <f t="shared" si="10"/>
        <v>1088.6200000000001</v>
      </c>
      <c r="AJ31" s="771">
        <v>913051</v>
      </c>
      <c r="AK31" s="638">
        <f t="shared" si="45"/>
        <v>4107.5</v>
      </c>
      <c r="AL31" s="770">
        <v>445765</v>
      </c>
      <c r="AM31" s="638">
        <f t="shared" si="12"/>
        <v>162.71</v>
      </c>
      <c r="AN31" s="638">
        <f t="shared" si="24"/>
        <v>14458.930000000002</v>
      </c>
      <c r="AO31" s="770">
        <v>7470548</v>
      </c>
      <c r="AP31" s="638">
        <f t="shared" si="25"/>
        <v>212.28749999999999</v>
      </c>
      <c r="AQ31" s="770">
        <v>630411</v>
      </c>
      <c r="AR31" s="638">
        <f t="shared" si="13"/>
        <v>173</v>
      </c>
      <c r="AS31" s="770">
        <v>942161</v>
      </c>
      <c r="AT31" s="638">
        <f t="shared" si="26"/>
        <v>187</v>
      </c>
      <c r="AU31" s="770">
        <v>803490</v>
      </c>
      <c r="AV31" s="638">
        <f t="shared" si="14"/>
        <v>61</v>
      </c>
      <c r="AW31" s="770">
        <v>2493234</v>
      </c>
      <c r="AX31" s="638">
        <f t="shared" si="15"/>
        <v>945</v>
      </c>
      <c r="AY31" s="771">
        <v>220722</v>
      </c>
      <c r="AZ31" s="638">
        <f t="shared" si="47"/>
        <v>42</v>
      </c>
      <c r="BA31" s="770">
        <v>18533970</v>
      </c>
      <c r="BB31" s="638">
        <f t="shared" si="17"/>
        <v>5286</v>
      </c>
      <c r="BC31" s="770">
        <v>529469</v>
      </c>
      <c r="BD31" s="638">
        <f t="shared" si="17"/>
        <v>225</v>
      </c>
      <c r="BE31" s="770">
        <v>18320</v>
      </c>
      <c r="BF31" s="638">
        <f t="shared" si="17"/>
        <v>51</v>
      </c>
      <c r="BG31" s="770">
        <v>23163600</v>
      </c>
      <c r="BH31" s="638">
        <f t="shared" si="27"/>
        <v>6723.1500000000005</v>
      </c>
      <c r="BI31" s="638">
        <f t="shared" si="28"/>
        <v>13905.4375</v>
      </c>
      <c r="BJ31" s="638">
        <f t="shared" si="29"/>
        <v>28364.3675</v>
      </c>
      <c r="BK31" s="771">
        <v>1397849</v>
      </c>
      <c r="BL31" s="638">
        <f t="shared" si="18"/>
        <v>297</v>
      </c>
      <c r="BM31" s="771">
        <v>3747536</v>
      </c>
      <c r="BN31" s="638">
        <f t="shared" si="19"/>
        <v>1866</v>
      </c>
      <c r="BO31" s="709">
        <v>394992</v>
      </c>
      <c r="BP31" s="638">
        <f t="shared" si="20"/>
        <v>127</v>
      </c>
      <c r="BQ31" s="770">
        <v>493776</v>
      </c>
      <c r="BR31" s="638">
        <f t="shared" si="41"/>
        <v>205</v>
      </c>
      <c r="BS31" s="694">
        <f t="shared" si="30"/>
        <v>33816.3675</v>
      </c>
      <c r="BT31" s="695">
        <v>180</v>
      </c>
      <c r="BU31" s="694">
        <f t="shared" si="48"/>
        <v>187.86870833333333</v>
      </c>
      <c r="BV31" s="695"/>
      <c r="BW31" s="694" t="e">
        <f t="shared" si="32"/>
        <v>#DIV/0!</v>
      </c>
      <c r="BX31" s="694">
        <f t="shared" si="35"/>
        <v>39199.322625000001</v>
      </c>
      <c r="BY31" s="694">
        <f t="shared" si="49"/>
        <v>217.77401458333333</v>
      </c>
      <c r="BZ31" s="696" t="e">
        <f t="shared" si="36"/>
        <v>#DIV/0!</v>
      </c>
    </row>
    <row r="32" spans="1:78" ht="33.75" customHeight="1">
      <c r="A32" s="111">
        <v>27</v>
      </c>
      <c r="B32" s="110"/>
      <c r="C32" s="1">
        <f t="shared" si="53"/>
        <v>0</v>
      </c>
      <c r="D32" s="1"/>
      <c r="E32" s="1">
        <f t="shared" si="54"/>
        <v>0</v>
      </c>
      <c r="F32" s="1"/>
      <c r="G32" s="1">
        <f t="shared" si="55"/>
        <v>0</v>
      </c>
      <c r="H32" s="30">
        <v>69</v>
      </c>
      <c r="I32" s="771">
        <v>23061071</v>
      </c>
      <c r="J32" s="638">
        <f t="shared" si="22"/>
        <v>3915</v>
      </c>
      <c r="K32" s="638">
        <f t="shared" si="0"/>
        <v>3521</v>
      </c>
      <c r="L32" s="771">
        <v>332412</v>
      </c>
      <c r="M32" s="638">
        <f t="shared" si="1"/>
        <v>2027</v>
      </c>
      <c r="N32" s="771">
        <v>313528</v>
      </c>
      <c r="O32" s="638">
        <f t="shared" si="2"/>
        <v>1494</v>
      </c>
      <c r="P32" s="771">
        <v>218758</v>
      </c>
      <c r="Q32" s="638">
        <f t="shared" si="46"/>
        <v>630</v>
      </c>
      <c r="R32" s="770">
        <v>160365</v>
      </c>
      <c r="S32" s="638">
        <f t="shared" si="50"/>
        <v>128</v>
      </c>
      <c r="T32" s="770">
        <v>292744</v>
      </c>
      <c r="U32" s="638">
        <f t="shared" si="52"/>
        <v>266</v>
      </c>
      <c r="V32" s="770">
        <v>212480</v>
      </c>
      <c r="W32" s="638">
        <f t="shared" si="6"/>
        <v>3133.8900000000003</v>
      </c>
      <c r="X32" s="771">
        <v>836687</v>
      </c>
      <c r="Y32" s="638">
        <f t="shared" si="7"/>
        <v>3964.9300000000003</v>
      </c>
      <c r="Z32" s="771">
        <v>840169</v>
      </c>
      <c r="AA32" s="638">
        <f t="shared" si="8"/>
        <v>0</v>
      </c>
      <c r="AB32" s="770">
        <v>437408</v>
      </c>
      <c r="AC32" s="638">
        <f t="shared" si="34"/>
        <v>0</v>
      </c>
      <c r="AD32" s="770">
        <v>538156</v>
      </c>
      <c r="AE32" s="638">
        <f t="shared" si="23"/>
        <v>1680.1000000000001</v>
      </c>
      <c r="AF32" s="770">
        <v>829582</v>
      </c>
      <c r="AG32" s="638">
        <f t="shared" si="42"/>
        <v>11.13</v>
      </c>
      <c r="AH32" s="770">
        <v>831240</v>
      </c>
      <c r="AI32" s="638">
        <f t="shared" si="10"/>
        <v>1031.9100000000001</v>
      </c>
      <c r="AJ32" s="770">
        <v>920743</v>
      </c>
      <c r="AK32" s="638">
        <f t="shared" si="45"/>
        <v>4076.76</v>
      </c>
      <c r="AL32" s="770">
        <v>446075</v>
      </c>
      <c r="AM32" s="638">
        <f t="shared" si="12"/>
        <v>164.3</v>
      </c>
      <c r="AN32" s="638">
        <f t="shared" si="24"/>
        <v>14063.019999999999</v>
      </c>
      <c r="AO32" s="770">
        <v>7472614</v>
      </c>
      <c r="AP32" s="638">
        <f t="shared" si="25"/>
        <v>232.42500000000001</v>
      </c>
      <c r="AQ32" s="771">
        <v>630573</v>
      </c>
      <c r="AR32" s="638">
        <f t="shared" si="13"/>
        <v>162</v>
      </c>
      <c r="AS32" s="770">
        <v>942317</v>
      </c>
      <c r="AT32" s="638">
        <f t="shared" si="26"/>
        <v>156</v>
      </c>
      <c r="AU32" s="770">
        <v>803517</v>
      </c>
      <c r="AV32" s="638">
        <f t="shared" si="14"/>
        <v>27</v>
      </c>
      <c r="AW32" s="770">
        <v>2494149</v>
      </c>
      <c r="AX32" s="638">
        <f t="shared" si="15"/>
        <v>915</v>
      </c>
      <c r="AY32" s="771">
        <v>220774</v>
      </c>
      <c r="AZ32" s="638">
        <f t="shared" si="47"/>
        <v>52</v>
      </c>
      <c r="BA32" s="770">
        <v>18538431</v>
      </c>
      <c r="BB32" s="638">
        <f t="shared" si="17"/>
        <v>4461</v>
      </c>
      <c r="BC32" s="770">
        <v>529664</v>
      </c>
      <c r="BD32" s="638">
        <f t="shared" si="17"/>
        <v>195</v>
      </c>
      <c r="BE32" s="770">
        <v>18376</v>
      </c>
      <c r="BF32" s="638">
        <f t="shared" si="17"/>
        <v>56</v>
      </c>
      <c r="BG32" s="771">
        <v>23170418</v>
      </c>
      <c r="BH32" s="638">
        <f t="shared" si="27"/>
        <v>5715.95</v>
      </c>
      <c r="BI32" s="638">
        <f t="shared" si="28"/>
        <v>11972.375</v>
      </c>
      <c r="BJ32" s="638">
        <f t="shared" si="29"/>
        <v>26035.394999999997</v>
      </c>
      <c r="BK32" s="771">
        <v>1398118</v>
      </c>
      <c r="BL32" s="638">
        <f t="shared" si="18"/>
        <v>269</v>
      </c>
      <c r="BM32" s="771">
        <v>3749535</v>
      </c>
      <c r="BN32" s="638">
        <f t="shared" si="19"/>
        <v>1999</v>
      </c>
      <c r="BO32" s="709">
        <v>395102</v>
      </c>
      <c r="BP32" s="638">
        <f t="shared" si="20"/>
        <v>110</v>
      </c>
      <c r="BQ32" s="770">
        <v>493929</v>
      </c>
      <c r="BR32" s="638">
        <f t="shared" si="41"/>
        <v>153</v>
      </c>
      <c r="BS32" s="694">
        <f t="shared" si="30"/>
        <v>30580.394999999997</v>
      </c>
      <c r="BT32" s="695">
        <v>210</v>
      </c>
      <c r="BU32" s="694">
        <f t="shared" si="48"/>
        <v>145.62092857142855</v>
      </c>
      <c r="BV32" s="697"/>
      <c r="BW32" s="694" t="e">
        <f t="shared" si="32"/>
        <v>#DIV/0!</v>
      </c>
      <c r="BX32" s="694">
        <f t="shared" si="35"/>
        <v>35450.954249999995</v>
      </c>
      <c r="BY32" s="694">
        <f t="shared" si="49"/>
        <v>168.81406785714285</v>
      </c>
      <c r="BZ32" s="696" t="e">
        <f t="shared" si="36"/>
        <v>#DIV/0!</v>
      </c>
    </row>
    <row r="33" spans="1:78" ht="33.75" customHeight="1">
      <c r="A33" s="111">
        <v>28</v>
      </c>
      <c r="B33" s="110"/>
      <c r="C33" s="1">
        <f t="shared" si="53"/>
        <v>0</v>
      </c>
      <c r="D33" s="1"/>
      <c r="E33" s="1">
        <f t="shared" si="54"/>
        <v>0</v>
      </c>
      <c r="F33" s="1"/>
      <c r="G33" s="1">
        <f t="shared" si="55"/>
        <v>0</v>
      </c>
      <c r="H33" s="30"/>
      <c r="I33" s="771">
        <v>23063632</v>
      </c>
      <c r="J33" s="638">
        <f t="shared" si="22"/>
        <v>2561</v>
      </c>
      <c r="K33" s="638">
        <f t="shared" si="0"/>
        <v>3561</v>
      </c>
      <c r="L33" s="771">
        <v>334556</v>
      </c>
      <c r="M33" s="638">
        <f t="shared" si="1"/>
        <v>2144</v>
      </c>
      <c r="N33" s="771">
        <v>314945</v>
      </c>
      <c r="O33" s="638">
        <f t="shared" si="2"/>
        <v>1417</v>
      </c>
      <c r="P33" s="771">
        <v>218777</v>
      </c>
      <c r="Q33" s="638">
        <f t="shared" si="46"/>
        <v>570</v>
      </c>
      <c r="R33" s="770">
        <v>160525</v>
      </c>
      <c r="S33" s="638">
        <f t="shared" si="50"/>
        <v>160</v>
      </c>
      <c r="T33" s="770">
        <v>293006</v>
      </c>
      <c r="U33" s="638">
        <f t="shared" si="52"/>
        <v>262</v>
      </c>
      <c r="V33" s="770">
        <v>218549</v>
      </c>
      <c r="W33" s="638">
        <f t="shared" si="6"/>
        <v>3216.57</v>
      </c>
      <c r="X33" s="771">
        <v>844356</v>
      </c>
      <c r="Y33" s="638">
        <f t="shared" si="7"/>
        <v>4064.57</v>
      </c>
      <c r="Z33" s="771">
        <v>840169</v>
      </c>
      <c r="AA33" s="638">
        <f t="shared" si="8"/>
        <v>0</v>
      </c>
      <c r="AB33" s="770">
        <v>437408</v>
      </c>
      <c r="AC33" s="638">
        <f t="shared" si="34"/>
        <v>0</v>
      </c>
      <c r="AD33" s="770">
        <v>541219</v>
      </c>
      <c r="AE33" s="638">
        <f t="shared" si="23"/>
        <v>1623.39</v>
      </c>
      <c r="AF33" s="770">
        <v>829600</v>
      </c>
      <c r="AG33" s="638">
        <f t="shared" si="42"/>
        <v>9.5400000000000009</v>
      </c>
      <c r="AH33" s="770">
        <v>833078</v>
      </c>
      <c r="AI33" s="638">
        <f t="shared" si="10"/>
        <v>974.1400000000001</v>
      </c>
      <c r="AJ33" s="771">
        <v>928610</v>
      </c>
      <c r="AK33" s="638">
        <f t="shared" si="45"/>
        <v>4169.51</v>
      </c>
      <c r="AL33" s="770">
        <v>446393</v>
      </c>
      <c r="AM33" s="638">
        <f t="shared" si="12"/>
        <v>168.54000000000002</v>
      </c>
      <c r="AN33" s="638">
        <f t="shared" si="24"/>
        <v>14226.260000000002</v>
      </c>
      <c r="AO33" s="770">
        <v>7474891</v>
      </c>
      <c r="AP33" s="638">
        <f t="shared" si="25"/>
        <v>256.16250000000002</v>
      </c>
      <c r="AQ33" s="770">
        <v>630744</v>
      </c>
      <c r="AR33" s="638">
        <f t="shared" si="13"/>
        <v>171</v>
      </c>
      <c r="AS33" s="770">
        <v>942519</v>
      </c>
      <c r="AT33" s="638">
        <f t="shared" si="26"/>
        <v>202</v>
      </c>
      <c r="AU33" s="770">
        <v>803555</v>
      </c>
      <c r="AV33" s="638">
        <f t="shared" si="14"/>
        <v>38</v>
      </c>
      <c r="AW33" s="771">
        <v>2495097</v>
      </c>
      <c r="AX33" s="638">
        <f t="shared" si="15"/>
        <v>948</v>
      </c>
      <c r="AY33" s="771">
        <v>220850</v>
      </c>
      <c r="AZ33" s="638">
        <f t="shared" si="47"/>
        <v>76</v>
      </c>
      <c r="BA33" s="770">
        <v>18544320</v>
      </c>
      <c r="BB33" s="638">
        <f t="shared" si="17"/>
        <v>5889</v>
      </c>
      <c r="BC33" s="770">
        <v>529925</v>
      </c>
      <c r="BD33" s="638">
        <f t="shared" si="17"/>
        <v>261</v>
      </c>
      <c r="BE33" s="770">
        <v>18428</v>
      </c>
      <c r="BF33" s="638">
        <f t="shared" si="17"/>
        <v>52</v>
      </c>
      <c r="BG33" s="771">
        <v>23179356</v>
      </c>
      <c r="BH33" s="638">
        <f t="shared" si="27"/>
        <v>7864.7000000000007</v>
      </c>
      <c r="BI33" s="638">
        <f t="shared" si="28"/>
        <v>15757.862500000001</v>
      </c>
      <c r="BJ33" s="638">
        <f t="shared" si="29"/>
        <v>29984.122500000005</v>
      </c>
      <c r="BK33" s="771">
        <v>1398463</v>
      </c>
      <c r="BL33" s="638">
        <f t="shared" si="18"/>
        <v>345</v>
      </c>
      <c r="BM33" s="770">
        <v>3751242</v>
      </c>
      <c r="BN33" s="638">
        <f t="shared" si="19"/>
        <v>1707</v>
      </c>
      <c r="BO33" s="770">
        <v>395249</v>
      </c>
      <c r="BP33" s="638">
        <f t="shared" si="20"/>
        <v>147</v>
      </c>
      <c r="BQ33" s="770">
        <v>494168</v>
      </c>
      <c r="BR33" s="638">
        <f t="shared" si="41"/>
        <v>239</v>
      </c>
      <c r="BS33" s="694">
        <f t="shared" si="30"/>
        <v>33115.122500000005</v>
      </c>
      <c r="BT33" s="695">
        <v>178</v>
      </c>
      <c r="BU33" s="694">
        <f t="shared" si="48"/>
        <v>186.04001404494386</v>
      </c>
      <c r="BV33" s="695"/>
      <c r="BW33" s="694" t="e">
        <f t="shared" si="32"/>
        <v>#DIV/0!</v>
      </c>
      <c r="BX33" s="694">
        <f t="shared" si="35"/>
        <v>38338.890875000005</v>
      </c>
      <c r="BY33" s="694">
        <f t="shared" si="49"/>
        <v>215.38702738764047</v>
      </c>
      <c r="BZ33" s="696" t="e">
        <f t="shared" si="36"/>
        <v>#DIV/0!</v>
      </c>
    </row>
    <row r="34" spans="1:78" ht="33.75" customHeight="1">
      <c r="A34" s="111">
        <v>29</v>
      </c>
      <c r="B34" s="110"/>
      <c r="C34" s="1">
        <f t="shared" si="53"/>
        <v>0</v>
      </c>
      <c r="D34" s="1"/>
      <c r="E34" s="1">
        <f t="shared" si="54"/>
        <v>0</v>
      </c>
      <c r="F34" s="1"/>
      <c r="G34" s="1">
        <f t="shared" si="55"/>
        <v>0</v>
      </c>
      <c r="H34" s="30"/>
      <c r="I34" s="771">
        <v>23066795</v>
      </c>
      <c r="J34" s="638">
        <f t="shared" si="22"/>
        <v>3163</v>
      </c>
      <c r="K34" s="638">
        <f t="shared" si="0"/>
        <v>2988</v>
      </c>
      <c r="L34" s="770">
        <v>335895</v>
      </c>
      <c r="M34" s="638">
        <f t="shared" si="1"/>
        <v>1339</v>
      </c>
      <c r="N34" s="770">
        <v>316594</v>
      </c>
      <c r="O34" s="638">
        <f t="shared" si="2"/>
        <v>1649</v>
      </c>
      <c r="P34" s="771">
        <v>218800</v>
      </c>
      <c r="Q34" s="638">
        <f t="shared" si="46"/>
        <v>690</v>
      </c>
      <c r="R34" s="770">
        <v>160652</v>
      </c>
      <c r="S34" s="638">
        <f t="shared" si="50"/>
        <v>127</v>
      </c>
      <c r="T34" s="770">
        <v>293209</v>
      </c>
      <c r="U34" s="638">
        <f t="shared" si="52"/>
        <v>203</v>
      </c>
      <c r="V34" s="770">
        <v>224904</v>
      </c>
      <c r="W34" s="638">
        <f t="shared" si="6"/>
        <v>3368.15</v>
      </c>
      <c r="X34" s="771">
        <v>851920</v>
      </c>
      <c r="Y34" s="638">
        <f t="shared" si="7"/>
        <v>4008.92</v>
      </c>
      <c r="Z34" s="771">
        <v>840169</v>
      </c>
      <c r="AA34" s="638">
        <f t="shared" si="8"/>
        <v>0</v>
      </c>
      <c r="AB34" s="770">
        <v>437408</v>
      </c>
      <c r="AC34" s="638">
        <f t="shared" si="34"/>
        <v>0</v>
      </c>
      <c r="AD34" s="770">
        <v>544753</v>
      </c>
      <c r="AE34" s="638">
        <f t="shared" si="23"/>
        <v>1873.02</v>
      </c>
      <c r="AF34" s="770">
        <v>829620</v>
      </c>
      <c r="AG34" s="638">
        <f t="shared" si="42"/>
        <v>10.600000000000001</v>
      </c>
      <c r="AH34" s="770">
        <v>834348</v>
      </c>
      <c r="AI34" s="638">
        <f t="shared" si="10"/>
        <v>673.1</v>
      </c>
      <c r="AJ34" s="770">
        <v>935085</v>
      </c>
      <c r="AK34" s="638">
        <f t="shared" si="45"/>
        <v>3431.75</v>
      </c>
      <c r="AL34" s="770">
        <v>446601</v>
      </c>
      <c r="AM34" s="638">
        <f t="shared" si="12"/>
        <v>110.24000000000001</v>
      </c>
      <c r="AN34" s="638">
        <f t="shared" si="24"/>
        <v>13475.78</v>
      </c>
      <c r="AO34" s="709">
        <v>7476730</v>
      </c>
      <c r="AP34" s="638">
        <f t="shared" si="25"/>
        <v>206.88750000000002</v>
      </c>
      <c r="AQ34" s="770">
        <v>630909</v>
      </c>
      <c r="AR34" s="638">
        <f t="shared" si="13"/>
        <v>165</v>
      </c>
      <c r="AS34" s="770">
        <v>942678</v>
      </c>
      <c r="AT34" s="638">
        <f t="shared" si="26"/>
        <v>159</v>
      </c>
      <c r="AU34" s="770">
        <v>803642</v>
      </c>
      <c r="AV34" s="638">
        <f t="shared" si="14"/>
        <v>87</v>
      </c>
      <c r="AW34" s="770">
        <v>2496077</v>
      </c>
      <c r="AX34" s="638">
        <f t="shared" si="15"/>
        <v>980</v>
      </c>
      <c r="AY34" s="770">
        <v>220916</v>
      </c>
      <c r="AZ34" s="638">
        <f t="shared" si="47"/>
        <v>66</v>
      </c>
      <c r="BA34" s="770">
        <v>18548590</v>
      </c>
      <c r="BB34" s="638">
        <f t="shared" si="17"/>
        <v>4270</v>
      </c>
      <c r="BC34" s="770">
        <v>530118</v>
      </c>
      <c r="BD34" s="638">
        <f t="shared" si="17"/>
        <v>193</v>
      </c>
      <c r="BE34" s="770">
        <v>18478</v>
      </c>
      <c r="BF34" s="638">
        <f t="shared" si="17"/>
        <v>50</v>
      </c>
      <c r="BG34" s="771">
        <v>23185401</v>
      </c>
      <c r="BH34" s="638">
        <f t="shared" si="27"/>
        <v>5209.8999999999996</v>
      </c>
      <c r="BI34" s="638">
        <f t="shared" si="28"/>
        <v>11386.787499999999</v>
      </c>
      <c r="BJ34" s="638">
        <f t="shared" si="29"/>
        <v>24862.567499999997</v>
      </c>
      <c r="BK34" s="771">
        <v>1398673</v>
      </c>
      <c r="BL34" s="638">
        <f t="shared" si="18"/>
        <v>210</v>
      </c>
      <c r="BM34" s="770">
        <v>3752666</v>
      </c>
      <c r="BN34" s="638">
        <f t="shared" si="19"/>
        <v>1424</v>
      </c>
      <c r="BO34" s="770">
        <v>395343</v>
      </c>
      <c r="BP34" s="638">
        <f t="shared" si="20"/>
        <v>94</v>
      </c>
      <c r="BQ34" s="770">
        <v>494320</v>
      </c>
      <c r="BR34" s="638">
        <f t="shared" si="41"/>
        <v>152</v>
      </c>
      <c r="BS34" s="694">
        <f t="shared" si="30"/>
        <v>28715.567499999997</v>
      </c>
      <c r="BT34" s="695">
        <v>177</v>
      </c>
      <c r="BU34" s="694">
        <f t="shared" si="48"/>
        <v>162.23484463276836</v>
      </c>
      <c r="BV34" s="695"/>
      <c r="BW34" s="694" t="e">
        <f t="shared" si="32"/>
        <v>#DIV/0!</v>
      </c>
      <c r="BX34" s="694">
        <f t="shared" si="35"/>
        <v>33333.402624999995</v>
      </c>
      <c r="BY34" s="694">
        <f t="shared" si="49"/>
        <v>188.32430861581918</v>
      </c>
      <c r="BZ34" s="696" t="e">
        <f t="shared" si="36"/>
        <v>#DIV/0!</v>
      </c>
    </row>
    <row r="35" spans="1:78" ht="33.75" customHeight="1">
      <c r="A35" s="111">
        <v>30</v>
      </c>
      <c r="B35" s="110"/>
      <c r="C35" s="1">
        <f t="shared" si="53"/>
        <v>0</v>
      </c>
      <c r="D35" s="1"/>
      <c r="E35" s="1">
        <f t="shared" si="54"/>
        <v>0</v>
      </c>
      <c r="F35" s="1"/>
      <c r="G35" s="1">
        <f t="shared" si="55"/>
        <v>0</v>
      </c>
      <c r="H35" s="30"/>
      <c r="I35" s="771">
        <v>23071014</v>
      </c>
      <c r="J35" s="638">
        <f t="shared" si="22"/>
        <v>4219</v>
      </c>
      <c r="K35" s="638">
        <f t="shared" si="0"/>
        <v>4172</v>
      </c>
      <c r="L35" s="771">
        <v>338581</v>
      </c>
      <c r="M35" s="638">
        <f t="shared" si="1"/>
        <v>2686</v>
      </c>
      <c r="N35" s="771">
        <v>318080</v>
      </c>
      <c r="O35" s="638">
        <f t="shared" si="2"/>
        <v>1486</v>
      </c>
      <c r="P35" s="771">
        <v>218818</v>
      </c>
      <c r="Q35" s="638">
        <f t="shared" si="46"/>
        <v>540</v>
      </c>
      <c r="R35" s="770">
        <v>160783</v>
      </c>
      <c r="S35" s="638">
        <f t="shared" si="50"/>
        <v>131</v>
      </c>
      <c r="T35" s="770">
        <v>293517</v>
      </c>
      <c r="U35" s="638">
        <f t="shared" si="52"/>
        <v>308</v>
      </c>
      <c r="V35" s="770">
        <v>232046</v>
      </c>
      <c r="W35" s="638">
        <f t="shared" si="6"/>
        <v>3785.26</v>
      </c>
      <c r="X35" s="771">
        <v>859487</v>
      </c>
      <c r="Y35" s="638">
        <f t="shared" si="7"/>
        <v>4010.51</v>
      </c>
      <c r="Z35" s="771">
        <v>840169</v>
      </c>
      <c r="AA35" s="638">
        <f t="shared" si="8"/>
        <v>0</v>
      </c>
      <c r="AB35" s="770">
        <v>437408</v>
      </c>
      <c r="AC35" s="638">
        <f t="shared" si="34"/>
        <v>0</v>
      </c>
      <c r="AD35" s="770">
        <v>547887</v>
      </c>
      <c r="AE35" s="638">
        <f t="shared" si="23"/>
        <v>1661.02</v>
      </c>
      <c r="AF35" s="770">
        <v>829638</v>
      </c>
      <c r="AG35" s="638">
        <f t="shared" si="42"/>
        <v>9.5400000000000009</v>
      </c>
      <c r="AH35" s="771">
        <v>837006</v>
      </c>
      <c r="AI35" s="638">
        <f t="shared" si="10"/>
        <v>1408.74</v>
      </c>
      <c r="AJ35" s="771">
        <v>944069</v>
      </c>
      <c r="AK35" s="638">
        <f t="shared" si="45"/>
        <v>4761.5200000000004</v>
      </c>
      <c r="AL35" s="770">
        <v>447005</v>
      </c>
      <c r="AM35" s="638">
        <f t="shared" si="12"/>
        <v>214.12</v>
      </c>
      <c r="AN35" s="638">
        <f t="shared" si="24"/>
        <v>15850.710000000003</v>
      </c>
      <c r="AO35" s="770">
        <v>7478827</v>
      </c>
      <c r="AP35" s="638">
        <f t="shared" si="25"/>
        <v>235.91249999999999</v>
      </c>
      <c r="AQ35" s="771">
        <v>631073</v>
      </c>
      <c r="AR35" s="638">
        <f t="shared" si="13"/>
        <v>164</v>
      </c>
      <c r="AS35" s="770">
        <v>942858</v>
      </c>
      <c r="AT35" s="638">
        <f>IF(AS35&gt;=AS34,AS35-AS34,0)</f>
        <v>180</v>
      </c>
      <c r="AU35" s="770">
        <v>803687</v>
      </c>
      <c r="AV35" s="638">
        <f t="shared" si="14"/>
        <v>45</v>
      </c>
      <c r="AW35" s="770">
        <v>2497076</v>
      </c>
      <c r="AX35" s="638">
        <f t="shared" si="15"/>
        <v>999</v>
      </c>
      <c r="AY35" s="770">
        <v>220984</v>
      </c>
      <c r="AZ35" s="638">
        <f t="shared" si="47"/>
        <v>68</v>
      </c>
      <c r="BA35" s="770">
        <v>18553962</v>
      </c>
      <c r="BB35" s="638">
        <f t="shared" si="17"/>
        <v>5372</v>
      </c>
      <c r="BC35" s="770">
        <v>530366</v>
      </c>
      <c r="BD35" s="638">
        <f t="shared" si="17"/>
        <v>248</v>
      </c>
      <c r="BE35" s="770">
        <v>18535</v>
      </c>
      <c r="BF35" s="638">
        <f t="shared" si="17"/>
        <v>57</v>
      </c>
      <c r="BG35" s="771">
        <v>23192510</v>
      </c>
      <c r="BH35" s="638">
        <f t="shared" si="27"/>
        <v>6138.65</v>
      </c>
      <c r="BI35" s="638">
        <f t="shared" si="28"/>
        <v>13507.5625</v>
      </c>
      <c r="BJ35" s="638">
        <f t="shared" si="29"/>
        <v>29358.272500000003</v>
      </c>
      <c r="BK35" s="771">
        <v>1398921</v>
      </c>
      <c r="BL35" s="638">
        <f t="shared" si="18"/>
        <v>248</v>
      </c>
      <c r="BM35" s="770">
        <v>3754319</v>
      </c>
      <c r="BN35" s="638">
        <f t="shared" si="19"/>
        <v>1653</v>
      </c>
      <c r="BO35" s="770">
        <v>395453</v>
      </c>
      <c r="BP35" s="638">
        <f t="shared" si="20"/>
        <v>110</v>
      </c>
      <c r="BQ35" s="770">
        <v>494497</v>
      </c>
      <c r="BR35" s="638">
        <f t="shared" si="41"/>
        <v>177</v>
      </c>
      <c r="BS35" s="694">
        <f t="shared" si="30"/>
        <v>34117.272500000006</v>
      </c>
      <c r="BT35" s="695">
        <v>172</v>
      </c>
      <c r="BU35" s="694">
        <f t="shared" si="48"/>
        <v>198.35623546511633</v>
      </c>
      <c r="BV35" s="695"/>
      <c r="BW35" s="694" t="e">
        <f t="shared" si="32"/>
        <v>#DIV/0!</v>
      </c>
      <c r="BX35" s="694">
        <f t="shared" si="35"/>
        <v>39477.863375000001</v>
      </c>
      <c r="BY35" s="694">
        <f t="shared" si="49"/>
        <v>229.52246148255816</v>
      </c>
      <c r="BZ35" s="696" t="e">
        <f t="shared" si="36"/>
        <v>#DIV/0!</v>
      </c>
    </row>
    <row r="36" spans="1:78" ht="33.75" customHeight="1">
      <c r="A36" s="111">
        <v>31</v>
      </c>
      <c r="B36" s="720"/>
      <c r="C36" s="721"/>
      <c r="D36" s="721"/>
      <c r="E36" s="721"/>
      <c r="F36" s="721"/>
      <c r="G36" s="721"/>
      <c r="H36" s="722"/>
      <c r="I36" s="771">
        <v>23076534</v>
      </c>
      <c r="J36" s="638">
        <f t="shared" si="22"/>
        <v>5520</v>
      </c>
      <c r="K36" s="638">
        <f t="shared" si="0"/>
        <v>3012</v>
      </c>
      <c r="L36" s="771">
        <v>340252</v>
      </c>
      <c r="M36" s="638">
        <f t="shared" si="1"/>
        <v>1671</v>
      </c>
      <c r="N36" s="771">
        <v>319421</v>
      </c>
      <c r="O36" s="638">
        <f t="shared" si="2"/>
        <v>1341</v>
      </c>
      <c r="P36" s="771">
        <v>218839</v>
      </c>
      <c r="Q36" s="638">
        <f t="shared" si="46"/>
        <v>630</v>
      </c>
      <c r="R36" s="770">
        <v>160931</v>
      </c>
      <c r="S36" s="638">
        <f t="shared" si="50"/>
        <v>148</v>
      </c>
      <c r="T36" s="770">
        <v>293749</v>
      </c>
      <c r="U36" s="638">
        <f t="shared" si="52"/>
        <v>232</v>
      </c>
      <c r="V36" s="770">
        <v>237578</v>
      </c>
      <c r="W36" s="638">
        <f t="shared" si="6"/>
        <v>2931.96</v>
      </c>
      <c r="X36" s="771">
        <v>866980</v>
      </c>
      <c r="Y36" s="638">
        <f t="shared" si="7"/>
        <v>3971.2900000000004</v>
      </c>
      <c r="Z36" s="771">
        <v>840169</v>
      </c>
      <c r="AA36" s="638">
        <f t="shared" si="8"/>
        <v>0</v>
      </c>
      <c r="AB36" s="770">
        <v>437408</v>
      </c>
      <c r="AC36" s="638">
        <f t="shared" si="34"/>
        <v>0</v>
      </c>
      <c r="AD36" s="770">
        <v>551352</v>
      </c>
      <c r="AE36" s="638">
        <f t="shared" si="23"/>
        <v>1836.45</v>
      </c>
      <c r="AF36" s="770">
        <v>829660</v>
      </c>
      <c r="AG36" s="638">
        <f t="shared" si="42"/>
        <v>11.66</v>
      </c>
      <c r="AH36" s="770">
        <v>838940</v>
      </c>
      <c r="AI36" s="638">
        <f t="shared" si="10"/>
        <v>1025.02</v>
      </c>
      <c r="AJ36" s="770">
        <v>951422</v>
      </c>
      <c r="AK36" s="638">
        <f t="shared" si="45"/>
        <v>3897.09</v>
      </c>
      <c r="AL36" s="770">
        <v>447293</v>
      </c>
      <c r="AM36" s="638">
        <f t="shared" si="12"/>
        <v>152.64000000000001</v>
      </c>
      <c r="AN36" s="638">
        <f t="shared" si="24"/>
        <v>13826.11</v>
      </c>
      <c r="AO36" s="709">
        <v>7480266</v>
      </c>
      <c r="AP36" s="638">
        <f t="shared" si="25"/>
        <v>161.88750000000002</v>
      </c>
      <c r="AQ36" s="770">
        <v>631312</v>
      </c>
      <c r="AR36" s="638">
        <f t="shared" si="13"/>
        <v>239</v>
      </c>
      <c r="AS36" s="771">
        <v>943050</v>
      </c>
      <c r="AT36" s="638">
        <f>IF(AS36&gt;=AS35,AS36-AS35,0)</f>
        <v>192</v>
      </c>
      <c r="AU36" s="770">
        <v>803739</v>
      </c>
      <c r="AV36" s="638">
        <f t="shared" si="14"/>
        <v>52</v>
      </c>
      <c r="AW36" s="770">
        <v>2498081</v>
      </c>
      <c r="AX36" s="638">
        <f t="shared" si="15"/>
        <v>1005</v>
      </c>
      <c r="AY36" s="771">
        <v>221018</v>
      </c>
      <c r="AZ36" s="638">
        <f t="shared" si="47"/>
        <v>34</v>
      </c>
      <c r="BA36" s="770">
        <v>18558495</v>
      </c>
      <c r="BB36" s="638">
        <f t="shared" si="17"/>
        <v>4533</v>
      </c>
      <c r="BC36" s="770">
        <v>530563</v>
      </c>
      <c r="BD36" s="638">
        <f t="shared" si="17"/>
        <v>197</v>
      </c>
      <c r="BE36" s="770">
        <v>18589</v>
      </c>
      <c r="BF36" s="638">
        <f t="shared" si="17"/>
        <v>54</v>
      </c>
      <c r="BG36" s="771">
        <v>23200390</v>
      </c>
      <c r="BH36" s="638">
        <f t="shared" si="27"/>
        <v>7114.3499999999995</v>
      </c>
      <c r="BI36" s="638">
        <f t="shared" si="28"/>
        <v>13582.237499999999</v>
      </c>
      <c r="BJ36" s="638">
        <f t="shared" si="29"/>
        <v>27408.3475</v>
      </c>
      <c r="BK36" s="771">
        <v>1399212</v>
      </c>
      <c r="BL36" s="638">
        <f t="shared" si="18"/>
        <v>291</v>
      </c>
      <c r="BM36" s="770">
        <v>3755632</v>
      </c>
      <c r="BN36" s="638">
        <f t="shared" si="19"/>
        <v>1313</v>
      </c>
      <c r="BO36" s="770">
        <v>395537</v>
      </c>
      <c r="BP36" s="638">
        <f t="shared" si="20"/>
        <v>84</v>
      </c>
      <c r="BQ36" s="770">
        <v>494634</v>
      </c>
      <c r="BR36" s="638">
        <f t="shared" si="41"/>
        <v>137</v>
      </c>
      <c r="BS36" s="694">
        <f t="shared" si="30"/>
        <v>33558.347500000003</v>
      </c>
      <c r="BT36" s="695">
        <v>170</v>
      </c>
      <c r="BU36" s="694">
        <f t="shared" si="48"/>
        <v>197.40204411764708</v>
      </c>
      <c r="BV36" s="723"/>
      <c r="BW36" s="694" t="e">
        <f t="shared" si="32"/>
        <v>#DIV/0!</v>
      </c>
      <c r="BX36" s="694">
        <f t="shared" si="35"/>
        <v>38875.599625000003</v>
      </c>
      <c r="BY36" s="694">
        <f t="shared" si="49"/>
        <v>228.67999779411767</v>
      </c>
      <c r="BZ36" s="696" t="e">
        <f t="shared" si="36"/>
        <v>#DIV/0!</v>
      </c>
    </row>
    <row r="37" spans="1:78" s="3" customFormat="1" ht="36.75" customHeight="1" thickBot="1">
      <c r="A37" s="541" t="s">
        <v>122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8"/>
      <c r="J37" s="714">
        <f>SUM(J6:J36)</f>
        <v>164192</v>
      </c>
      <c r="K37" s="714">
        <f>SUM(K6:K36)</f>
        <v>107827</v>
      </c>
      <c r="L37" s="698"/>
      <c r="M37" s="552">
        <f>SUM(M6:M36)</f>
        <v>63592</v>
      </c>
      <c r="N37" s="698"/>
      <c r="O37" s="552">
        <f>SUM(O6:O36)</f>
        <v>44235</v>
      </c>
      <c r="P37" s="698"/>
      <c r="Q37" s="552">
        <f>SUM(Q6:Q36)</f>
        <v>18750</v>
      </c>
      <c r="R37" s="718"/>
      <c r="S37" s="552">
        <f>SUM(S6:S36)</f>
        <v>4568</v>
      </c>
      <c r="T37" s="718"/>
      <c r="U37" s="552">
        <f>SUM(U6:U36)</f>
        <v>8858</v>
      </c>
      <c r="V37" s="698"/>
      <c r="W37" s="552">
        <f>SUM(W6:W36)</f>
        <v>86317.708000000013</v>
      </c>
      <c r="X37" s="770"/>
      <c r="Y37" s="552">
        <f>SUM(Y5:Y36)</f>
        <v>111588.32000000002</v>
      </c>
      <c r="Z37" s="715"/>
      <c r="AA37" s="714">
        <f>SUM(AA6:AA36)</f>
        <v>14892.470000000001</v>
      </c>
      <c r="AB37" s="698"/>
      <c r="AC37" s="552">
        <f>SUM(AC6:AC36)</f>
        <v>28110.670000000002</v>
      </c>
      <c r="AD37" s="786"/>
      <c r="AE37" s="714">
        <f>SUM(AE6:AE36)</f>
        <v>56682.969999999987</v>
      </c>
      <c r="AF37" s="786"/>
      <c r="AG37" s="714">
        <f>SUM(AG6:AG36)</f>
        <v>801.36000000000035</v>
      </c>
      <c r="AH37" s="699"/>
      <c r="AI37" s="552">
        <f>SUM(AI6:AI36)</f>
        <v>34437.279999999992</v>
      </c>
      <c r="AJ37" s="699"/>
      <c r="AK37" s="552">
        <f>SUM(AK6:AK36)</f>
        <v>125780.66</v>
      </c>
      <c r="AL37" s="714"/>
      <c r="AM37" s="552">
        <f>SUM(AM6:AM36)</f>
        <v>5307.420000000001</v>
      </c>
      <c r="AN37" s="714">
        <f>SUM(AN6:AN36)</f>
        <v>463918.85800000012</v>
      </c>
      <c r="AO37" s="775"/>
      <c r="AP37" s="552">
        <f>SUM(AP6:AP36)</f>
        <v>6397.2</v>
      </c>
      <c r="AQ37" s="699"/>
      <c r="AR37" s="552">
        <f>SUM(AR6:AR36)</f>
        <v>5936</v>
      </c>
      <c r="AS37" s="699"/>
      <c r="AT37" s="552">
        <f>SUM(AT6:AT36)</f>
        <v>5719</v>
      </c>
      <c r="AU37" s="699"/>
      <c r="AV37" s="552">
        <f>SUM(AV6:AV36)</f>
        <v>1776</v>
      </c>
      <c r="AW37" s="699"/>
      <c r="AX37" s="552">
        <f>SUM(AX6:AX36)</f>
        <v>33028</v>
      </c>
      <c r="AY37" s="699"/>
      <c r="AZ37" s="552">
        <f>SUM(AZ6:AZ36)</f>
        <v>1638</v>
      </c>
      <c r="BA37" s="699"/>
      <c r="BB37" s="552">
        <f>SUM(BB6:BB36)</f>
        <v>152245</v>
      </c>
      <c r="BC37" s="786"/>
      <c r="BD37" s="552">
        <f>SUM(BD6:BD36)</f>
        <v>6691</v>
      </c>
      <c r="BE37" s="786"/>
      <c r="BF37" s="552">
        <f>SUM(BF6:BF36)</f>
        <v>2517</v>
      </c>
      <c r="BG37" s="699"/>
      <c r="BH37" s="714">
        <f>SUM(BH6:BH36)</f>
        <v>193104.00000000006</v>
      </c>
      <c r="BI37" s="714">
        <f>SUM(BI6:BI36)</f>
        <v>409051.2</v>
      </c>
      <c r="BJ37" s="714">
        <f>SUM(BJ6:BJ36)</f>
        <v>872970.05800000008</v>
      </c>
      <c r="BK37" s="698"/>
      <c r="BL37" s="552">
        <f>SUM(BL6:BL36)</f>
        <v>4423</v>
      </c>
      <c r="BM37" s="699"/>
      <c r="BN37" s="552">
        <f>SUM(BN6:BN36)</f>
        <v>49417</v>
      </c>
      <c r="BO37" s="699"/>
      <c r="BP37" s="552">
        <f>SUM(BP6:BP36)</f>
        <v>3323</v>
      </c>
      <c r="BQ37" s="699"/>
      <c r="BR37" s="552">
        <f>SUM(BR6:BR36)</f>
        <v>5760</v>
      </c>
      <c r="BS37" s="552">
        <f>SUM(BS6:BS36)</f>
        <v>1055912.058</v>
      </c>
      <c r="BT37" s="700">
        <f>SUM(BT6:BT36)</f>
        <v>5436</v>
      </c>
      <c r="BU37" s="701">
        <f>IF(BS37&gt;0,BS37/BT37,0)</f>
        <v>194.24430794701985</v>
      </c>
      <c r="BV37" s="700">
        <f>SUM(BV6:BV35)</f>
        <v>0</v>
      </c>
      <c r="BW37" s="701" t="e">
        <f>IF(BS37&gt;0,BS37/BV37,0)</f>
        <v>#DIV/0!</v>
      </c>
      <c r="BX37" s="544">
        <f>SUM(BX6:BX35)</f>
        <v>1183860.7670750001</v>
      </c>
      <c r="BY37" s="701">
        <f>IF(BX37&gt;0,BX37/BT37,0)</f>
        <v>217.78159806383371</v>
      </c>
      <c r="BZ37" s="702" t="e">
        <f>IF(BX37&gt;0,BX37/BV37,0)</f>
        <v>#DIV/0!</v>
      </c>
    </row>
    <row r="38" spans="1:78" s="3" customFormat="1" ht="36.75" customHeight="1" thickBot="1">
      <c r="A38" s="545" t="s">
        <v>123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3"/>
      <c r="J38" s="703">
        <f>J37/J39</f>
        <v>5473.0666666666666</v>
      </c>
      <c r="K38" s="703">
        <f>K37/J39</f>
        <v>3594.2333333333331</v>
      </c>
      <c r="L38" s="704"/>
      <c r="M38" s="703">
        <f>M37/J39</f>
        <v>2119.7333333333331</v>
      </c>
      <c r="N38" s="704"/>
      <c r="O38" s="703">
        <f>O37/J39</f>
        <v>1474.5</v>
      </c>
      <c r="P38" s="704"/>
      <c r="Q38" s="703">
        <f>Q37/J39</f>
        <v>625</v>
      </c>
      <c r="R38" s="719"/>
      <c r="S38" s="703">
        <f>S37/J39</f>
        <v>152.26666666666668</v>
      </c>
      <c r="T38" s="719"/>
      <c r="U38" s="703">
        <f>U37/J39</f>
        <v>295.26666666666665</v>
      </c>
      <c r="V38" s="704"/>
      <c r="W38" s="703">
        <f>W37/J39</f>
        <v>2877.2569333333336</v>
      </c>
      <c r="X38" s="704"/>
      <c r="Y38" s="703">
        <f>Y37/J39</f>
        <v>3719.6106666666674</v>
      </c>
      <c r="Z38" s="705"/>
      <c r="AA38" s="703">
        <f>AA37/J39</f>
        <v>496.41566666666671</v>
      </c>
      <c r="AB38" s="704"/>
      <c r="AC38" s="703">
        <f>AC37/J39</f>
        <v>937.02233333333345</v>
      </c>
      <c r="AD38" s="785"/>
      <c r="AE38" s="703">
        <f>AE37/J39</f>
        <v>1889.432333333333</v>
      </c>
      <c r="AF38" s="785"/>
      <c r="AG38" s="703">
        <f>AG37/J39</f>
        <v>26.71200000000001</v>
      </c>
      <c r="AH38" s="706"/>
      <c r="AI38" s="703">
        <f>AI37/J39</f>
        <v>1147.9093333333331</v>
      </c>
      <c r="AJ38" s="706"/>
      <c r="AK38" s="703">
        <f>AK37/J39</f>
        <v>4192.6886666666669</v>
      </c>
      <c r="AL38" s="703"/>
      <c r="AM38" s="703">
        <f>AM37/J39</f>
        <v>176.91400000000004</v>
      </c>
      <c r="AN38" s="703">
        <f>AN37/J39</f>
        <v>15463.961933333338</v>
      </c>
      <c r="AO38" s="706"/>
      <c r="AP38" s="703">
        <f>AP37/J39</f>
        <v>213.23999999999998</v>
      </c>
      <c r="AQ38" s="706"/>
      <c r="AR38" s="703">
        <f>AR37/J39</f>
        <v>197.86666666666667</v>
      </c>
      <c r="AS38" s="706"/>
      <c r="AT38" s="703">
        <f>AT37/J39</f>
        <v>190.63333333333333</v>
      </c>
      <c r="AU38" s="706"/>
      <c r="AV38" s="703">
        <f>AV37/J39</f>
        <v>59.2</v>
      </c>
      <c r="AW38" s="706"/>
      <c r="AX38" s="703">
        <f>AX37/J39</f>
        <v>1100.9333333333334</v>
      </c>
      <c r="AY38" s="706"/>
      <c r="AZ38" s="703">
        <f>AZ37/J39</f>
        <v>54.6</v>
      </c>
      <c r="BA38" s="706"/>
      <c r="BB38" s="703">
        <f>BB37/J39</f>
        <v>5074.833333333333</v>
      </c>
      <c r="BC38" s="785"/>
      <c r="BD38" s="703">
        <f>BD37/J39</f>
        <v>223.03333333333333</v>
      </c>
      <c r="BE38" s="785"/>
      <c r="BF38" s="703">
        <f>BF37/J39</f>
        <v>83.9</v>
      </c>
      <c r="BG38" s="706"/>
      <c r="BH38" s="703">
        <f>BH37/J39</f>
        <v>6436.800000000002</v>
      </c>
      <c r="BI38" s="703"/>
      <c r="BJ38" s="703"/>
      <c r="BK38" s="704"/>
      <c r="BL38" s="703">
        <f>BL37/J39</f>
        <v>147.43333333333334</v>
      </c>
      <c r="BM38" s="706"/>
      <c r="BN38" s="703">
        <f>BN37/J39</f>
        <v>1647.2333333333333</v>
      </c>
      <c r="BO38" s="706"/>
      <c r="BP38" s="703">
        <f>BP37/J39</f>
        <v>110.76666666666667</v>
      </c>
      <c r="BQ38" s="706"/>
      <c r="BR38" s="703">
        <f>BR37/J39</f>
        <v>192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7" t="e">
        <f>BX38/BV38</f>
        <v>#DIV/0!</v>
      </c>
    </row>
    <row r="39" spans="1:78" s="205" customFormat="1" ht="30.75" customHeight="1" thickBot="1">
      <c r="A39" s="556" t="s">
        <v>124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125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14"/>
      <c r="B45" s="814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0A68-C490-4BC7-A073-A7CA9D81EB32}">
  <dimension ref="I5:N29"/>
  <sheetViews>
    <sheetView workbookViewId="0">
      <selection activeCell="N30" sqref="N30"/>
    </sheetView>
  </sheetViews>
  <sheetFormatPr defaultRowHeight="12.75"/>
  <cols>
    <col min="9" max="9" width="9.85546875" bestFit="1" customWidth="1"/>
  </cols>
  <sheetData>
    <row r="5" spans="9:14">
      <c r="I5" s="83">
        <v>29941.095000000001</v>
      </c>
      <c r="N5" s="83">
        <v>29941.095000000001</v>
      </c>
    </row>
    <row r="6" spans="9:14">
      <c r="I6" s="83">
        <v>26791.98</v>
      </c>
      <c r="N6" s="83">
        <v>26791.98</v>
      </c>
    </row>
    <row r="7" spans="9:14">
      <c r="I7" s="83">
        <v>27275.227500000001</v>
      </c>
      <c r="N7" s="83">
        <v>27275.227500000001</v>
      </c>
    </row>
    <row r="8" spans="9:14">
      <c r="I8" s="83">
        <v>26980.45</v>
      </c>
      <c r="N8" s="83">
        <v>26980.45</v>
      </c>
    </row>
    <row r="9" spans="9:14">
      <c r="I9" s="83">
        <v>28364.3675</v>
      </c>
      <c r="N9" s="83">
        <v>28364.3675</v>
      </c>
    </row>
    <row r="10" spans="9:14">
      <c r="I10" s="83">
        <v>26035.394999999997</v>
      </c>
      <c r="N10" s="83">
        <v>26035.394999999997</v>
      </c>
    </row>
    <row r="11" spans="9:14">
      <c r="I11" s="83">
        <v>29984.122500000005</v>
      </c>
      <c r="N11" s="83">
        <v>29984.122500000005</v>
      </c>
    </row>
    <row r="12" spans="9:14">
      <c r="I12" s="83">
        <v>24862.567499999997</v>
      </c>
      <c r="N12" s="83">
        <v>24862.567499999997</v>
      </c>
    </row>
    <row r="13" spans="9:14">
      <c r="I13" s="83">
        <v>29358.272500000003</v>
      </c>
      <c r="N13" s="83">
        <v>29358.272500000003</v>
      </c>
    </row>
    <row r="14" spans="9:14">
      <c r="I14" s="83">
        <v>27408.3475</v>
      </c>
      <c r="N14" s="83">
        <v>27408.3475</v>
      </c>
    </row>
    <row r="15" spans="9:14">
      <c r="I15" s="83">
        <v>27612.909999999996</v>
      </c>
      <c r="N15" s="83">
        <v>27612.909999999996</v>
      </c>
    </row>
    <row r="16" spans="9:14">
      <c r="I16" s="83">
        <v>29239.030000000002</v>
      </c>
      <c r="N16" s="83">
        <v>29239.030000000002</v>
      </c>
    </row>
    <row r="17" spans="9:14">
      <c r="I17" s="83">
        <v>28286.115000000002</v>
      </c>
      <c r="N17" s="83">
        <v>28286.115000000002</v>
      </c>
    </row>
    <row r="18" spans="9:14">
      <c r="I18" s="83">
        <v>27877.602500000001</v>
      </c>
      <c r="N18" s="83">
        <v>27877.602500000001</v>
      </c>
    </row>
    <row r="19" spans="9:14">
      <c r="I19" s="83">
        <v>29597.855000000003</v>
      </c>
      <c r="N19" s="83">
        <v>29597.855000000003</v>
      </c>
    </row>
    <row r="20" spans="9:14">
      <c r="I20" s="83">
        <v>19758.12</v>
      </c>
      <c r="N20" s="83">
        <v>19758.12</v>
      </c>
    </row>
    <row r="21" spans="9:14">
      <c r="I21" s="83">
        <v>22342.575000000004</v>
      </c>
      <c r="N21" s="83">
        <v>22342.575000000004</v>
      </c>
    </row>
    <row r="22" spans="9:14">
      <c r="I22" s="83">
        <v>26300.440000000002</v>
      </c>
      <c r="N22" s="83">
        <v>26300.440000000002</v>
      </c>
    </row>
    <row r="23" spans="9:14">
      <c r="I23" s="83">
        <v>27650.145</v>
      </c>
      <c r="N23" s="83">
        <v>27650.145</v>
      </c>
    </row>
    <row r="24" spans="9:14">
      <c r="I24" s="83">
        <v>26937.635000000002</v>
      </c>
      <c r="N24" s="83">
        <v>26937.635000000002</v>
      </c>
    </row>
    <row r="25" spans="9:14">
      <c r="I25" s="83">
        <v>24325.46</v>
      </c>
      <c r="N25" s="83">
        <v>24325.46</v>
      </c>
    </row>
    <row r="26" spans="9:14">
      <c r="I26" s="83">
        <v>25773.940000000002</v>
      </c>
      <c r="N26" s="83">
        <v>25773.940000000002</v>
      </c>
    </row>
    <row r="27" spans="9:14">
      <c r="I27" s="83">
        <v>26379.7575</v>
      </c>
      <c r="N27" s="83">
        <v>26379.7575</v>
      </c>
    </row>
    <row r="28" spans="9:14">
      <c r="I28" s="83">
        <v>26865.002500000002</v>
      </c>
      <c r="N28" s="83">
        <v>26865.002500000002</v>
      </c>
    </row>
    <row r="29" spans="9:14">
      <c r="I29" s="83">
        <f>SUM(I5:I28)</f>
        <v>645948.41249999986</v>
      </c>
      <c r="N29" s="83">
        <f>SUM(N5:N28)</f>
        <v>645948.41249999986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6" activePane="bottomRight" state="frozen"/>
      <selection pane="topRight" activeCell="D22" sqref="D22"/>
      <selection pane="bottomLeft" activeCell="D22" sqref="D22"/>
      <selection pane="bottomRight" activeCell="F33" sqref="F33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36" t="str">
        <f>Elect!A1</f>
        <v>August</v>
      </c>
      <c r="E1" s="832" t="s">
        <v>47</v>
      </c>
      <c r="H1" s="564" t="s">
        <v>126</v>
      </c>
      <c r="I1" s="669"/>
      <c r="J1" s="565">
        <v>3.9</v>
      </c>
    </row>
    <row r="2" spans="1:13" ht="23.25" customHeight="1">
      <c r="A2" s="836"/>
      <c r="C2" s="27"/>
      <c r="E2" s="832"/>
      <c r="G2" s="27"/>
      <c r="H2" s="27"/>
      <c r="I2" s="27"/>
      <c r="K2" s="529"/>
      <c r="L2" s="528"/>
      <c r="M2" s="385"/>
    </row>
    <row r="3" spans="1:13" ht="21" customHeight="1" thickBot="1">
      <c r="A3" s="837"/>
      <c r="B3" s="27"/>
      <c r="C3" s="27"/>
      <c r="D3" s="27"/>
      <c r="E3" s="833"/>
      <c r="F3" s="27"/>
      <c r="G3" s="27"/>
      <c r="H3" s="27"/>
      <c r="I3" s="27"/>
    </row>
    <row r="4" spans="1:13" ht="53.25" customHeight="1">
      <c r="A4" s="662" t="s">
        <v>127</v>
      </c>
      <c r="B4" s="838" t="s">
        <v>128</v>
      </c>
      <c r="C4" s="839"/>
      <c r="D4" s="838" t="s">
        <v>129</v>
      </c>
      <c r="E4" s="839"/>
      <c r="F4" s="838" t="s">
        <v>130</v>
      </c>
      <c r="G4" s="839"/>
      <c r="H4" s="534" t="s">
        <v>131</v>
      </c>
      <c r="I4" s="534" t="s">
        <v>132</v>
      </c>
      <c r="J4" s="533" t="s">
        <v>133</v>
      </c>
      <c r="K4" s="736" t="s">
        <v>134</v>
      </c>
      <c r="L4" s="23"/>
      <c r="M4" s="23"/>
    </row>
    <row r="5" spans="1:13" ht="26.25" customHeight="1" thickBot="1">
      <c r="A5" s="663"/>
      <c r="B5" s="137" t="s">
        <v>135</v>
      </c>
      <c r="C5" s="138" t="s">
        <v>136</v>
      </c>
      <c r="D5" s="137" t="s">
        <v>135</v>
      </c>
      <c r="E5" s="138" t="s">
        <v>136</v>
      </c>
      <c r="F5" s="137" t="s">
        <v>135</v>
      </c>
      <c r="G5" s="138" t="s">
        <v>136</v>
      </c>
      <c r="H5" s="25" t="s">
        <v>137</v>
      </c>
      <c r="I5" s="25" t="s">
        <v>137</v>
      </c>
      <c r="J5" s="25" t="s">
        <v>137</v>
      </c>
      <c r="K5" s="138" t="s">
        <v>136</v>
      </c>
      <c r="L5" s="23"/>
      <c r="M5" s="23"/>
    </row>
    <row r="6" spans="1:13" s="3" customFormat="1" ht="41.25" customHeight="1">
      <c r="A6" s="664"/>
      <c r="B6" s="765">
        <v>8137185</v>
      </c>
      <c r="C6" s="638">
        <f t="shared" ref="C6:C14" si="0">IF(B6&gt;=B5,B6-B5,0)*1.06</f>
        <v>0</v>
      </c>
      <c r="D6" s="772">
        <v>383244</v>
      </c>
      <c r="E6" s="638">
        <f>IF(D6&gt;=D5,D6-D5,0)*0.7</f>
        <v>0</v>
      </c>
      <c r="F6" s="772">
        <v>583683</v>
      </c>
      <c r="G6" s="638">
        <f t="shared" ref="G6:G17" si="1">IF(F6&gt;=F5,F6-F5,0)</f>
        <v>0</v>
      </c>
      <c r="H6" s="429"/>
      <c r="I6" s="429"/>
      <c r="J6" s="429"/>
      <c r="K6" s="694">
        <f>C6+E6</f>
        <v>0</v>
      </c>
    </row>
    <row r="7" spans="1:13" s="3" customFormat="1" ht="41.25" customHeight="1">
      <c r="A7" s="664">
        <v>1</v>
      </c>
      <c r="B7" s="765">
        <v>8138054</v>
      </c>
      <c r="C7" s="638">
        <f t="shared" si="0"/>
        <v>921.1400000000001</v>
      </c>
      <c r="D7" s="772">
        <v>383543</v>
      </c>
      <c r="E7" s="638">
        <f t="shared" ref="E7:E30" si="2">IF(D7&gt;=D6,D7-D6,0)*0.7</f>
        <v>209.29999999999998</v>
      </c>
      <c r="F7" s="772">
        <v>583783</v>
      </c>
      <c r="G7" s="638">
        <f t="shared" si="1"/>
        <v>100</v>
      </c>
      <c r="H7" s="638">
        <f>(E7*0.55)*1.61</f>
        <v>185.33515</v>
      </c>
      <c r="I7" s="638">
        <f>C7*J1</f>
        <v>3592.4460000000004</v>
      </c>
      <c r="J7" s="638">
        <f>G7*J1</f>
        <v>390</v>
      </c>
      <c r="K7" s="694">
        <f t="shared" ref="K7:K37" si="3">C7+E7</f>
        <v>1130.44</v>
      </c>
    </row>
    <row r="8" spans="1:13" s="3" customFormat="1" ht="41.25" customHeight="1">
      <c r="A8" s="664">
        <v>2</v>
      </c>
      <c r="B8" s="765">
        <v>8138828</v>
      </c>
      <c r="C8" s="638">
        <f t="shared" si="0"/>
        <v>820.44</v>
      </c>
      <c r="D8" s="772">
        <v>383869</v>
      </c>
      <c r="E8" s="638">
        <f t="shared" si="2"/>
        <v>228.2</v>
      </c>
      <c r="F8" s="772">
        <v>583879</v>
      </c>
      <c r="G8" s="638">
        <f t="shared" si="1"/>
        <v>96</v>
      </c>
      <c r="H8" s="638">
        <f t="shared" ref="H8:H37" si="4">(E8*0.55)*1.61</f>
        <v>202.07110000000003</v>
      </c>
      <c r="I8" s="638">
        <f>C8*J1</f>
        <v>3199.7160000000003</v>
      </c>
      <c r="J8" s="638">
        <f>G8*J1</f>
        <v>374.4</v>
      </c>
      <c r="K8" s="694">
        <f t="shared" si="3"/>
        <v>1048.6400000000001</v>
      </c>
    </row>
    <row r="9" spans="1:13" s="3" customFormat="1" ht="41.25" customHeight="1">
      <c r="A9" s="664">
        <v>3</v>
      </c>
      <c r="B9" s="765">
        <v>8139524</v>
      </c>
      <c r="C9" s="638">
        <f t="shared" si="0"/>
        <v>737.76</v>
      </c>
      <c r="D9" s="772">
        <v>384196</v>
      </c>
      <c r="E9" s="638">
        <f t="shared" si="2"/>
        <v>228.89999999999998</v>
      </c>
      <c r="F9" s="772">
        <v>583975</v>
      </c>
      <c r="G9" s="638">
        <f t="shared" si="1"/>
        <v>96</v>
      </c>
      <c r="H9" s="638">
        <f>(E9*0.55)*1.61</f>
        <v>202.69095000000002</v>
      </c>
      <c r="I9" s="638">
        <f>C9*J1</f>
        <v>2877.2640000000001</v>
      </c>
      <c r="J9" s="638">
        <f>G9*J1</f>
        <v>374.4</v>
      </c>
      <c r="K9" s="694">
        <f>C9+E9</f>
        <v>966.66</v>
      </c>
    </row>
    <row r="10" spans="1:13" s="3" customFormat="1" ht="41.25" customHeight="1">
      <c r="A10" s="664">
        <v>4</v>
      </c>
      <c r="B10" s="765">
        <v>8140293</v>
      </c>
      <c r="C10" s="638">
        <f t="shared" si="0"/>
        <v>815.14</v>
      </c>
      <c r="D10" s="772">
        <v>384523</v>
      </c>
      <c r="E10" s="638">
        <f t="shared" si="2"/>
        <v>228.89999999999998</v>
      </c>
      <c r="F10" s="772">
        <v>584070</v>
      </c>
      <c r="G10" s="638">
        <f t="shared" si="1"/>
        <v>95</v>
      </c>
      <c r="H10" s="638">
        <f>(E10*0.55)*1.61</f>
        <v>202.69095000000002</v>
      </c>
      <c r="I10" s="638">
        <f>C10*J1</f>
        <v>3179.0459999999998</v>
      </c>
      <c r="J10" s="638">
        <f>G10*J1</f>
        <v>370.5</v>
      </c>
      <c r="K10" s="694">
        <f t="shared" si="3"/>
        <v>1044.04</v>
      </c>
    </row>
    <row r="11" spans="1:13" s="3" customFormat="1" ht="41.25" customHeight="1">
      <c r="A11" s="664">
        <v>5</v>
      </c>
      <c r="B11" s="765">
        <v>8141005</v>
      </c>
      <c r="C11" s="638">
        <f t="shared" si="0"/>
        <v>754.72</v>
      </c>
      <c r="D11" s="772">
        <v>384852</v>
      </c>
      <c r="E11" s="638">
        <f t="shared" si="2"/>
        <v>230.29999999999998</v>
      </c>
      <c r="F11" s="772">
        <v>584166</v>
      </c>
      <c r="G11" s="638">
        <f t="shared" si="1"/>
        <v>96</v>
      </c>
      <c r="H11" s="638">
        <f t="shared" si="4"/>
        <v>203.93065000000001</v>
      </c>
      <c r="I11" s="638">
        <f>C11*J1</f>
        <v>2943.4079999999999</v>
      </c>
      <c r="J11" s="638">
        <f>G11*J1</f>
        <v>374.4</v>
      </c>
      <c r="K11" s="694">
        <f t="shared" si="3"/>
        <v>985.02</v>
      </c>
    </row>
    <row r="12" spans="1:13" s="3" customFormat="1" ht="41.25" customHeight="1">
      <c r="A12" s="664">
        <v>6</v>
      </c>
      <c r="B12" s="765">
        <v>8141184</v>
      </c>
      <c r="C12" s="638">
        <f t="shared" si="0"/>
        <v>189.74</v>
      </c>
      <c r="D12" s="772">
        <v>385177</v>
      </c>
      <c r="E12" s="638">
        <f t="shared" si="2"/>
        <v>227.49999999999997</v>
      </c>
      <c r="F12" s="772">
        <v>584259</v>
      </c>
      <c r="G12" s="638">
        <f t="shared" si="1"/>
        <v>93</v>
      </c>
      <c r="H12" s="638">
        <f t="shared" si="4"/>
        <v>201.45125000000002</v>
      </c>
      <c r="I12" s="638">
        <f>C12*J1</f>
        <v>739.98599999999999</v>
      </c>
      <c r="J12" s="638">
        <f>G12*J1</f>
        <v>362.7</v>
      </c>
      <c r="K12" s="694">
        <f t="shared" si="3"/>
        <v>417.24</v>
      </c>
    </row>
    <row r="13" spans="1:13" s="3" customFormat="1" ht="41.25" customHeight="1">
      <c r="A13" s="664">
        <v>7</v>
      </c>
      <c r="B13" s="765">
        <v>8142045</v>
      </c>
      <c r="C13" s="638">
        <f t="shared" si="0"/>
        <v>912.66000000000008</v>
      </c>
      <c r="D13" s="772">
        <v>385500</v>
      </c>
      <c r="E13" s="638">
        <f t="shared" si="2"/>
        <v>226.1</v>
      </c>
      <c r="F13" s="772">
        <v>584358.66666666698</v>
      </c>
      <c r="G13" s="638">
        <f t="shared" si="1"/>
        <v>99.666666666977108</v>
      </c>
      <c r="H13" s="638">
        <f t="shared" si="4"/>
        <v>200.21155000000002</v>
      </c>
      <c r="I13" s="638">
        <f>C13*J1</f>
        <v>3559.3740000000003</v>
      </c>
      <c r="J13" s="638">
        <f>G13*J1</f>
        <v>388.7000000012107</v>
      </c>
      <c r="K13" s="694">
        <f t="shared" si="3"/>
        <v>1138.76</v>
      </c>
    </row>
    <row r="14" spans="1:13" s="3" customFormat="1" ht="41.25" customHeight="1">
      <c r="A14" s="664">
        <v>8</v>
      </c>
      <c r="B14" s="765">
        <v>8142873</v>
      </c>
      <c r="C14" s="638">
        <f t="shared" si="0"/>
        <v>877.68000000000006</v>
      </c>
      <c r="D14" s="772">
        <v>385830</v>
      </c>
      <c r="E14" s="638">
        <f t="shared" si="2"/>
        <v>230.99999999999997</v>
      </c>
      <c r="F14" s="772">
        <v>584463</v>
      </c>
      <c r="G14" s="638">
        <f t="shared" si="1"/>
        <v>104.33333333302289</v>
      </c>
      <c r="H14" s="638">
        <f t="shared" si="4"/>
        <v>204.5505</v>
      </c>
      <c r="I14" s="638">
        <f>C14*J1</f>
        <v>3422.9520000000002</v>
      </c>
      <c r="J14" s="638">
        <f>G14*J1</f>
        <v>406.89999999878927</v>
      </c>
      <c r="K14" s="694">
        <f t="shared" si="3"/>
        <v>1108.68</v>
      </c>
    </row>
    <row r="15" spans="1:13" s="3" customFormat="1" ht="41.25" customHeight="1">
      <c r="A15" s="664">
        <v>9</v>
      </c>
      <c r="B15" s="765">
        <v>8143449</v>
      </c>
      <c r="C15" s="638">
        <f t="shared" ref="C15:C32" si="5">IF(B15&gt;=B14,B15-B14,0)*1.06</f>
        <v>610.56000000000006</v>
      </c>
      <c r="D15" s="772">
        <v>386159</v>
      </c>
      <c r="E15" s="638">
        <f t="shared" si="2"/>
        <v>230.29999999999998</v>
      </c>
      <c r="F15" s="772">
        <v>584554</v>
      </c>
      <c r="G15" s="638">
        <f t="shared" si="1"/>
        <v>91</v>
      </c>
      <c r="H15" s="638">
        <f t="shared" si="4"/>
        <v>203.93065000000001</v>
      </c>
      <c r="I15" s="638">
        <f>C15*J1</f>
        <v>2381.1840000000002</v>
      </c>
      <c r="J15" s="638">
        <f>G15*J1</f>
        <v>354.9</v>
      </c>
      <c r="K15" s="694">
        <f t="shared" si="3"/>
        <v>840.86</v>
      </c>
    </row>
    <row r="16" spans="1:13" s="3" customFormat="1" ht="41.25" customHeight="1">
      <c r="A16" s="664">
        <v>10</v>
      </c>
      <c r="B16" s="765">
        <v>8144110</v>
      </c>
      <c r="C16" s="638">
        <f t="shared" si="5"/>
        <v>700.66000000000008</v>
      </c>
      <c r="D16" s="772">
        <v>386475</v>
      </c>
      <c r="E16" s="638">
        <f t="shared" si="2"/>
        <v>221.2</v>
      </c>
      <c r="F16" s="772">
        <v>584645</v>
      </c>
      <c r="G16" s="638">
        <f t="shared" si="1"/>
        <v>91</v>
      </c>
      <c r="H16" s="638">
        <f t="shared" si="4"/>
        <v>195.87260000000001</v>
      </c>
      <c r="I16" s="638">
        <f>C16*J1</f>
        <v>2732.5740000000001</v>
      </c>
      <c r="J16" s="638">
        <f>G16*J1</f>
        <v>354.9</v>
      </c>
      <c r="K16" s="694">
        <f t="shared" si="3"/>
        <v>921.86000000000013</v>
      </c>
    </row>
    <row r="17" spans="1:11" s="3" customFormat="1" ht="41.25" customHeight="1">
      <c r="A17" s="664">
        <v>11</v>
      </c>
      <c r="B17" s="765">
        <v>8144771</v>
      </c>
      <c r="C17" s="638">
        <f t="shared" si="5"/>
        <v>700.66000000000008</v>
      </c>
      <c r="D17" s="772">
        <v>386808</v>
      </c>
      <c r="E17" s="638">
        <f t="shared" si="2"/>
        <v>233.1</v>
      </c>
      <c r="F17" s="772">
        <v>584736</v>
      </c>
      <c r="G17" s="638">
        <f t="shared" si="1"/>
        <v>91</v>
      </c>
      <c r="H17" s="638">
        <f t="shared" si="4"/>
        <v>206.41005000000004</v>
      </c>
      <c r="I17" s="638">
        <f>C17*J1</f>
        <v>2732.5740000000001</v>
      </c>
      <c r="J17" s="638">
        <f>G17*J1</f>
        <v>354.9</v>
      </c>
      <c r="K17" s="694">
        <f t="shared" si="3"/>
        <v>933.7600000000001</v>
      </c>
    </row>
    <row r="18" spans="1:11" s="3" customFormat="1" ht="41.25" customHeight="1">
      <c r="A18" s="664">
        <v>12</v>
      </c>
      <c r="B18" s="765">
        <v>8145432</v>
      </c>
      <c r="C18" s="638">
        <f t="shared" si="5"/>
        <v>700.66000000000008</v>
      </c>
      <c r="D18" s="772">
        <v>387134</v>
      </c>
      <c r="E18" s="638">
        <f t="shared" si="2"/>
        <v>228.2</v>
      </c>
      <c r="F18" s="772">
        <v>584827</v>
      </c>
      <c r="G18" s="638">
        <f t="shared" ref="G18:G37" si="6">IF(F18&gt;=F17,F18-F17,0)</f>
        <v>91</v>
      </c>
      <c r="H18" s="638">
        <f t="shared" si="4"/>
        <v>202.07110000000003</v>
      </c>
      <c r="I18" s="638">
        <f>C18*J1</f>
        <v>2732.5740000000001</v>
      </c>
      <c r="J18" s="638">
        <f>G18*J1</f>
        <v>354.9</v>
      </c>
      <c r="K18" s="694">
        <f t="shared" si="3"/>
        <v>928.86000000000013</v>
      </c>
    </row>
    <row r="19" spans="1:11" s="3" customFormat="1" ht="41.25" customHeight="1">
      <c r="A19" s="664">
        <v>13</v>
      </c>
      <c r="B19" s="765">
        <v>8146092</v>
      </c>
      <c r="C19" s="638">
        <f>IF(B19&gt;=B18,B19-B18,0)*1.06</f>
        <v>699.6</v>
      </c>
      <c r="D19" s="772">
        <v>387454</v>
      </c>
      <c r="E19" s="638">
        <f>IF(D19&gt;=D18,D19-D18,0)*0.7</f>
        <v>224</v>
      </c>
      <c r="F19" s="772">
        <v>584918</v>
      </c>
      <c r="G19" s="638">
        <f t="shared" si="6"/>
        <v>91</v>
      </c>
      <c r="H19" s="638">
        <f t="shared" si="4"/>
        <v>198.35200000000003</v>
      </c>
      <c r="I19" s="638">
        <f>C19*J1</f>
        <v>2728.44</v>
      </c>
      <c r="J19" s="638">
        <f>G19*J1</f>
        <v>354.9</v>
      </c>
      <c r="K19" s="694">
        <f t="shared" si="3"/>
        <v>923.6</v>
      </c>
    </row>
    <row r="20" spans="1:11" s="3" customFormat="1" ht="41.25" customHeight="1">
      <c r="A20" s="664">
        <v>14</v>
      </c>
      <c r="B20" s="765">
        <v>8146793</v>
      </c>
      <c r="C20" s="638">
        <f>IF(B20&gt;=B19,B20-B19,0)*1.06</f>
        <v>743.06000000000006</v>
      </c>
      <c r="D20" s="772">
        <v>387786</v>
      </c>
      <c r="E20" s="638">
        <f>IF(D20&gt;=D19,D20-D19,0)*0.7</f>
        <v>232.39999999999998</v>
      </c>
      <c r="F20" s="772">
        <v>585009</v>
      </c>
      <c r="G20" s="638">
        <f t="shared" si="6"/>
        <v>91</v>
      </c>
      <c r="H20" s="638">
        <f t="shared" si="4"/>
        <v>205.7902</v>
      </c>
      <c r="I20" s="638">
        <f>C20*J1</f>
        <v>2897.9340000000002</v>
      </c>
      <c r="J20" s="638">
        <f>G20*J1</f>
        <v>354.9</v>
      </c>
      <c r="K20" s="694">
        <f t="shared" si="3"/>
        <v>975.46</v>
      </c>
    </row>
    <row r="21" spans="1:11" s="3" customFormat="1" ht="41.25" customHeight="1">
      <c r="A21" s="664">
        <v>15</v>
      </c>
      <c r="B21" s="765">
        <v>8147951</v>
      </c>
      <c r="C21" s="638">
        <f>IF(B21&gt;=B20,B21-B20,0)*1.06</f>
        <v>1227.48</v>
      </c>
      <c r="D21" s="772">
        <v>388101</v>
      </c>
      <c r="E21" s="638">
        <f>IF(D21&gt;=D20,D21-D20,0)*0.7</f>
        <v>220.5</v>
      </c>
      <c r="F21" s="772">
        <v>585108</v>
      </c>
      <c r="G21" s="638">
        <f t="shared" ref="G21:G27" si="7">IF(F21&gt;=F20,F21-F20,0)</f>
        <v>99</v>
      </c>
      <c r="H21" s="638">
        <f t="shared" si="4"/>
        <v>195.25275000000002</v>
      </c>
      <c r="I21" s="638">
        <f>C21*J1</f>
        <v>4787.1719999999996</v>
      </c>
      <c r="J21" s="638">
        <f>G21*J1</f>
        <v>386.09999999999997</v>
      </c>
      <c r="K21" s="694">
        <f t="shared" si="3"/>
        <v>1447.98</v>
      </c>
    </row>
    <row r="22" spans="1:11" s="3" customFormat="1" ht="41.25" customHeight="1">
      <c r="A22" s="664">
        <v>16</v>
      </c>
      <c r="B22" s="765">
        <v>8148630</v>
      </c>
      <c r="C22" s="638">
        <f t="shared" si="5"/>
        <v>719.74</v>
      </c>
      <c r="D22" s="772">
        <v>388463</v>
      </c>
      <c r="E22" s="638">
        <f t="shared" si="2"/>
        <v>253.39999999999998</v>
      </c>
      <c r="F22" s="772">
        <v>585221</v>
      </c>
      <c r="G22" s="638">
        <f t="shared" si="7"/>
        <v>113</v>
      </c>
      <c r="H22" s="638">
        <f t="shared" si="4"/>
        <v>224.38570000000001</v>
      </c>
      <c r="I22" s="638">
        <f>C22*J1</f>
        <v>2806.9859999999999</v>
      </c>
      <c r="J22" s="638">
        <f>G22*J1</f>
        <v>440.7</v>
      </c>
      <c r="K22" s="694">
        <f t="shared" si="3"/>
        <v>973.14</v>
      </c>
    </row>
    <row r="23" spans="1:11" s="3" customFormat="1" ht="41.25" customHeight="1">
      <c r="A23" s="664">
        <v>17</v>
      </c>
      <c r="B23" s="765">
        <v>8149089</v>
      </c>
      <c r="C23" s="638">
        <f t="shared" si="5"/>
        <v>486.54</v>
      </c>
      <c r="D23" s="772">
        <v>388764</v>
      </c>
      <c r="E23" s="638">
        <f t="shared" si="2"/>
        <v>210.7</v>
      </c>
      <c r="F23" s="772">
        <v>585305</v>
      </c>
      <c r="G23" s="638">
        <f t="shared" si="7"/>
        <v>84</v>
      </c>
      <c r="H23" s="638">
        <f t="shared" si="4"/>
        <v>186.57485000000003</v>
      </c>
      <c r="I23" s="638">
        <f>C23*J1</f>
        <v>1897.5060000000001</v>
      </c>
      <c r="J23" s="638">
        <f>G23*J1</f>
        <v>327.59999999999997</v>
      </c>
      <c r="K23" s="694">
        <f t="shared" si="3"/>
        <v>697.24</v>
      </c>
    </row>
    <row r="24" spans="1:11" s="3" customFormat="1" ht="41.25" customHeight="1">
      <c r="A24" s="664">
        <v>18</v>
      </c>
      <c r="B24" s="765">
        <v>8149791</v>
      </c>
      <c r="C24" s="638">
        <f t="shared" si="5"/>
        <v>744.12</v>
      </c>
      <c r="D24" s="772">
        <v>389090</v>
      </c>
      <c r="E24" s="638">
        <f t="shared" si="2"/>
        <v>228.2</v>
      </c>
      <c r="F24" s="772">
        <v>585400</v>
      </c>
      <c r="G24" s="638">
        <f t="shared" si="7"/>
        <v>95</v>
      </c>
      <c r="H24" s="638">
        <f t="shared" si="4"/>
        <v>202.07110000000003</v>
      </c>
      <c r="I24" s="638">
        <f>C24*J1</f>
        <v>2902.0679999999998</v>
      </c>
      <c r="J24" s="638">
        <f>G24*J1</f>
        <v>370.5</v>
      </c>
      <c r="K24" s="694">
        <f t="shared" si="3"/>
        <v>972.31999999999994</v>
      </c>
    </row>
    <row r="25" spans="1:11" s="3" customFormat="1" ht="41.25" customHeight="1">
      <c r="A25" s="664">
        <v>19</v>
      </c>
      <c r="B25" s="765">
        <v>8150493</v>
      </c>
      <c r="C25" s="638">
        <f t="shared" si="5"/>
        <v>744.12</v>
      </c>
      <c r="D25" s="772">
        <v>389416</v>
      </c>
      <c r="E25" s="638">
        <f t="shared" si="2"/>
        <v>228.2</v>
      </c>
      <c r="F25" s="772">
        <v>585495</v>
      </c>
      <c r="G25" s="638">
        <f t="shared" si="7"/>
        <v>95</v>
      </c>
      <c r="H25" s="638">
        <f t="shared" si="4"/>
        <v>202.07110000000003</v>
      </c>
      <c r="I25" s="638">
        <f>C25*J1</f>
        <v>2902.0679999999998</v>
      </c>
      <c r="J25" s="638">
        <f>G25*J1</f>
        <v>370.5</v>
      </c>
      <c r="K25" s="694">
        <f t="shared" si="3"/>
        <v>972.31999999999994</v>
      </c>
    </row>
    <row r="26" spans="1:11" s="3" customFormat="1" ht="41.25" customHeight="1">
      <c r="A26" s="664">
        <v>20</v>
      </c>
      <c r="B26" s="765">
        <v>8151325</v>
      </c>
      <c r="C26" s="638">
        <f t="shared" si="5"/>
        <v>881.92000000000007</v>
      </c>
      <c r="D26" s="772">
        <v>389897</v>
      </c>
      <c r="E26" s="638">
        <f t="shared" si="2"/>
        <v>336.7</v>
      </c>
      <c r="F26" s="772">
        <v>585572</v>
      </c>
      <c r="G26" s="638">
        <f t="shared" si="7"/>
        <v>77</v>
      </c>
      <c r="H26" s="638">
        <f t="shared" si="4"/>
        <v>298.14785000000001</v>
      </c>
      <c r="I26" s="638">
        <f>C26*J1</f>
        <v>3439.4880000000003</v>
      </c>
      <c r="J26" s="638">
        <f>G26*J1</f>
        <v>300.3</v>
      </c>
      <c r="K26" s="694">
        <f t="shared" si="3"/>
        <v>1218.6200000000001</v>
      </c>
    </row>
    <row r="27" spans="1:11" s="3" customFormat="1" ht="41.25" customHeight="1">
      <c r="A27" s="664">
        <v>21</v>
      </c>
      <c r="B27" s="765">
        <v>8151897</v>
      </c>
      <c r="C27" s="638">
        <f t="shared" si="5"/>
        <v>606.32000000000005</v>
      </c>
      <c r="D27" s="772">
        <v>390097</v>
      </c>
      <c r="E27" s="638">
        <f t="shared" si="2"/>
        <v>140</v>
      </c>
      <c r="F27" s="772">
        <v>585681</v>
      </c>
      <c r="G27" s="638">
        <f t="shared" si="7"/>
        <v>109</v>
      </c>
      <c r="H27" s="638">
        <f t="shared" si="4"/>
        <v>123.97000000000001</v>
      </c>
      <c r="I27" s="638">
        <f>C27*J1</f>
        <v>2364.6480000000001</v>
      </c>
      <c r="J27" s="638">
        <f>G27*J1</f>
        <v>425.09999999999997</v>
      </c>
      <c r="K27" s="694">
        <f t="shared" si="3"/>
        <v>746.32</v>
      </c>
    </row>
    <row r="28" spans="1:11" s="3" customFormat="1" ht="41.25" customHeight="1">
      <c r="A28" s="664">
        <v>22</v>
      </c>
      <c r="B28" s="765">
        <v>8152593</v>
      </c>
      <c r="C28" s="638">
        <f>IF(B28&gt;=B27,B28-B27,0)*1.06</f>
        <v>737.76</v>
      </c>
      <c r="D28" s="772">
        <v>390425</v>
      </c>
      <c r="E28" s="638">
        <f t="shared" si="2"/>
        <v>229.6</v>
      </c>
      <c r="F28" s="772">
        <v>585776</v>
      </c>
      <c r="G28" s="638">
        <f t="shared" si="6"/>
        <v>95</v>
      </c>
      <c r="H28" s="638">
        <f>(E28*0.55)*1.61</f>
        <v>203.3108</v>
      </c>
      <c r="I28" s="638">
        <f>C28*J1</f>
        <v>2877.2640000000001</v>
      </c>
      <c r="J28" s="638">
        <f>G28*J1</f>
        <v>370.5</v>
      </c>
      <c r="K28" s="694"/>
    </row>
    <row r="29" spans="1:11" s="3" customFormat="1" ht="41.25" customHeight="1">
      <c r="A29" s="664">
        <v>23</v>
      </c>
      <c r="B29" s="765">
        <v>8153727</v>
      </c>
      <c r="C29" s="638">
        <f>IF(B29&gt;=B28,B29-B28,0)*1.06</f>
        <v>1202.04</v>
      </c>
      <c r="D29" s="772">
        <v>390898</v>
      </c>
      <c r="E29" s="638">
        <f t="shared" si="2"/>
        <v>331.09999999999997</v>
      </c>
      <c r="F29" s="772">
        <v>585858</v>
      </c>
      <c r="G29" s="638">
        <f t="shared" si="6"/>
        <v>82</v>
      </c>
      <c r="H29" s="638">
        <f>(E29*0.55)*1.61</f>
        <v>293.18905000000001</v>
      </c>
      <c r="I29" s="638">
        <f>C29*J1</f>
        <v>4687.9560000000001</v>
      </c>
      <c r="J29" s="638">
        <f>G29*J1</f>
        <v>319.8</v>
      </c>
      <c r="K29" s="694">
        <f t="shared" si="3"/>
        <v>1533.1399999999999</v>
      </c>
    </row>
    <row r="30" spans="1:11" s="3" customFormat="1" ht="41.25" customHeight="1">
      <c r="A30" s="664">
        <v>24</v>
      </c>
      <c r="B30" s="765">
        <v>8154396</v>
      </c>
      <c r="C30" s="638">
        <f>IF(B30&gt;=B29,B30-B29,0)*1.06</f>
        <v>709.14</v>
      </c>
      <c r="D30" s="772">
        <v>391181</v>
      </c>
      <c r="E30" s="638">
        <f t="shared" si="2"/>
        <v>198.1</v>
      </c>
      <c r="F30" s="772">
        <v>585959</v>
      </c>
      <c r="G30" s="638">
        <f t="shared" si="6"/>
        <v>101</v>
      </c>
      <c r="H30" s="638">
        <f>(E30*0.55)*1.61</f>
        <v>175.41755000000003</v>
      </c>
      <c r="I30" s="638">
        <f>C30*J1</f>
        <v>2765.6459999999997</v>
      </c>
      <c r="J30" s="638">
        <f>G30*J1</f>
        <v>393.9</v>
      </c>
      <c r="K30" s="694">
        <f t="shared" si="3"/>
        <v>907.24</v>
      </c>
    </row>
    <row r="31" spans="1:11" s="3" customFormat="1" ht="41.25" customHeight="1">
      <c r="A31" s="664">
        <v>25</v>
      </c>
      <c r="B31" s="765">
        <v>8154783</v>
      </c>
      <c r="C31" s="638">
        <f>IF(B31&gt;=B30,B31-B30,0)*1.06</f>
        <v>410.22</v>
      </c>
      <c r="D31" s="772">
        <v>391492</v>
      </c>
      <c r="E31" s="638">
        <f t="shared" ref="E31:E37" si="8">IF(D31&gt;=D30,D31-D30,0)*0.7</f>
        <v>217.7</v>
      </c>
      <c r="F31" s="772">
        <v>586054</v>
      </c>
      <c r="G31" s="638">
        <f t="shared" si="6"/>
        <v>95</v>
      </c>
      <c r="H31" s="638">
        <f t="shared" si="4"/>
        <v>192.77335000000002</v>
      </c>
      <c r="I31" s="638">
        <f>C31*J3</f>
        <v>0</v>
      </c>
      <c r="J31" s="638">
        <f>G31*J1</f>
        <v>370.5</v>
      </c>
      <c r="K31" s="694">
        <f t="shared" si="3"/>
        <v>627.92000000000007</v>
      </c>
    </row>
    <row r="32" spans="1:11" s="3" customFormat="1" ht="41.25" customHeight="1">
      <c r="A32" s="664">
        <v>26</v>
      </c>
      <c r="B32" s="765">
        <v>8155484</v>
      </c>
      <c r="C32" s="638">
        <f t="shared" si="5"/>
        <v>743.06000000000006</v>
      </c>
      <c r="D32" s="772">
        <v>391829</v>
      </c>
      <c r="E32" s="638">
        <f t="shared" si="8"/>
        <v>235.89999999999998</v>
      </c>
      <c r="F32" s="772">
        <v>586148</v>
      </c>
      <c r="G32" s="638">
        <f t="shared" si="6"/>
        <v>94</v>
      </c>
      <c r="H32" s="638">
        <f t="shared" si="4"/>
        <v>208.88945000000001</v>
      </c>
      <c r="I32" s="638">
        <f>C32*J1</f>
        <v>2897.9340000000002</v>
      </c>
      <c r="J32" s="638">
        <f>G32*J1</f>
        <v>366.59999999999997</v>
      </c>
      <c r="K32" s="694">
        <f t="shared" si="3"/>
        <v>978.96</v>
      </c>
    </row>
    <row r="33" spans="1:13" s="205" customFormat="1" ht="41.25" customHeight="1">
      <c r="A33" s="665">
        <v>27</v>
      </c>
      <c r="B33" s="765">
        <v>8156186</v>
      </c>
      <c r="C33" s="638">
        <f>IF(B33&gt;=B32,B33-B32,0)*1.06</f>
        <v>744.12</v>
      </c>
      <c r="D33" s="772">
        <v>392166</v>
      </c>
      <c r="E33" s="638">
        <f t="shared" si="8"/>
        <v>235.89999999999998</v>
      </c>
      <c r="F33" s="772">
        <v>586243</v>
      </c>
      <c r="G33" s="638">
        <f t="shared" si="6"/>
        <v>95</v>
      </c>
      <c r="H33" s="638">
        <f t="shared" si="4"/>
        <v>208.88945000000001</v>
      </c>
      <c r="I33" s="638">
        <f>C33*J1</f>
        <v>2902.0679999999998</v>
      </c>
      <c r="J33" s="638">
        <f>G33*J1</f>
        <v>370.5</v>
      </c>
      <c r="K33" s="694">
        <f t="shared" si="3"/>
        <v>980.02</v>
      </c>
    </row>
    <row r="34" spans="1:13" s="205" customFormat="1" ht="41.25" customHeight="1">
      <c r="A34" s="665">
        <v>28</v>
      </c>
      <c r="B34" s="765">
        <v>8156887</v>
      </c>
      <c r="C34" s="638">
        <f>IF(B34&gt;=B33,B34-B33,0)*1.06</f>
        <v>743.06000000000006</v>
      </c>
      <c r="D34" s="772">
        <v>392503</v>
      </c>
      <c r="E34" s="638">
        <f t="shared" si="8"/>
        <v>235.89999999999998</v>
      </c>
      <c r="F34" s="772">
        <v>586337</v>
      </c>
      <c r="G34" s="638">
        <f t="shared" si="6"/>
        <v>94</v>
      </c>
      <c r="H34" s="638">
        <f t="shared" si="4"/>
        <v>208.88945000000001</v>
      </c>
      <c r="I34" s="638">
        <f>C34*J1</f>
        <v>2897.9340000000002</v>
      </c>
      <c r="J34" s="638">
        <f>G34*J1</f>
        <v>366.59999999999997</v>
      </c>
      <c r="K34" s="694">
        <f t="shared" si="3"/>
        <v>978.96</v>
      </c>
    </row>
    <row r="35" spans="1:13" s="205" customFormat="1" ht="41.25" customHeight="1">
      <c r="A35" s="664">
        <v>29</v>
      </c>
      <c r="B35" s="765">
        <v>8157589</v>
      </c>
      <c r="C35" s="638">
        <f>IF(B35&gt;=B34,B35-B34,0)*1.06</f>
        <v>744.12</v>
      </c>
      <c r="D35" s="772">
        <v>392840</v>
      </c>
      <c r="E35" s="638">
        <f t="shared" si="8"/>
        <v>235.89999999999998</v>
      </c>
      <c r="F35" s="772">
        <v>586481</v>
      </c>
      <c r="G35" s="638">
        <f t="shared" si="6"/>
        <v>144</v>
      </c>
      <c r="H35" s="638">
        <f t="shared" si="4"/>
        <v>208.88945000000001</v>
      </c>
      <c r="I35" s="638">
        <f>C35*J1</f>
        <v>2902.0679999999998</v>
      </c>
      <c r="J35" s="638">
        <f>G35*J1</f>
        <v>561.6</v>
      </c>
      <c r="K35" s="694">
        <f t="shared" si="3"/>
        <v>980.02</v>
      </c>
    </row>
    <row r="36" spans="1:13" s="205" customFormat="1" ht="41.25" customHeight="1">
      <c r="A36" s="665">
        <v>30</v>
      </c>
      <c r="B36" s="765">
        <v>8158956</v>
      </c>
      <c r="C36" s="638">
        <f>IF(B36&gt;=B35,B36-B35,0)*1.06</f>
        <v>1449.02</v>
      </c>
      <c r="D36" s="772">
        <v>393282</v>
      </c>
      <c r="E36" s="638">
        <f t="shared" si="8"/>
        <v>309.39999999999998</v>
      </c>
      <c r="F36" s="772">
        <v>586586</v>
      </c>
      <c r="G36" s="638">
        <f t="shared" si="6"/>
        <v>105</v>
      </c>
      <c r="H36" s="638">
        <f t="shared" si="4"/>
        <v>273.97370000000001</v>
      </c>
      <c r="I36" s="638">
        <f>C36*J1</f>
        <v>5651.1779999999999</v>
      </c>
      <c r="J36" s="638">
        <f>G36*J1</f>
        <v>409.5</v>
      </c>
      <c r="K36" s="694">
        <f t="shared" si="3"/>
        <v>1758.42</v>
      </c>
    </row>
    <row r="37" spans="1:13" s="205" customFormat="1" ht="41.25" customHeight="1" thickBot="1">
      <c r="A37" s="665">
        <v>31</v>
      </c>
      <c r="B37" s="765">
        <v>8159697</v>
      </c>
      <c r="C37" s="638">
        <f>IF(B37&gt;=B36,B37-B36,0)*1.06</f>
        <v>785.46</v>
      </c>
      <c r="D37" s="772">
        <v>393604</v>
      </c>
      <c r="E37" s="638">
        <f t="shared" si="8"/>
        <v>225.39999999999998</v>
      </c>
      <c r="F37" s="772">
        <v>586680</v>
      </c>
      <c r="G37" s="638">
        <f t="shared" si="6"/>
        <v>94</v>
      </c>
      <c r="H37" s="638">
        <f t="shared" si="4"/>
        <v>199.5917</v>
      </c>
      <c r="I37" s="638">
        <f>C37*J1</f>
        <v>3063.2939999999999</v>
      </c>
      <c r="J37" s="638">
        <f>G37*J1</f>
        <v>366.59999999999997</v>
      </c>
      <c r="K37" s="694">
        <f t="shared" si="3"/>
        <v>1010.86</v>
      </c>
    </row>
    <row r="38" spans="1:13" s="205" customFormat="1" ht="41.25" customHeight="1">
      <c r="A38" s="666" t="s">
        <v>122</v>
      </c>
      <c r="B38" s="689"/>
      <c r="C38" s="690">
        <f>SUM(C7:C37)</f>
        <v>23862.720000000001</v>
      </c>
      <c r="D38" s="689"/>
      <c r="E38" s="690">
        <f>SUM(E7:E37)</f>
        <v>7251.9999999999982</v>
      </c>
      <c r="F38" s="689"/>
      <c r="G38" s="690">
        <f>SUM(G7:G37)</f>
        <v>2997</v>
      </c>
      <c r="H38" s="691">
        <f>SUM(H6:H37)</f>
        <v>6421.6459999999997</v>
      </c>
      <c r="I38" s="691">
        <f>SUM(I6:I37)</f>
        <v>91464.749999999971</v>
      </c>
      <c r="J38" s="691">
        <f>SUM(J6:J37)</f>
        <v>11688.300000000001</v>
      </c>
      <c r="K38" s="737">
        <f>SUM(K6:K37)</f>
        <v>30147.360000000001</v>
      </c>
    </row>
    <row r="39" spans="1:13" s="205" customFormat="1" ht="41.25" customHeight="1" thickBot="1">
      <c r="A39" s="667" t="s">
        <v>138</v>
      </c>
      <c r="B39" s="692"/>
      <c r="C39" s="693">
        <f>C38/A42</f>
        <v>795.42400000000009</v>
      </c>
      <c r="D39" s="692"/>
      <c r="E39" s="693">
        <f>E38/A42</f>
        <v>241.73333333333326</v>
      </c>
      <c r="F39" s="692"/>
      <c r="G39" s="693">
        <f>G38/A42</f>
        <v>99.9</v>
      </c>
      <c r="H39" s="693">
        <f>H38/A42</f>
        <v>214.05486666666667</v>
      </c>
      <c r="I39" s="693">
        <f>I38/A42</f>
        <v>3048.8249999999989</v>
      </c>
      <c r="J39" s="693">
        <f>J38/A42</f>
        <v>389.61</v>
      </c>
    </row>
    <row r="40" spans="1:13" s="205" customFormat="1" ht="28.5" customHeight="1">
      <c r="A40" s="668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124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6" activePane="bottomRight" state="frozen"/>
      <selection pane="topRight" activeCell="G39" sqref="G39"/>
      <selection pane="bottomLeft" activeCell="G39" sqref="G39"/>
      <selection pane="bottomRight" activeCell="E7" sqref="E7:E37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51" t="str">
        <f>Elect!A1</f>
        <v>August</v>
      </c>
      <c r="B1" s="579"/>
      <c r="C1" s="580"/>
      <c r="D1" s="842"/>
      <c r="E1" s="842"/>
      <c r="F1" s="842"/>
      <c r="G1" s="842"/>
      <c r="H1" s="842"/>
      <c r="I1" s="842"/>
      <c r="J1" s="842"/>
      <c r="K1" s="842"/>
      <c r="L1" s="842"/>
      <c r="M1" s="842"/>
      <c r="N1" s="842"/>
      <c r="O1" s="581"/>
      <c r="P1" s="853"/>
      <c r="Q1" s="853"/>
      <c r="R1" s="853"/>
      <c r="S1" s="2"/>
      <c r="T1" s="582" t="s">
        <v>139</v>
      </c>
      <c r="U1" s="566"/>
      <c r="V1" s="565">
        <v>4</v>
      </c>
      <c r="W1" s="564" t="s">
        <v>140</v>
      </c>
      <c r="X1" s="583"/>
      <c r="Y1" s="584"/>
      <c r="Z1" s="566"/>
    </row>
    <row r="2" spans="1:26" ht="39.75" customHeight="1" thickBot="1">
      <c r="A2" s="852"/>
      <c r="B2" s="586"/>
      <c r="C2" s="580"/>
      <c r="O2" s="581"/>
      <c r="P2" s="854"/>
      <c r="Q2" s="854"/>
      <c r="R2" s="854"/>
    </row>
    <row r="3" spans="1:26" s="3" customFormat="1" ht="42" customHeight="1" thickBot="1">
      <c r="A3" s="843" t="s">
        <v>1</v>
      </c>
      <c r="B3" s="587"/>
      <c r="C3" s="588"/>
      <c r="D3" s="588"/>
      <c r="E3" s="589" t="s">
        <v>141</v>
      </c>
      <c r="F3" s="588"/>
      <c r="G3" s="588"/>
      <c r="H3" s="590"/>
      <c r="I3" s="873" t="s">
        <v>142</v>
      </c>
      <c r="J3" s="874"/>
      <c r="K3" s="874"/>
      <c r="L3" s="874"/>
      <c r="M3" s="875"/>
      <c r="N3" s="865" t="s">
        <v>143</v>
      </c>
      <c r="O3" s="866"/>
      <c r="P3" s="846" t="s">
        <v>144</v>
      </c>
      <c r="Q3" s="846"/>
      <c r="R3" s="846" t="s">
        <v>145</v>
      </c>
      <c r="S3" s="846"/>
      <c r="T3" s="861" t="s">
        <v>146</v>
      </c>
      <c r="U3" s="857" t="s">
        <v>147</v>
      </c>
      <c r="V3" s="857" t="s">
        <v>148</v>
      </c>
      <c r="W3" s="857" t="s">
        <v>149</v>
      </c>
      <c r="X3" s="858" t="s">
        <v>150</v>
      </c>
      <c r="Y3" s="591" t="s">
        <v>74</v>
      </c>
      <c r="Z3" s="592" t="s">
        <v>74</v>
      </c>
    </row>
    <row r="4" spans="1:26" s="3" customFormat="1" ht="45" customHeight="1" thickBot="1">
      <c r="A4" s="844"/>
      <c r="B4" s="867" t="s">
        <v>151</v>
      </c>
      <c r="C4" s="868"/>
      <c r="D4" s="869" t="s">
        <v>152</v>
      </c>
      <c r="E4" s="870"/>
      <c r="F4" s="869" t="s">
        <v>153</v>
      </c>
      <c r="G4" s="870"/>
      <c r="H4" s="849" t="s">
        <v>154</v>
      </c>
      <c r="I4" s="871" t="s">
        <v>155</v>
      </c>
      <c r="J4" s="872"/>
      <c r="K4" s="871" t="s">
        <v>156</v>
      </c>
      <c r="L4" s="872"/>
      <c r="M4" s="794"/>
      <c r="N4" s="849" t="s">
        <v>157</v>
      </c>
      <c r="O4" s="849" t="s">
        <v>158</v>
      </c>
      <c r="P4" s="847" t="s">
        <v>159</v>
      </c>
      <c r="Q4" s="847" t="s">
        <v>160</v>
      </c>
      <c r="R4" s="847" t="s">
        <v>159</v>
      </c>
      <c r="S4" s="847" t="s">
        <v>160</v>
      </c>
      <c r="T4" s="862"/>
      <c r="U4" s="847"/>
      <c r="V4" s="847"/>
      <c r="W4" s="847"/>
      <c r="X4" s="859"/>
      <c r="Y4" s="855" t="s">
        <v>119</v>
      </c>
      <c r="Z4" s="840" t="s">
        <v>120</v>
      </c>
    </row>
    <row r="5" spans="1:26" s="3" customFormat="1" ht="48.75" customHeight="1" thickBot="1">
      <c r="A5" s="845"/>
      <c r="B5" s="593" t="s">
        <v>161</v>
      </c>
      <c r="C5" s="793" t="s">
        <v>162</v>
      </c>
      <c r="D5" s="594" t="s">
        <v>161</v>
      </c>
      <c r="E5" s="793" t="s">
        <v>162</v>
      </c>
      <c r="F5" s="594" t="s">
        <v>161</v>
      </c>
      <c r="G5" s="793" t="s">
        <v>162</v>
      </c>
      <c r="H5" s="850"/>
      <c r="I5" s="728" t="s">
        <v>161</v>
      </c>
      <c r="J5" s="729"/>
      <c r="K5" s="728" t="s">
        <v>161</v>
      </c>
      <c r="L5" s="729"/>
      <c r="M5" s="727"/>
      <c r="N5" s="848"/>
      <c r="O5" s="848"/>
      <c r="P5" s="848"/>
      <c r="Q5" s="848"/>
      <c r="R5" s="848"/>
      <c r="S5" s="848"/>
      <c r="T5" s="863"/>
      <c r="U5" s="848"/>
      <c r="V5" s="848"/>
      <c r="W5" s="848"/>
      <c r="X5" s="860"/>
      <c r="Y5" s="856"/>
      <c r="Z5" s="841"/>
    </row>
    <row r="6" spans="1:26" s="3" customFormat="1" ht="36.75" customHeight="1">
      <c r="A6" s="595"/>
      <c r="B6" s="769">
        <v>80109</v>
      </c>
      <c r="C6" s="638">
        <f t="shared" ref="C6:C21" si="0">IF(B6&gt;=B5,B6-B5,0)*10*0.58</f>
        <v>0</v>
      </c>
      <c r="D6" s="772">
        <v>155363</v>
      </c>
      <c r="E6" s="638">
        <f>IF(D6&gt;=D5,D6-D5,0)*10*0.58</f>
        <v>0</v>
      </c>
      <c r="F6" s="768">
        <v>24700</v>
      </c>
      <c r="G6" s="638">
        <f>IF(F6&gt;=F5,F6-F5,0)*0.58</f>
        <v>0</v>
      </c>
      <c r="H6" s="710"/>
      <c r="I6" s="768">
        <v>228</v>
      </c>
      <c r="J6" s="726"/>
      <c r="K6" s="768">
        <v>3428</v>
      </c>
      <c r="L6" s="726"/>
      <c r="M6" s="726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9">
        <v>80109</v>
      </c>
      <c r="C7" s="638">
        <f t="shared" si="0"/>
        <v>0</v>
      </c>
      <c r="D7" s="772">
        <v>155436</v>
      </c>
      <c r="E7" s="638">
        <f t="shared" ref="E7:E15" si="1">IF(D7&gt;=D6,D7-D6,0)*10*0.58</f>
        <v>423.4</v>
      </c>
      <c r="F7" s="768">
        <v>24947</v>
      </c>
      <c r="G7" s="638">
        <f t="shared" ref="G7:G14" si="2">IF(F7&gt;=F6,F7-F6,0)*0.58</f>
        <v>143.26</v>
      </c>
      <c r="H7" s="638">
        <f>C7+E7+G7</f>
        <v>566.66</v>
      </c>
      <c r="I7" s="768"/>
      <c r="J7" s="638"/>
      <c r="K7" s="768"/>
      <c r="L7" s="638"/>
      <c r="M7" s="638"/>
      <c r="N7" s="109"/>
      <c r="O7" s="535">
        <f>IF(N7&gt;=N6,N7-N6,0)</f>
        <v>0</v>
      </c>
      <c r="P7" s="109"/>
      <c r="Q7" s="436">
        <f>(H7-O7)*0.58</f>
        <v>328.66279999999995</v>
      </c>
      <c r="R7" s="109"/>
      <c r="S7" s="436">
        <f>IF(R7-R6&gt;0,R7-R6,0)</f>
        <v>0</v>
      </c>
      <c r="T7" s="708">
        <f>Elect!BT6</f>
        <v>177</v>
      </c>
      <c r="U7" s="604">
        <f>H7/T7</f>
        <v>3.2014689265536722</v>
      </c>
      <c r="V7" s="708">
        <f>Elect!BV6</f>
        <v>0</v>
      </c>
      <c r="W7" s="604" t="e">
        <f>H7/V7</f>
        <v>#DIV/0!</v>
      </c>
      <c r="X7" s="429">
        <f>H7*V1</f>
        <v>2266.64</v>
      </c>
      <c r="Y7" s="604">
        <f>IF(X7&gt;0,X7/T7,0)</f>
        <v>12.805875706214689</v>
      </c>
      <c r="Z7" s="607">
        <v>0</v>
      </c>
    </row>
    <row r="8" spans="1:26" s="3" customFormat="1" ht="36.75" customHeight="1">
      <c r="A8" s="595">
        <v>2</v>
      </c>
      <c r="B8" s="769">
        <v>80109</v>
      </c>
      <c r="C8" s="638">
        <f t="shared" si="0"/>
        <v>0</v>
      </c>
      <c r="D8" s="772">
        <v>155525</v>
      </c>
      <c r="E8" s="638">
        <f t="shared" si="1"/>
        <v>516.19999999999993</v>
      </c>
      <c r="F8" s="768">
        <v>25173</v>
      </c>
      <c r="G8" s="638">
        <f t="shared" si="2"/>
        <v>131.07999999999998</v>
      </c>
      <c r="H8" s="638">
        <f t="shared" ref="H8:H37" si="3">C8+E8+G8</f>
        <v>647.28</v>
      </c>
      <c r="I8" s="768"/>
      <c r="J8" s="638"/>
      <c r="K8" s="768"/>
      <c r="L8" s="638"/>
      <c r="M8" s="638"/>
      <c r="N8" s="109"/>
      <c r="O8" s="535">
        <f t="shared" ref="O8:O37" si="4">IF(N8&gt;=N7,N8-N7,0)</f>
        <v>0</v>
      </c>
      <c r="P8" s="109"/>
      <c r="Q8" s="436">
        <f t="shared" ref="Q8:Q37" si="5">(H8-O8)*0.58</f>
        <v>375.42239999999998</v>
      </c>
      <c r="R8" s="109"/>
      <c r="S8" s="436">
        <f t="shared" ref="S8:S37" si="6">IF(R8-R7&gt;0,R8-R7,0)</f>
        <v>0</v>
      </c>
      <c r="T8" s="708">
        <f>Elect!BT7</f>
        <v>212</v>
      </c>
      <c r="U8" s="604">
        <f t="shared" ref="U8:U37" si="7">H8/T8</f>
        <v>3.0532075471698112</v>
      </c>
      <c r="V8" s="708">
        <f>Elect!BV7</f>
        <v>0</v>
      </c>
      <c r="W8" s="604" t="e">
        <f t="shared" ref="W8:W37" si="8">H8/V8</f>
        <v>#DIV/0!</v>
      </c>
      <c r="X8" s="429">
        <f>H8*V1</f>
        <v>2589.12</v>
      </c>
      <c r="Y8" s="604">
        <f>IF(X8&gt;0,X8/T8,0)</f>
        <v>12.212830188679245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9">
        <v>80109</v>
      </c>
      <c r="C9" s="638">
        <f t="shared" si="0"/>
        <v>0</v>
      </c>
      <c r="D9" s="772">
        <v>155614</v>
      </c>
      <c r="E9" s="638">
        <f t="shared" si="1"/>
        <v>516.19999999999993</v>
      </c>
      <c r="F9" s="768">
        <v>25398</v>
      </c>
      <c r="G9" s="638">
        <f t="shared" si="2"/>
        <v>130.5</v>
      </c>
      <c r="H9" s="638">
        <f t="shared" si="3"/>
        <v>646.69999999999993</v>
      </c>
      <c r="I9" s="768"/>
      <c r="J9" s="638"/>
      <c r="K9" s="768"/>
      <c r="L9" s="638"/>
      <c r="M9" s="638"/>
      <c r="N9" s="109"/>
      <c r="O9" s="535">
        <f t="shared" si="4"/>
        <v>0</v>
      </c>
      <c r="P9" s="109"/>
      <c r="Q9" s="436">
        <f t="shared" si="5"/>
        <v>375.08599999999996</v>
      </c>
      <c r="R9" s="109"/>
      <c r="S9" s="436">
        <f t="shared" si="6"/>
        <v>0</v>
      </c>
      <c r="T9" s="708">
        <f>Elect!BT8</f>
        <v>214</v>
      </c>
      <c r="U9" s="604">
        <f t="shared" si="7"/>
        <v>3.0219626168224294</v>
      </c>
      <c r="V9" s="708">
        <f>Elect!BV8</f>
        <v>0</v>
      </c>
      <c r="W9" s="604" t="e">
        <f t="shared" si="8"/>
        <v>#DIV/0!</v>
      </c>
      <c r="X9" s="429">
        <f>H9*V1</f>
        <v>2586.7999999999997</v>
      </c>
      <c r="Y9" s="604">
        <f t="shared" ref="Y9:Y37" si="9">IF(X9&gt;0,X9/T9,0)</f>
        <v>12.087850467289718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9">
        <v>80109</v>
      </c>
      <c r="C10" s="638">
        <f t="shared" si="0"/>
        <v>0</v>
      </c>
      <c r="D10" s="772">
        <v>155753</v>
      </c>
      <c r="E10" s="638">
        <f t="shared" si="1"/>
        <v>806.19999999999993</v>
      </c>
      <c r="F10" s="768">
        <v>25624</v>
      </c>
      <c r="G10" s="638">
        <f t="shared" si="2"/>
        <v>131.07999999999998</v>
      </c>
      <c r="H10" s="638">
        <f t="shared" si="3"/>
        <v>937.28</v>
      </c>
      <c r="I10" s="768"/>
      <c r="J10" s="638"/>
      <c r="K10" s="768"/>
      <c r="L10" s="638"/>
      <c r="M10" s="638"/>
      <c r="N10" s="109"/>
      <c r="O10" s="535">
        <f t="shared" si="4"/>
        <v>0</v>
      </c>
      <c r="P10" s="109"/>
      <c r="Q10" s="436">
        <f t="shared" si="5"/>
        <v>543.62239999999997</v>
      </c>
      <c r="R10" s="109"/>
      <c r="S10" s="436">
        <f t="shared" si="6"/>
        <v>0</v>
      </c>
      <c r="T10" s="708">
        <f>Elect!BT9</f>
        <v>222</v>
      </c>
      <c r="U10" s="604">
        <f t="shared" si="7"/>
        <v>4.2219819819819815</v>
      </c>
      <c r="V10" s="708">
        <f>Elect!BV9</f>
        <v>0</v>
      </c>
      <c r="W10" s="604" t="e">
        <f t="shared" si="8"/>
        <v>#DIV/0!</v>
      </c>
      <c r="X10" s="429">
        <f>H10*V1</f>
        <v>3749.12</v>
      </c>
      <c r="Y10" s="604">
        <f t="shared" si="9"/>
        <v>16.887927927927926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9">
        <v>80109</v>
      </c>
      <c r="C11" s="638">
        <f t="shared" si="0"/>
        <v>0</v>
      </c>
      <c r="D11" s="772">
        <v>155912</v>
      </c>
      <c r="E11" s="638">
        <f t="shared" si="1"/>
        <v>922.19999999999993</v>
      </c>
      <c r="F11" s="768">
        <v>25782</v>
      </c>
      <c r="G11" s="638">
        <f t="shared" si="2"/>
        <v>91.64</v>
      </c>
      <c r="H11" s="638">
        <f>C11+E11+G11</f>
        <v>1013.8399999999999</v>
      </c>
      <c r="I11" s="768"/>
      <c r="J11" s="638"/>
      <c r="K11" s="768"/>
      <c r="L11" s="638"/>
      <c r="M11" s="638"/>
      <c r="N11" s="109"/>
      <c r="O11" s="535">
        <f t="shared" si="4"/>
        <v>0</v>
      </c>
      <c r="P11" s="109"/>
      <c r="Q11" s="436">
        <f t="shared" si="5"/>
        <v>588.02719999999988</v>
      </c>
      <c r="R11" s="109"/>
      <c r="S11" s="436">
        <f t="shared" si="6"/>
        <v>0</v>
      </c>
      <c r="T11" s="708">
        <f>Elect!BT10</f>
        <v>231</v>
      </c>
      <c r="U11" s="604">
        <f t="shared" si="7"/>
        <v>4.3889177489177484</v>
      </c>
      <c r="V11" s="708">
        <f>Elect!BV10</f>
        <v>0</v>
      </c>
      <c r="W11" s="604" t="e">
        <f t="shared" si="8"/>
        <v>#DIV/0!</v>
      </c>
      <c r="X11" s="429">
        <f>H11*V1</f>
        <v>4055.3599999999997</v>
      </c>
      <c r="Y11" s="604">
        <f t="shared" si="9"/>
        <v>17.555670995670994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9">
        <v>80109</v>
      </c>
      <c r="C12" s="638">
        <f t="shared" si="0"/>
        <v>0</v>
      </c>
      <c r="D12" s="772">
        <v>155988</v>
      </c>
      <c r="E12" s="638">
        <f t="shared" si="1"/>
        <v>440.79999999999995</v>
      </c>
      <c r="F12" s="768">
        <v>25959</v>
      </c>
      <c r="G12" s="638">
        <f t="shared" si="2"/>
        <v>102.66</v>
      </c>
      <c r="H12" s="638">
        <f t="shared" si="3"/>
        <v>543.45999999999992</v>
      </c>
      <c r="I12" s="768"/>
      <c r="J12" s="638"/>
      <c r="K12" s="768"/>
      <c r="L12" s="638"/>
      <c r="M12" s="638"/>
      <c r="N12" s="109"/>
      <c r="O12" s="535">
        <f t="shared" si="4"/>
        <v>0</v>
      </c>
      <c r="P12" s="109"/>
      <c r="Q12" s="436">
        <f t="shared" si="5"/>
        <v>315.20679999999993</v>
      </c>
      <c r="R12" s="109"/>
      <c r="S12" s="436">
        <f t="shared" si="6"/>
        <v>0</v>
      </c>
      <c r="T12" s="708">
        <f>Elect!BT11</f>
        <v>226</v>
      </c>
      <c r="U12" s="604">
        <f t="shared" si="7"/>
        <v>2.4046902654867255</v>
      </c>
      <c r="V12" s="708">
        <f>Elect!BV11</f>
        <v>0</v>
      </c>
      <c r="W12" s="604" t="e">
        <f t="shared" si="8"/>
        <v>#DIV/0!</v>
      </c>
      <c r="X12" s="429">
        <f>H12*V1</f>
        <v>2173.8399999999997</v>
      </c>
      <c r="Y12" s="604">
        <f t="shared" si="9"/>
        <v>9.6187610619469019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9">
        <v>80109</v>
      </c>
      <c r="C13" s="638">
        <f t="shared" si="0"/>
        <v>0</v>
      </c>
      <c r="D13" s="772">
        <v>156064</v>
      </c>
      <c r="E13" s="638">
        <f t="shared" si="1"/>
        <v>440.79999999999995</v>
      </c>
      <c r="F13" s="768">
        <v>26121</v>
      </c>
      <c r="G13" s="638">
        <f t="shared" si="2"/>
        <v>93.96</v>
      </c>
      <c r="H13" s="638">
        <f>C13+E13+G13</f>
        <v>534.76</v>
      </c>
      <c r="I13" s="768"/>
      <c r="J13" s="638"/>
      <c r="K13" s="768"/>
      <c r="L13" s="638"/>
      <c r="M13" s="638"/>
      <c r="N13" s="109"/>
      <c r="O13" s="535">
        <f t="shared" si="4"/>
        <v>0</v>
      </c>
      <c r="P13" s="109"/>
      <c r="Q13" s="436">
        <f t="shared" si="5"/>
        <v>310.16079999999999</v>
      </c>
      <c r="R13" s="109"/>
      <c r="S13" s="436">
        <f t="shared" si="6"/>
        <v>0</v>
      </c>
      <c r="T13" s="708">
        <f>Elect!BT12</f>
        <v>187</v>
      </c>
      <c r="U13" s="604">
        <f t="shared" si="7"/>
        <v>2.8596791443850269</v>
      </c>
      <c r="V13" s="708">
        <f>Elect!BV12</f>
        <v>0</v>
      </c>
      <c r="W13" s="604" t="e">
        <f t="shared" si="8"/>
        <v>#DIV/0!</v>
      </c>
      <c r="X13" s="429">
        <f>H13*V1</f>
        <v>2139.04</v>
      </c>
      <c r="Y13" s="604">
        <f t="shared" si="9"/>
        <v>11.438716577540108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9">
        <v>80109</v>
      </c>
      <c r="C14" s="638">
        <f t="shared" si="0"/>
        <v>0</v>
      </c>
      <c r="D14" s="772">
        <v>156161</v>
      </c>
      <c r="E14" s="638">
        <f t="shared" si="1"/>
        <v>562.59999999999991</v>
      </c>
      <c r="F14" s="768">
        <v>26349</v>
      </c>
      <c r="G14" s="638">
        <f t="shared" si="2"/>
        <v>132.23999999999998</v>
      </c>
      <c r="H14" s="638">
        <f t="shared" si="3"/>
        <v>694.83999999999992</v>
      </c>
      <c r="I14" s="768"/>
      <c r="J14" s="638"/>
      <c r="K14" s="768"/>
      <c r="L14" s="638"/>
      <c r="M14" s="638"/>
      <c r="N14" s="109"/>
      <c r="O14" s="535">
        <f t="shared" si="4"/>
        <v>0</v>
      </c>
      <c r="P14" s="109"/>
      <c r="Q14" s="436">
        <f t="shared" si="5"/>
        <v>403.0071999999999</v>
      </c>
      <c r="R14" s="109"/>
      <c r="S14" s="436">
        <f t="shared" si="6"/>
        <v>0</v>
      </c>
      <c r="T14" s="708">
        <f>Elect!BT13</f>
        <v>173</v>
      </c>
      <c r="U14" s="604">
        <f t="shared" si="7"/>
        <v>4.0164161849710975</v>
      </c>
      <c r="V14" s="708">
        <f>Elect!BV13</f>
        <v>0</v>
      </c>
      <c r="W14" s="604" t="e">
        <f t="shared" si="8"/>
        <v>#DIV/0!</v>
      </c>
      <c r="X14" s="429">
        <f>H14*V1</f>
        <v>2779.3599999999997</v>
      </c>
      <c r="Y14" s="604">
        <f t="shared" si="9"/>
        <v>16.06566473988439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9">
        <v>80109</v>
      </c>
      <c r="C15" s="638">
        <f t="shared" si="0"/>
        <v>0</v>
      </c>
      <c r="D15" s="772">
        <v>156251</v>
      </c>
      <c r="E15" s="638">
        <f t="shared" si="1"/>
        <v>522</v>
      </c>
      <c r="F15" s="768">
        <v>26617</v>
      </c>
      <c r="G15" s="638">
        <f t="shared" ref="G15:G37" si="11">IF(F15&gt;=F14,F15-F14,0)*0.58</f>
        <v>155.44</v>
      </c>
      <c r="H15" s="638">
        <f t="shared" si="3"/>
        <v>677.44</v>
      </c>
      <c r="I15" s="768"/>
      <c r="J15" s="638"/>
      <c r="K15" s="768"/>
      <c r="L15" s="638"/>
      <c r="M15" s="638"/>
      <c r="N15" s="109"/>
      <c r="O15" s="535">
        <f t="shared" si="4"/>
        <v>0</v>
      </c>
      <c r="P15" s="109"/>
      <c r="Q15" s="436">
        <f t="shared" si="5"/>
        <v>392.91520000000003</v>
      </c>
      <c r="R15" s="109"/>
      <c r="S15" s="436">
        <f t="shared" si="6"/>
        <v>0</v>
      </c>
      <c r="T15" s="708">
        <f>Elect!BT14</f>
        <v>170</v>
      </c>
      <c r="U15" s="604">
        <f t="shared" si="7"/>
        <v>3.9849411764705884</v>
      </c>
      <c r="V15" s="708">
        <f>Elect!BV14</f>
        <v>0</v>
      </c>
      <c r="W15" s="604" t="e">
        <f t="shared" si="8"/>
        <v>#DIV/0!</v>
      </c>
      <c r="X15" s="429">
        <f>H15*V1</f>
        <v>2709.76</v>
      </c>
      <c r="Y15" s="604">
        <f t="shared" si="9"/>
        <v>15.939764705882354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9">
        <v>80109</v>
      </c>
      <c r="C16" s="638">
        <f t="shared" si="0"/>
        <v>0</v>
      </c>
      <c r="D16" s="772">
        <v>156330</v>
      </c>
      <c r="E16" s="638">
        <f t="shared" ref="E16:E28" si="12">IF(D16&gt;=D15,D16-D15,0)*10*0.58</f>
        <v>458.2</v>
      </c>
      <c r="F16" s="768">
        <v>26692</v>
      </c>
      <c r="G16" s="638">
        <f t="shared" si="11"/>
        <v>43.5</v>
      </c>
      <c r="H16" s="638">
        <f t="shared" si="3"/>
        <v>501.7</v>
      </c>
      <c r="I16" s="768"/>
      <c r="J16" s="638"/>
      <c r="K16" s="768"/>
      <c r="L16" s="638"/>
      <c r="M16" s="638"/>
      <c r="N16" s="109"/>
      <c r="O16" s="535">
        <f t="shared" si="4"/>
        <v>0</v>
      </c>
      <c r="P16" s="109"/>
      <c r="Q16" s="436">
        <f t="shared" si="5"/>
        <v>290.98599999999999</v>
      </c>
      <c r="R16" s="109"/>
      <c r="S16" s="436">
        <f t="shared" si="6"/>
        <v>0</v>
      </c>
      <c r="T16" s="708">
        <f>Elect!BT15</f>
        <v>171</v>
      </c>
      <c r="U16" s="604">
        <f t="shared" si="7"/>
        <v>2.9339181286549705</v>
      </c>
      <c r="V16" s="708">
        <f>Elect!BV15</f>
        <v>0</v>
      </c>
      <c r="W16" s="604" t="e">
        <f t="shared" si="8"/>
        <v>#DIV/0!</v>
      </c>
      <c r="X16" s="429">
        <f>H16*V1</f>
        <v>2006.8</v>
      </c>
      <c r="Y16" s="604">
        <f t="shared" si="9"/>
        <v>11.735672514619882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9">
        <v>80109</v>
      </c>
      <c r="C17" s="638">
        <f t="shared" si="0"/>
        <v>0</v>
      </c>
      <c r="D17" s="772">
        <v>156415</v>
      </c>
      <c r="E17" s="638">
        <f t="shared" si="12"/>
        <v>492.99999999999994</v>
      </c>
      <c r="F17" s="768">
        <v>26725</v>
      </c>
      <c r="G17" s="638">
        <f t="shared" si="11"/>
        <v>19.139999999999997</v>
      </c>
      <c r="H17" s="638">
        <f t="shared" si="3"/>
        <v>512.14</v>
      </c>
      <c r="I17" s="768"/>
      <c r="J17" s="638"/>
      <c r="K17" s="768"/>
      <c r="L17" s="638"/>
      <c r="M17" s="638"/>
      <c r="N17" s="109"/>
      <c r="O17" s="535">
        <f t="shared" si="4"/>
        <v>0</v>
      </c>
      <c r="P17" s="109"/>
      <c r="Q17" s="436">
        <f t="shared" si="5"/>
        <v>297.04119999999995</v>
      </c>
      <c r="R17" s="109"/>
      <c r="S17" s="436">
        <f t="shared" si="6"/>
        <v>0</v>
      </c>
      <c r="T17" s="708">
        <f>Elect!BT16</f>
        <v>176</v>
      </c>
      <c r="U17" s="604">
        <f t="shared" si="7"/>
        <v>2.9098863636363634</v>
      </c>
      <c r="V17" s="708">
        <f>Elect!BV16</f>
        <v>0</v>
      </c>
      <c r="W17" s="604" t="e">
        <f t="shared" si="8"/>
        <v>#DIV/0!</v>
      </c>
      <c r="X17" s="429">
        <f>H17*V1</f>
        <v>2048.56</v>
      </c>
      <c r="Y17" s="604">
        <f t="shared" si="9"/>
        <v>11.639545454545454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9">
        <v>80109</v>
      </c>
      <c r="C18" s="638">
        <f t="shared" si="0"/>
        <v>0</v>
      </c>
      <c r="D18" s="772">
        <v>156500</v>
      </c>
      <c r="E18" s="638">
        <f t="shared" si="12"/>
        <v>492.99999999999994</v>
      </c>
      <c r="F18" s="768">
        <v>26801</v>
      </c>
      <c r="G18" s="638">
        <f t="shared" si="11"/>
        <v>44.08</v>
      </c>
      <c r="H18" s="638">
        <f t="shared" si="3"/>
        <v>537.07999999999993</v>
      </c>
      <c r="I18" s="768"/>
      <c r="J18" s="638"/>
      <c r="K18" s="768"/>
      <c r="L18" s="638"/>
      <c r="M18" s="638"/>
      <c r="N18" s="109"/>
      <c r="O18" s="535">
        <f t="shared" si="4"/>
        <v>0</v>
      </c>
      <c r="P18" s="109"/>
      <c r="Q18" s="436">
        <f t="shared" si="5"/>
        <v>311.50639999999993</v>
      </c>
      <c r="R18" s="109"/>
      <c r="S18" s="436">
        <f t="shared" si="6"/>
        <v>0</v>
      </c>
      <c r="T18" s="708">
        <f>Elect!BT17</f>
        <v>200</v>
      </c>
      <c r="U18" s="604">
        <f t="shared" si="7"/>
        <v>2.6853999999999996</v>
      </c>
      <c r="V18" s="708">
        <f>Elect!BV17</f>
        <v>0</v>
      </c>
      <c r="W18" s="604" t="e">
        <f t="shared" si="8"/>
        <v>#DIV/0!</v>
      </c>
      <c r="X18" s="429">
        <f>H18*V1</f>
        <v>2148.3199999999997</v>
      </c>
      <c r="Y18" s="604">
        <f t="shared" si="9"/>
        <v>10.741599999999998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9">
        <v>80109</v>
      </c>
      <c r="C19" s="638">
        <f t="shared" si="0"/>
        <v>0</v>
      </c>
      <c r="D19" s="772">
        <v>156585</v>
      </c>
      <c r="E19" s="638">
        <f t="shared" si="12"/>
        <v>492.99999999999994</v>
      </c>
      <c r="F19" s="768">
        <v>26811</v>
      </c>
      <c r="G19" s="638">
        <f t="shared" si="11"/>
        <v>5.8</v>
      </c>
      <c r="H19" s="638">
        <f t="shared" si="3"/>
        <v>498.79999999999995</v>
      </c>
      <c r="I19" s="768"/>
      <c r="J19" s="638"/>
      <c r="K19" s="768"/>
      <c r="L19" s="638"/>
      <c r="M19" s="638"/>
      <c r="N19" s="109"/>
      <c r="O19" s="535">
        <f t="shared" si="4"/>
        <v>0</v>
      </c>
      <c r="P19" s="109"/>
      <c r="Q19" s="436">
        <f t="shared" si="5"/>
        <v>289.30399999999997</v>
      </c>
      <c r="R19" s="109"/>
      <c r="S19" s="436">
        <f t="shared" si="6"/>
        <v>0</v>
      </c>
      <c r="T19" s="708">
        <f>Elect!BT18</f>
        <v>186</v>
      </c>
      <c r="U19" s="604">
        <f t="shared" si="7"/>
        <v>2.6817204301075268</v>
      </c>
      <c r="V19" s="708">
        <f>Elect!BV18</f>
        <v>0</v>
      </c>
      <c r="W19" s="604" t="e">
        <f t="shared" si="8"/>
        <v>#DIV/0!</v>
      </c>
      <c r="X19" s="429">
        <f>H19*V1</f>
        <v>1995.1999999999998</v>
      </c>
      <c r="Y19" s="604">
        <f t="shared" si="9"/>
        <v>10.726881720430107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9">
        <v>80109</v>
      </c>
      <c r="C20" s="638">
        <f t="shared" si="0"/>
        <v>0</v>
      </c>
      <c r="D20" s="772">
        <v>156670</v>
      </c>
      <c r="E20" s="638">
        <f t="shared" si="12"/>
        <v>492.99999999999994</v>
      </c>
      <c r="F20" s="768">
        <v>26811</v>
      </c>
      <c r="G20" s="638">
        <f t="shared" si="11"/>
        <v>0</v>
      </c>
      <c r="H20" s="638">
        <f t="shared" si="3"/>
        <v>492.99999999999994</v>
      </c>
      <c r="I20" s="768"/>
      <c r="J20" s="638"/>
      <c r="K20" s="768"/>
      <c r="L20" s="638"/>
      <c r="M20" s="638"/>
      <c r="N20" s="109"/>
      <c r="O20" s="535">
        <f t="shared" si="4"/>
        <v>0</v>
      </c>
      <c r="P20" s="109"/>
      <c r="Q20" s="436">
        <f t="shared" si="5"/>
        <v>285.93999999999994</v>
      </c>
      <c r="R20" s="109"/>
      <c r="S20" s="436">
        <f t="shared" si="6"/>
        <v>0</v>
      </c>
      <c r="T20" s="708">
        <f>Elect!BT19</f>
        <v>161</v>
      </c>
      <c r="U20" s="604">
        <f t="shared" si="7"/>
        <v>3.0621118012422355</v>
      </c>
      <c r="V20" s="708">
        <f>Elect!BV19</f>
        <v>0</v>
      </c>
      <c r="W20" s="604" t="e">
        <f t="shared" si="8"/>
        <v>#DIV/0!</v>
      </c>
      <c r="X20" s="429">
        <f>H20*V1</f>
        <v>1971.9999999999998</v>
      </c>
      <c r="Y20" s="604">
        <f t="shared" si="9"/>
        <v>12.248447204968942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9">
        <v>80109</v>
      </c>
      <c r="C21" s="638">
        <f t="shared" si="0"/>
        <v>0</v>
      </c>
      <c r="D21" s="772">
        <v>156808</v>
      </c>
      <c r="E21" s="638">
        <f t="shared" si="12"/>
        <v>800.4</v>
      </c>
      <c r="F21" s="768">
        <v>26811</v>
      </c>
      <c r="G21" s="638">
        <f t="shared" si="11"/>
        <v>0</v>
      </c>
      <c r="H21" s="638">
        <f t="shared" si="3"/>
        <v>800.4</v>
      </c>
      <c r="I21" s="768"/>
      <c r="J21" s="638"/>
      <c r="K21" s="768"/>
      <c r="L21" s="638"/>
      <c r="M21" s="638"/>
      <c r="N21" s="109"/>
      <c r="O21" s="535">
        <f t="shared" si="4"/>
        <v>0</v>
      </c>
      <c r="P21" s="109"/>
      <c r="Q21" s="436">
        <f t="shared" si="5"/>
        <v>464.23199999999997</v>
      </c>
      <c r="R21" s="109"/>
      <c r="S21" s="436">
        <f t="shared" si="6"/>
        <v>0</v>
      </c>
      <c r="T21" s="708">
        <f>Elect!BT20</f>
        <v>137</v>
      </c>
      <c r="U21" s="604">
        <f t="shared" si="7"/>
        <v>5.8423357664233571</v>
      </c>
      <c r="V21" s="708">
        <f>Elect!BV20</f>
        <v>0</v>
      </c>
      <c r="W21" s="604" t="e">
        <f t="shared" si="8"/>
        <v>#DIV/0!</v>
      </c>
      <c r="X21" s="429">
        <f>H21*V1</f>
        <v>3201.6</v>
      </c>
      <c r="Y21" s="604">
        <f t="shared" si="9"/>
        <v>23.369343065693428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9">
        <v>80109</v>
      </c>
      <c r="C22" s="638">
        <f t="shared" ref="C22:C35" si="13">IF(B22&gt;=B21,B22-B21,0)*10*0.58</f>
        <v>0</v>
      </c>
      <c r="D22" s="772">
        <v>156902</v>
      </c>
      <c r="E22" s="638">
        <f t="shared" si="12"/>
        <v>545.19999999999993</v>
      </c>
      <c r="F22" s="768">
        <v>26811</v>
      </c>
      <c r="G22" s="638">
        <f t="shared" ref="G22:G35" si="14">IF(F22&gt;=F21,F22-F21,0)*0.58</f>
        <v>0</v>
      </c>
      <c r="H22" s="638">
        <f t="shared" si="3"/>
        <v>545.19999999999993</v>
      </c>
      <c r="I22" s="768"/>
      <c r="J22" s="638"/>
      <c r="K22" s="768"/>
      <c r="L22" s="638"/>
      <c r="M22" s="638"/>
      <c r="N22" s="109"/>
      <c r="O22" s="535">
        <f t="shared" si="4"/>
        <v>0</v>
      </c>
      <c r="P22" s="109"/>
      <c r="Q22" s="436">
        <f t="shared" si="5"/>
        <v>316.21599999999995</v>
      </c>
      <c r="R22" s="109"/>
      <c r="S22" s="436">
        <f t="shared" si="6"/>
        <v>0</v>
      </c>
      <c r="T22" s="708">
        <f>Elect!BT21</f>
        <v>133</v>
      </c>
      <c r="U22" s="604">
        <f t="shared" si="7"/>
        <v>4.0992481203007518</v>
      </c>
      <c r="V22" s="708">
        <f>Elect!BV21</f>
        <v>0</v>
      </c>
      <c r="W22" s="604" t="e">
        <f t="shared" si="8"/>
        <v>#DIV/0!</v>
      </c>
      <c r="X22" s="429">
        <f>H22*V1</f>
        <v>2180.7999999999997</v>
      </c>
      <c r="Y22" s="604">
        <f t="shared" si="9"/>
        <v>16.396992481203007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9">
        <v>80109</v>
      </c>
      <c r="C23" s="638">
        <f t="shared" si="13"/>
        <v>0</v>
      </c>
      <c r="D23" s="772">
        <v>156994</v>
      </c>
      <c r="E23" s="638">
        <f t="shared" si="12"/>
        <v>533.59999999999991</v>
      </c>
      <c r="F23" s="768">
        <v>26842</v>
      </c>
      <c r="G23" s="638">
        <f t="shared" si="14"/>
        <v>17.98</v>
      </c>
      <c r="H23" s="638">
        <f t="shared" si="3"/>
        <v>551.57999999999993</v>
      </c>
      <c r="I23" s="768"/>
      <c r="J23" s="638"/>
      <c r="K23" s="768"/>
      <c r="L23" s="638"/>
      <c r="M23" s="638"/>
      <c r="N23" s="109"/>
      <c r="O23" s="535">
        <f t="shared" si="4"/>
        <v>0</v>
      </c>
      <c r="P23" s="109"/>
      <c r="Q23" s="436">
        <f t="shared" si="5"/>
        <v>319.91639999999995</v>
      </c>
      <c r="R23" s="109"/>
      <c r="S23" s="436">
        <f t="shared" si="6"/>
        <v>0</v>
      </c>
      <c r="T23" s="708">
        <f>Elect!BT22</f>
        <v>127</v>
      </c>
      <c r="U23" s="604">
        <f t="shared" si="7"/>
        <v>4.3431496062992121</v>
      </c>
      <c r="V23" s="708">
        <f>Elect!BV22</f>
        <v>0</v>
      </c>
      <c r="W23" s="604" t="e">
        <f t="shared" si="8"/>
        <v>#DIV/0!</v>
      </c>
      <c r="X23" s="429">
        <f>H23*V1</f>
        <v>2206.3199999999997</v>
      </c>
      <c r="Y23" s="604">
        <f t="shared" si="9"/>
        <v>17.372598425196848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9">
        <v>80109</v>
      </c>
      <c r="C24" s="638">
        <f t="shared" si="13"/>
        <v>0</v>
      </c>
      <c r="D24" s="772">
        <v>157090</v>
      </c>
      <c r="E24" s="638">
        <f t="shared" si="12"/>
        <v>556.79999999999995</v>
      </c>
      <c r="F24" s="768">
        <v>26842</v>
      </c>
      <c r="G24" s="638">
        <f t="shared" si="14"/>
        <v>0</v>
      </c>
      <c r="H24" s="638">
        <f t="shared" si="3"/>
        <v>556.79999999999995</v>
      </c>
      <c r="I24" s="768"/>
      <c r="J24" s="638"/>
      <c r="K24" s="768"/>
      <c r="L24" s="638"/>
      <c r="M24" s="638"/>
      <c r="N24" s="109"/>
      <c r="O24" s="535">
        <f t="shared" si="4"/>
        <v>0</v>
      </c>
      <c r="P24" s="109"/>
      <c r="Q24" s="436">
        <f t="shared" si="5"/>
        <v>322.94399999999996</v>
      </c>
      <c r="R24" s="109"/>
      <c r="S24" s="436">
        <f t="shared" si="6"/>
        <v>0</v>
      </c>
      <c r="T24" s="708">
        <f>Elect!BT23</f>
        <v>158</v>
      </c>
      <c r="U24" s="604">
        <f t="shared" si="7"/>
        <v>3.5240506329113921</v>
      </c>
      <c r="V24" s="708">
        <f>Elect!BV23</f>
        <v>0</v>
      </c>
      <c r="W24" s="604" t="e">
        <f t="shared" si="8"/>
        <v>#DIV/0!</v>
      </c>
      <c r="X24" s="429">
        <f>H24*V1</f>
        <v>2227.1999999999998</v>
      </c>
      <c r="Y24" s="604">
        <f t="shared" si="9"/>
        <v>14.096202531645568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9">
        <v>80109</v>
      </c>
      <c r="C25" s="638">
        <f t="shared" si="13"/>
        <v>0</v>
      </c>
      <c r="D25" s="772">
        <v>157185</v>
      </c>
      <c r="E25" s="638">
        <f t="shared" si="12"/>
        <v>551</v>
      </c>
      <c r="F25" s="768">
        <v>26842</v>
      </c>
      <c r="G25" s="638">
        <f t="shared" si="14"/>
        <v>0</v>
      </c>
      <c r="H25" s="638">
        <f t="shared" si="3"/>
        <v>551</v>
      </c>
      <c r="I25" s="768"/>
      <c r="J25" s="638"/>
      <c r="K25" s="768"/>
      <c r="L25" s="638"/>
      <c r="M25" s="638"/>
      <c r="N25" s="109"/>
      <c r="O25" s="535">
        <f t="shared" si="4"/>
        <v>0</v>
      </c>
      <c r="P25" s="109"/>
      <c r="Q25" s="436">
        <f t="shared" si="5"/>
        <v>319.58</v>
      </c>
      <c r="R25" s="109"/>
      <c r="S25" s="436">
        <f t="shared" si="6"/>
        <v>0</v>
      </c>
      <c r="T25" s="708">
        <f>Elect!BT24</f>
        <v>164</v>
      </c>
      <c r="U25" s="604">
        <f t="shared" si="7"/>
        <v>3.3597560975609757</v>
      </c>
      <c r="V25" s="708">
        <f>Elect!BV24</f>
        <v>0</v>
      </c>
      <c r="W25" s="604" t="e">
        <f t="shared" si="8"/>
        <v>#DIV/0!</v>
      </c>
      <c r="X25" s="429">
        <f>H25*V1</f>
        <v>2204</v>
      </c>
      <c r="Y25" s="604">
        <f t="shared" si="9"/>
        <v>13.439024390243903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9">
        <v>80109</v>
      </c>
      <c r="C26" s="638">
        <f t="shared" si="13"/>
        <v>0</v>
      </c>
      <c r="D26" s="772">
        <v>157258</v>
      </c>
      <c r="E26" s="638">
        <f t="shared" si="12"/>
        <v>423.4</v>
      </c>
      <c r="F26" s="768">
        <v>26842</v>
      </c>
      <c r="G26" s="638">
        <f t="shared" si="14"/>
        <v>0</v>
      </c>
      <c r="H26" s="638">
        <f t="shared" si="3"/>
        <v>423.4</v>
      </c>
      <c r="I26" s="768"/>
      <c r="J26" s="638"/>
      <c r="K26" s="768"/>
      <c r="L26" s="638"/>
      <c r="M26" s="638"/>
      <c r="N26" s="109"/>
      <c r="O26" s="535">
        <f t="shared" si="4"/>
        <v>0</v>
      </c>
      <c r="P26" s="109"/>
      <c r="Q26" s="436">
        <f t="shared" si="5"/>
        <v>245.57199999999997</v>
      </c>
      <c r="R26" s="109"/>
      <c r="S26" s="436">
        <f t="shared" si="6"/>
        <v>0</v>
      </c>
      <c r="T26" s="708">
        <f>Elect!BT25</f>
        <v>161</v>
      </c>
      <c r="U26" s="604">
        <f t="shared" si="7"/>
        <v>2.6298136645962731</v>
      </c>
      <c r="V26" s="708">
        <f>Elect!BV25</f>
        <v>0</v>
      </c>
      <c r="W26" s="604" t="e">
        <f t="shared" si="8"/>
        <v>#DIV/0!</v>
      </c>
      <c r="X26" s="429">
        <f>H26*V1</f>
        <v>1693.6</v>
      </c>
      <c r="Y26" s="604">
        <f t="shared" si="9"/>
        <v>10.519254658385092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9">
        <v>80109</v>
      </c>
      <c r="C27" s="638">
        <f t="shared" si="13"/>
        <v>0</v>
      </c>
      <c r="D27" s="772">
        <v>157352</v>
      </c>
      <c r="E27" s="638">
        <f t="shared" si="12"/>
        <v>545.19999999999993</v>
      </c>
      <c r="F27" s="768">
        <v>26842</v>
      </c>
      <c r="G27" s="638">
        <f t="shared" si="14"/>
        <v>0</v>
      </c>
      <c r="H27" s="638">
        <f t="shared" si="3"/>
        <v>545.19999999999993</v>
      </c>
      <c r="I27" s="768"/>
      <c r="J27" s="638"/>
      <c r="K27" s="768"/>
      <c r="L27" s="638"/>
      <c r="M27" s="638"/>
      <c r="N27" s="109"/>
      <c r="O27" s="535">
        <f t="shared" si="4"/>
        <v>0</v>
      </c>
      <c r="P27" s="109"/>
      <c r="Q27" s="436">
        <f t="shared" si="5"/>
        <v>316.21599999999995</v>
      </c>
      <c r="R27" s="109"/>
      <c r="S27" s="436">
        <f t="shared" si="6"/>
        <v>0</v>
      </c>
      <c r="T27" s="708">
        <f>Elect!BT26</f>
        <v>149</v>
      </c>
      <c r="U27" s="604">
        <f t="shared" si="7"/>
        <v>3.6590604026845632</v>
      </c>
      <c r="V27" s="708">
        <f>Elect!BV26</f>
        <v>0</v>
      </c>
      <c r="W27" s="604" t="e">
        <f t="shared" si="8"/>
        <v>#DIV/0!</v>
      </c>
      <c r="X27" s="429">
        <f>H27*V1</f>
        <v>2180.7999999999997</v>
      </c>
      <c r="Y27" s="604">
        <f t="shared" si="9"/>
        <v>14.636241610738253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9">
        <v>80109</v>
      </c>
      <c r="C28" s="638">
        <f t="shared" si="13"/>
        <v>0</v>
      </c>
      <c r="D28" s="772">
        <v>157447</v>
      </c>
      <c r="E28" s="638">
        <f t="shared" si="12"/>
        <v>551</v>
      </c>
      <c r="F28" s="768">
        <v>26842</v>
      </c>
      <c r="G28" s="638">
        <f t="shared" si="14"/>
        <v>0</v>
      </c>
      <c r="H28" s="638">
        <f t="shared" si="3"/>
        <v>551</v>
      </c>
      <c r="I28" s="768"/>
      <c r="J28" s="638"/>
      <c r="K28" s="768"/>
      <c r="L28" s="638"/>
      <c r="M28" s="638"/>
      <c r="N28" s="109"/>
      <c r="O28" s="535">
        <f t="shared" si="4"/>
        <v>0</v>
      </c>
      <c r="P28" s="109"/>
      <c r="Q28" s="436">
        <f t="shared" si="5"/>
        <v>319.58</v>
      </c>
      <c r="R28" s="109"/>
      <c r="S28" s="436">
        <f t="shared" si="6"/>
        <v>0</v>
      </c>
      <c r="T28" s="708">
        <f>Elect!BT27</f>
        <v>149</v>
      </c>
      <c r="U28" s="604">
        <f t="shared" si="7"/>
        <v>3.6979865771812079</v>
      </c>
      <c r="V28" s="708">
        <f>Elect!BV27</f>
        <v>0</v>
      </c>
      <c r="W28" s="604" t="e">
        <f t="shared" si="8"/>
        <v>#DIV/0!</v>
      </c>
      <c r="X28" s="429">
        <f>H28*V1</f>
        <v>2204</v>
      </c>
      <c r="Y28" s="604">
        <f t="shared" si="9"/>
        <v>14.791946308724832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9">
        <v>80109</v>
      </c>
      <c r="C29" s="638">
        <f t="shared" si="13"/>
        <v>0</v>
      </c>
      <c r="D29" s="772">
        <v>157476</v>
      </c>
      <c r="E29" s="638">
        <f t="shared" ref="E29:E30" si="15">IF(D29&gt;=D28,D29-D28,0)*10*0.58</f>
        <v>168.2</v>
      </c>
      <c r="F29" s="768">
        <v>26842</v>
      </c>
      <c r="G29" s="638">
        <f t="shared" si="14"/>
        <v>0</v>
      </c>
      <c r="H29" s="638">
        <f t="shared" si="3"/>
        <v>168.2</v>
      </c>
      <c r="I29" s="768"/>
      <c r="J29" s="638"/>
      <c r="K29" s="768"/>
      <c r="L29" s="638"/>
      <c r="M29" s="638"/>
      <c r="N29" s="109"/>
      <c r="O29" s="535">
        <f t="shared" si="4"/>
        <v>0</v>
      </c>
      <c r="P29" s="109"/>
      <c r="Q29" s="436">
        <f t="shared" si="5"/>
        <v>97.555999999999983</v>
      </c>
      <c r="R29" s="458"/>
      <c r="S29" s="436">
        <f t="shared" si="6"/>
        <v>0</v>
      </c>
      <c r="T29" s="708">
        <f>Elect!BT28</f>
        <v>149</v>
      </c>
      <c r="U29" s="604">
        <f t="shared" si="7"/>
        <v>1.1288590604026845</v>
      </c>
      <c r="V29" s="708">
        <f>Elect!BV28</f>
        <v>0</v>
      </c>
      <c r="W29" s="604" t="e">
        <f t="shared" si="8"/>
        <v>#DIV/0!</v>
      </c>
      <c r="X29" s="429">
        <f>H29*V1</f>
        <v>672.8</v>
      </c>
      <c r="Y29" s="604">
        <f t="shared" si="9"/>
        <v>4.5154362416107379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9">
        <v>80109</v>
      </c>
      <c r="C30" s="638">
        <f t="shared" si="13"/>
        <v>0</v>
      </c>
      <c r="D30" s="772">
        <v>157538</v>
      </c>
      <c r="E30" s="638">
        <f t="shared" si="15"/>
        <v>359.59999999999997</v>
      </c>
      <c r="F30" s="768">
        <v>26842</v>
      </c>
      <c r="G30" s="638">
        <f t="shared" si="14"/>
        <v>0</v>
      </c>
      <c r="H30" s="638">
        <f t="shared" si="3"/>
        <v>359.59999999999997</v>
      </c>
      <c r="I30" s="768"/>
      <c r="J30" s="638"/>
      <c r="K30" s="768"/>
      <c r="L30" s="638"/>
      <c r="M30" s="638"/>
      <c r="N30" s="109"/>
      <c r="O30" s="535">
        <f t="shared" si="4"/>
        <v>0</v>
      </c>
      <c r="P30" s="109"/>
      <c r="Q30" s="436">
        <f t="shared" si="5"/>
        <v>208.56799999999996</v>
      </c>
      <c r="R30" s="458"/>
      <c r="S30" s="436">
        <f t="shared" si="6"/>
        <v>0</v>
      </c>
      <c r="T30" s="708">
        <f>Elect!BT29</f>
        <v>139</v>
      </c>
      <c r="U30" s="604">
        <f t="shared" si="7"/>
        <v>2.5870503597122299</v>
      </c>
      <c r="V30" s="708">
        <f>Elect!BV29</f>
        <v>0</v>
      </c>
      <c r="W30" s="604" t="e">
        <f t="shared" si="8"/>
        <v>#DIV/0!</v>
      </c>
      <c r="X30" s="429">
        <f>H30*V1</f>
        <v>1438.3999999999999</v>
      </c>
      <c r="Y30" s="604">
        <f t="shared" si="9"/>
        <v>10.348201438848919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9">
        <v>80109</v>
      </c>
      <c r="C31" s="638">
        <f t="shared" si="13"/>
        <v>0</v>
      </c>
      <c r="D31" s="772">
        <v>157589</v>
      </c>
      <c r="E31" s="638">
        <f t="shared" ref="E31:E37" si="16">IF(D31&gt;=D30,D31-D30,0)*10*0.58</f>
        <v>295.79999999999995</v>
      </c>
      <c r="F31" s="768">
        <v>26842</v>
      </c>
      <c r="G31" s="638">
        <f t="shared" si="14"/>
        <v>0</v>
      </c>
      <c r="H31" s="638">
        <f t="shared" si="3"/>
        <v>295.79999999999995</v>
      </c>
      <c r="I31" s="768"/>
      <c r="J31" s="638"/>
      <c r="K31" s="768"/>
      <c r="L31" s="638"/>
      <c r="M31" s="638"/>
      <c r="N31" s="109"/>
      <c r="O31" s="535">
        <f t="shared" si="4"/>
        <v>0</v>
      </c>
      <c r="P31" s="109"/>
      <c r="Q31" s="436">
        <f t="shared" si="5"/>
        <v>171.56399999999996</v>
      </c>
      <c r="R31" s="458"/>
      <c r="S31" s="436">
        <f t="shared" si="6"/>
        <v>0</v>
      </c>
      <c r="T31" s="708">
        <f>Elect!BT30</f>
        <v>177</v>
      </c>
      <c r="U31" s="604">
        <f t="shared" si="7"/>
        <v>1.6711864406779657</v>
      </c>
      <c r="V31" s="708">
        <f>Elect!BV30</f>
        <v>0</v>
      </c>
      <c r="W31" s="604" t="e">
        <f t="shared" si="8"/>
        <v>#DIV/0!</v>
      </c>
      <c r="X31" s="429">
        <f>H31*V1</f>
        <v>1183.1999999999998</v>
      </c>
      <c r="Y31" s="604">
        <f t="shared" si="9"/>
        <v>6.6847457627118629</v>
      </c>
      <c r="Z31" s="607" t="e">
        <f t="shared" ref="Z31:Z37" si="17">IF(X31&gt;0,X31/V31,0)</f>
        <v>#DIV/0!</v>
      </c>
    </row>
    <row r="32" spans="1:26" s="3" customFormat="1" ht="36.75" customHeight="1">
      <c r="A32" s="595">
        <v>26</v>
      </c>
      <c r="B32" s="769">
        <v>80109</v>
      </c>
      <c r="C32" s="638">
        <f t="shared" si="13"/>
        <v>0</v>
      </c>
      <c r="D32" s="772">
        <v>157620</v>
      </c>
      <c r="E32" s="638">
        <f t="shared" si="16"/>
        <v>179.79999999999998</v>
      </c>
      <c r="F32" s="768">
        <v>26842</v>
      </c>
      <c r="G32" s="638">
        <f t="shared" si="14"/>
        <v>0</v>
      </c>
      <c r="H32" s="638">
        <f t="shared" si="3"/>
        <v>179.79999999999998</v>
      </c>
      <c r="I32" s="768"/>
      <c r="J32" s="638"/>
      <c r="K32" s="768"/>
      <c r="L32" s="638"/>
      <c r="M32" s="638"/>
      <c r="N32" s="109"/>
      <c r="O32" s="535">
        <f t="shared" si="4"/>
        <v>0</v>
      </c>
      <c r="P32" s="109"/>
      <c r="Q32" s="436">
        <f t="shared" si="5"/>
        <v>104.28399999999998</v>
      </c>
      <c r="R32" s="458"/>
      <c r="S32" s="436">
        <f t="shared" si="6"/>
        <v>0</v>
      </c>
      <c r="T32" s="708">
        <f>Elect!BT31</f>
        <v>180</v>
      </c>
      <c r="U32" s="604">
        <f t="shared" si="7"/>
        <v>0.99888888888888883</v>
      </c>
      <c r="V32" s="708">
        <f>Elect!BV31</f>
        <v>0</v>
      </c>
      <c r="W32" s="604" t="e">
        <f t="shared" si="8"/>
        <v>#DIV/0!</v>
      </c>
      <c r="X32" s="429">
        <f>H32*V1</f>
        <v>719.19999999999993</v>
      </c>
      <c r="Y32" s="604">
        <f t="shared" si="9"/>
        <v>3.9955555555555553</v>
      </c>
      <c r="Z32" s="607" t="e">
        <f t="shared" si="17"/>
        <v>#DIV/0!</v>
      </c>
    </row>
    <row r="33" spans="1:26" s="3" customFormat="1" ht="36.75" customHeight="1">
      <c r="A33" s="596">
        <v>27</v>
      </c>
      <c r="B33" s="769">
        <v>80109</v>
      </c>
      <c r="C33" s="638">
        <f t="shared" si="13"/>
        <v>0</v>
      </c>
      <c r="D33" s="772">
        <v>157643</v>
      </c>
      <c r="E33" s="638">
        <f t="shared" si="16"/>
        <v>133.39999999999998</v>
      </c>
      <c r="F33" s="768">
        <v>26842</v>
      </c>
      <c r="G33" s="638">
        <f t="shared" si="14"/>
        <v>0</v>
      </c>
      <c r="H33" s="638">
        <f t="shared" si="3"/>
        <v>133.39999999999998</v>
      </c>
      <c r="I33" s="768"/>
      <c r="J33" s="638"/>
      <c r="K33" s="768"/>
      <c r="L33" s="638"/>
      <c r="M33" s="638"/>
      <c r="N33" s="109"/>
      <c r="O33" s="535">
        <f t="shared" si="4"/>
        <v>0</v>
      </c>
      <c r="P33" s="109"/>
      <c r="Q33" s="436">
        <f t="shared" si="5"/>
        <v>77.371999999999986</v>
      </c>
      <c r="R33" s="458"/>
      <c r="S33" s="436">
        <f t="shared" si="6"/>
        <v>0</v>
      </c>
      <c r="T33" s="708">
        <f>Elect!BT32</f>
        <v>210</v>
      </c>
      <c r="U33" s="604">
        <f t="shared" si="7"/>
        <v>0.63523809523809516</v>
      </c>
      <c r="V33" s="708">
        <f>Elect!BV32</f>
        <v>0</v>
      </c>
      <c r="W33" s="604" t="e">
        <f t="shared" si="8"/>
        <v>#DIV/0!</v>
      </c>
      <c r="X33" s="429">
        <f>H33*V1</f>
        <v>533.59999999999991</v>
      </c>
      <c r="Y33" s="604">
        <f t="shared" si="9"/>
        <v>2.5409523809523806</v>
      </c>
      <c r="Z33" s="607" t="e">
        <f t="shared" si="17"/>
        <v>#DIV/0!</v>
      </c>
    </row>
    <row r="34" spans="1:26" s="3" customFormat="1" ht="36.75" customHeight="1">
      <c r="A34" s="595">
        <v>28</v>
      </c>
      <c r="B34" s="769">
        <v>80109</v>
      </c>
      <c r="C34" s="638">
        <f t="shared" si="13"/>
        <v>0</v>
      </c>
      <c r="D34" s="772">
        <v>157668</v>
      </c>
      <c r="E34" s="638">
        <f t="shared" si="16"/>
        <v>145</v>
      </c>
      <c r="F34" s="768">
        <v>26842</v>
      </c>
      <c r="G34" s="638">
        <f t="shared" si="14"/>
        <v>0</v>
      </c>
      <c r="H34" s="638">
        <f t="shared" si="3"/>
        <v>145</v>
      </c>
      <c r="I34" s="768"/>
      <c r="J34" s="638"/>
      <c r="K34" s="768"/>
      <c r="L34" s="638"/>
      <c r="M34" s="638"/>
      <c r="N34" s="109"/>
      <c r="O34" s="535">
        <f t="shared" si="4"/>
        <v>0</v>
      </c>
      <c r="P34" s="109"/>
      <c r="Q34" s="436">
        <f t="shared" si="5"/>
        <v>84.1</v>
      </c>
      <c r="R34" s="458"/>
      <c r="S34" s="436">
        <f t="shared" si="6"/>
        <v>0</v>
      </c>
      <c r="T34" s="708">
        <f>Elect!BT33</f>
        <v>178</v>
      </c>
      <c r="U34" s="604">
        <f t="shared" si="7"/>
        <v>0.8146067415730337</v>
      </c>
      <c r="V34" s="708">
        <f>Elect!BV33</f>
        <v>0</v>
      </c>
      <c r="W34" s="604" t="e">
        <f t="shared" si="8"/>
        <v>#DIV/0!</v>
      </c>
      <c r="X34" s="429">
        <f>H34*V1</f>
        <v>580</v>
      </c>
      <c r="Y34" s="604">
        <f t="shared" si="9"/>
        <v>3.2584269662921348</v>
      </c>
      <c r="Z34" s="607" t="e">
        <f t="shared" si="17"/>
        <v>#DIV/0!</v>
      </c>
    </row>
    <row r="35" spans="1:26" s="3" customFormat="1" ht="36.75" customHeight="1">
      <c r="A35" s="595">
        <v>29</v>
      </c>
      <c r="B35" s="769">
        <v>80109</v>
      </c>
      <c r="C35" s="638">
        <f t="shared" si="13"/>
        <v>0</v>
      </c>
      <c r="D35" s="772">
        <v>157680</v>
      </c>
      <c r="E35" s="638">
        <f t="shared" si="16"/>
        <v>69.599999999999994</v>
      </c>
      <c r="F35" s="768">
        <v>26842</v>
      </c>
      <c r="G35" s="638">
        <f t="shared" si="14"/>
        <v>0</v>
      </c>
      <c r="H35" s="638">
        <f t="shared" si="3"/>
        <v>69.599999999999994</v>
      </c>
      <c r="I35" s="768"/>
      <c r="J35" s="638"/>
      <c r="K35" s="768"/>
      <c r="L35" s="638"/>
      <c r="M35" s="638"/>
      <c r="N35" s="109"/>
      <c r="O35" s="535">
        <f t="shared" si="4"/>
        <v>0</v>
      </c>
      <c r="P35" s="526"/>
      <c r="Q35" s="436">
        <f t="shared" si="5"/>
        <v>40.367999999999995</v>
      </c>
      <c r="R35" s="458"/>
      <c r="S35" s="436">
        <f t="shared" si="6"/>
        <v>0</v>
      </c>
      <c r="T35" s="708">
        <f>Elect!BT34</f>
        <v>177</v>
      </c>
      <c r="U35" s="604">
        <f t="shared" si="7"/>
        <v>0.39322033898305081</v>
      </c>
      <c r="V35" s="708">
        <f>Elect!BV34</f>
        <v>0</v>
      </c>
      <c r="W35" s="604" t="e">
        <f t="shared" si="8"/>
        <v>#DIV/0!</v>
      </c>
      <c r="X35" s="429">
        <f>H35*V1</f>
        <v>278.39999999999998</v>
      </c>
      <c r="Y35" s="604">
        <f t="shared" si="9"/>
        <v>1.5728813559322032</v>
      </c>
      <c r="Z35" s="607" t="e">
        <f t="shared" si="17"/>
        <v>#DIV/0!</v>
      </c>
    </row>
    <row r="36" spans="1:26" s="3" customFormat="1" ht="36.75" customHeight="1">
      <c r="A36" s="596">
        <v>30</v>
      </c>
      <c r="B36" s="769">
        <v>80109</v>
      </c>
      <c r="C36" s="638">
        <f t="shared" ref="C36:C37" si="18">IF(B36&gt;=B35,B36-B35,0)*10*0.58</f>
        <v>0</v>
      </c>
      <c r="D36" s="772">
        <v>157691</v>
      </c>
      <c r="E36" s="638">
        <f t="shared" si="16"/>
        <v>63.8</v>
      </c>
      <c r="F36" s="768">
        <v>27041</v>
      </c>
      <c r="G36" s="638">
        <f t="shared" si="11"/>
        <v>115.41999999999999</v>
      </c>
      <c r="H36" s="638">
        <f t="shared" si="3"/>
        <v>179.21999999999997</v>
      </c>
      <c r="I36" s="768"/>
      <c r="J36" s="638"/>
      <c r="K36" s="768"/>
      <c r="L36" s="638"/>
      <c r="M36" s="638"/>
      <c r="N36" s="109"/>
      <c r="O36" s="535">
        <f t="shared" si="4"/>
        <v>0</v>
      </c>
      <c r="P36" s="526"/>
      <c r="Q36" s="436">
        <f t="shared" si="5"/>
        <v>103.94759999999998</v>
      </c>
      <c r="R36" s="458"/>
      <c r="S36" s="436">
        <f t="shared" si="6"/>
        <v>0</v>
      </c>
      <c r="T36" s="708">
        <f>Elect!BT35</f>
        <v>172</v>
      </c>
      <c r="U36" s="604">
        <f t="shared" si="7"/>
        <v>1.0419767441860464</v>
      </c>
      <c r="V36" s="708">
        <f>Elect!BV35</f>
        <v>0</v>
      </c>
      <c r="W36" s="604" t="e">
        <f t="shared" si="8"/>
        <v>#DIV/0!</v>
      </c>
      <c r="X36" s="429">
        <f>H36*V1</f>
        <v>716.87999999999988</v>
      </c>
      <c r="Y36" s="604">
        <f t="shared" si="9"/>
        <v>4.1679069767441854</v>
      </c>
      <c r="Z36" s="607" t="e">
        <f t="shared" si="17"/>
        <v>#DIV/0!</v>
      </c>
    </row>
    <row r="37" spans="1:26" s="3" customFormat="1" ht="36.75" customHeight="1" thickBot="1">
      <c r="A37" s="595">
        <v>31</v>
      </c>
      <c r="B37" s="769">
        <v>80109</v>
      </c>
      <c r="C37" s="638">
        <f t="shared" si="18"/>
        <v>0</v>
      </c>
      <c r="D37" s="772">
        <v>157692</v>
      </c>
      <c r="E37" s="638">
        <f t="shared" si="16"/>
        <v>5.8</v>
      </c>
      <c r="F37" s="768">
        <v>27041</v>
      </c>
      <c r="G37" s="638">
        <f t="shared" si="11"/>
        <v>0</v>
      </c>
      <c r="H37" s="638">
        <f t="shared" si="3"/>
        <v>5.8</v>
      </c>
      <c r="I37" s="768">
        <v>231</v>
      </c>
      <c r="J37" s="725"/>
      <c r="K37" s="768">
        <v>3536</v>
      </c>
      <c r="L37" s="725"/>
      <c r="M37" s="725"/>
      <c r="N37" s="526"/>
      <c r="O37" s="535">
        <f t="shared" si="4"/>
        <v>0</v>
      </c>
      <c r="P37" s="526"/>
      <c r="Q37" s="436">
        <f t="shared" si="5"/>
        <v>3.3639999999999999</v>
      </c>
      <c r="R37" s="724"/>
      <c r="S37" s="436">
        <f t="shared" si="6"/>
        <v>0</v>
      </c>
      <c r="T37" s="708">
        <f>Elect!BT36</f>
        <v>170</v>
      </c>
      <c r="U37" s="604">
        <f t="shared" si="7"/>
        <v>3.411764705882353E-2</v>
      </c>
      <c r="V37" s="708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7"/>
        <v>0</v>
      </c>
    </row>
    <row r="38" spans="1:26" s="3" customFormat="1" ht="36.75" customHeight="1" thickBot="1">
      <c r="A38" s="541" t="s">
        <v>122</v>
      </c>
      <c r="B38" s="769"/>
      <c r="C38" s="730">
        <f>SUM(C7:C37)</f>
        <v>0</v>
      </c>
      <c r="D38" s="538"/>
      <c r="E38" s="730">
        <f>SUM(E7:E37)</f>
        <v>13508.199999999999</v>
      </c>
      <c r="F38" s="538"/>
      <c r="G38" s="730">
        <f>SUM(G7:G37)</f>
        <v>1357.78</v>
      </c>
      <c r="H38" s="730">
        <f>SUM(H7:H37)</f>
        <v>14865.979999999998</v>
      </c>
      <c r="I38" s="730">
        <f>I37-I6</f>
        <v>3</v>
      </c>
      <c r="J38" s="542"/>
      <c r="K38" s="730">
        <f>K37-K6</f>
        <v>108</v>
      </c>
      <c r="L38" s="542"/>
      <c r="M38" s="542"/>
      <c r="N38" s="538"/>
      <c r="O38" s="542">
        <f>SUM(O7:O36)</f>
        <v>0</v>
      </c>
      <c r="P38" s="538"/>
      <c r="Q38" s="542">
        <f>SUM(Q7:Q34)</f>
        <v>8474.5887999999995</v>
      </c>
      <c r="R38" s="538"/>
      <c r="S38" s="542">
        <f>SUM(S7:S34)</f>
        <v>0</v>
      </c>
      <c r="T38" s="543">
        <f>SUM(T7:T36)</f>
        <v>5266</v>
      </c>
      <c r="U38" s="605">
        <f>IF(H38&gt;0,H38/T38,0)</f>
        <v>2.8230117736422327</v>
      </c>
      <c r="V38" s="661">
        <f>SUM(V7:V36)</f>
        <v>0</v>
      </c>
      <c r="W38" s="605" t="e">
        <f>IF(H38&gt;0,H38/V38,0)</f>
        <v>#DIV/0!</v>
      </c>
      <c r="X38" s="608">
        <f>SUM(X7:X36)</f>
        <v>59440.719999999994</v>
      </c>
      <c r="Y38" s="605">
        <f t="shared" ref="Y38:Y44" si="19">IF(X38&gt;0,X38/T38,0)</f>
        <v>11.287641473604253</v>
      </c>
      <c r="Z38" s="609" t="e">
        <f t="shared" ref="Z38:Z44" si="20">IF(X38&gt;0,X38/V38,0)</f>
        <v>#DIV/0!</v>
      </c>
    </row>
    <row r="39" spans="1:26" s="3" customFormat="1" ht="36.75" customHeight="1" thickBot="1">
      <c r="A39" s="545" t="s">
        <v>123</v>
      </c>
      <c r="B39" s="769"/>
      <c r="C39" s="547">
        <f>C38/B48</f>
        <v>0</v>
      </c>
      <c r="D39" s="539"/>
      <c r="E39" s="547">
        <f>E38/B48</f>
        <v>450.27333333333331</v>
      </c>
      <c r="F39" s="539"/>
      <c r="G39" s="547">
        <f>G38/B48</f>
        <v>45.259333333333331</v>
      </c>
      <c r="H39" s="547">
        <f>H38/B48</f>
        <v>495.53266666666661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282.48629333333332</v>
      </c>
      <c r="R39" s="539"/>
      <c r="S39" s="547" t="e">
        <f>S38/C48</f>
        <v>#DIV/0!</v>
      </c>
      <c r="T39" s="548">
        <f>T38/B48</f>
        <v>175.53333333333333</v>
      </c>
      <c r="U39" s="606">
        <f>IF(H39&gt;0,H39/T39,0)</f>
        <v>2.8230117736422331</v>
      </c>
      <c r="V39" s="621">
        <f>V38/B48</f>
        <v>0</v>
      </c>
      <c r="W39" s="605" t="e">
        <f>IF(H39&gt;0,H39/V39,0)</f>
        <v>#DIV/0!</v>
      </c>
      <c r="X39" s="610">
        <f>X38/B48</f>
        <v>1981.3573333333331</v>
      </c>
      <c r="Y39" s="606">
        <f t="shared" si="19"/>
        <v>11.287641473604253</v>
      </c>
      <c r="Z39" s="611" t="e">
        <f t="shared" si="20"/>
        <v>#DIV/0!</v>
      </c>
    </row>
    <row r="40" spans="1:26" s="3" customFormat="1" ht="36.75" customHeight="1">
      <c r="A40" s="597" t="s">
        <v>163</v>
      </c>
      <c r="B40" s="612"/>
      <c r="C40" s="613"/>
      <c r="D40" s="613"/>
      <c r="E40" s="614"/>
      <c r="F40" s="613"/>
      <c r="G40" s="614"/>
      <c r="H40" s="614"/>
      <c r="I40" s="614"/>
      <c r="J40" s="614"/>
      <c r="K40" s="614"/>
      <c r="L40" s="614"/>
      <c r="M40" s="614"/>
      <c r="N40" s="538"/>
      <c r="O40" s="614"/>
      <c r="P40" s="538"/>
      <c r="Q40" s="614"/>
      <c r="R40" s="613"/>
      <c r="S40" s="613"/>
      <c r="T40" s="615">
        <f>YTD!Q2341</f>
        <v>0</v>
      </c>
      <c r="U40" s="616" t="e">
        <f>IF(#REF!&gt;0,#REF!/T40,0)</f>
        <v>#REF!</v>
      </c>
      <c r="V40" s="617">
        <f>YTD!Q2342</f>
        <v>0</v>
      </c>
      <c r="W40" s="605" t="e">
        <f>IF(#REF!&gt;0,#REF!/V40,0)</f>
        <v>#REF!</v>
      </c>
      <c r="X40" s="618">
        <f>YTD!Q2346</f>
        <v>0</v>
      </c>
      <c r="Y40" s="605">
        <f t="shared" si="19"/>
        <v>0</v>
      </c>
      <c r="Z40" s="609">
        <f t="shared" si="20"/>
        <v>0</v>
      </c>
    </row>
    <row r="41" spans="1:26" s="3" customFormat="1" ht="36.75" customHeight="1" thickBot="1">
      <c r="A41" s="598" t="s">
        <v>164</v>
      </c>
      <c r="B41" s="619"/>
      <c r="C41" s="620"/>
      <c r="D41" s="620"/>
      <c r="E41" s="539"/>
      <c r="F41" s="620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20"/>
      <c r="S41" s="620"/>
      <c r="T41" s="548" t="e">
        <f>T42*C48</f>
        <v>#VALUE!</v>
      </c>
      <c r="U41" s="606" t="e">
        <f>IF(#REF!&gt;0,#REF!/T41,0)</f>
        <v>#REF!</v>
      </c>
      <c r="V41" s="621" t="e">
        <f>V42*C48</f>
        <v>#VALUE!</v>
      </c>
      <c r="W41" s="606" t="e">
        <f>IF(#REF!&gt;0,#REF!/V41,0)</f>
        <v>#REF!</v>
      </c>
      <c r="X41" s="622" t="e">
        <f>#REF!*5.62</f>
        <v>#REF!</v>
      </c>
      <c r="Y41" s="606" t="e">
        <f t="shared" si="19"/>
        <v>#REF!</v>
      </c>
      <c r="Z41" s="611" t="e">
        <f t="shared" si="20"/>
        <v>#REF!</v>
      </c>
    </row>
    <row r="42" spans="1:26" s="630" customFormat="1" ht="42.75" customHeight="1" thickBot="1">
      <c r="A42" s="599" t="s">
        <v>165</v>
      </c>
      <c r="B42" s="623"/>
      <c r="C42" s="623"/>
      <c r="D42" s="624"/>
      <c r="E42" s="623"/>
      <c r="F42" s="624"/>
      <c r="G42" s="623"/>
      <c r="H42" s="623"/>
      <c r="I42" s="623"/>
      <c r="J42" s="623"/>
      <c r="K42" s="623"/>
      <c r="L42" s="623"/>
      <c r="M42" s="623"/>
      <c r="N42" s="624"/>
      <c r="O42" s="623"/>
      <c r="P42" s="624"/>
      <c r="Q42" s="623"/>
      <c r="R42" s="625"/>
      <c r="S42" s="623"/>
      <c r="T42" s="626" t="e">
        <f>T40/$A$48</f>
        <v>#VALUE!</v>
      </c>
      <c r="U42" s="626"/>
      <c r="V42" s="626" t="e">
        <f>V40/$A$48</f>
        <v>#VALUE!</v>
      </c>
      <c r="W42" s="627"/>
      <c r="X42" s="628"/>
      <c r="Y42" s="623"/>
      <c r="Z42" s="629"/>
    </row>
    <row r="43" spans="1:26" ht="36" customHeight="1">
      <c r="A43" s="600" t="s">
        <v>166</v>
      </c>
      <c r="B43" s="631"/>
      <c r="C43" s="631"/>
      <c r="D43" s="631"/>
      <c r="E43" s="631"/>
      <c r="F43" s="631"/>
      <c r="G43" s="631"/>
      <c r="H43" s="631"/>
      <c r="I43" s="631"/>
      <c r="J43" s="631"/>
      <c r="K43" s="631"/>
      <c r="L43" s="631"/>
      <c r="M43" s="631"/>
      <c r="N43" s="631"/>
      <c r="O43" s="631"/>
      <c r="P43" s="631"/>
      <c r="Q43" s="631"/>
      <c r="R43" s="631"/>
      <c r="S43" s="631"/>
      <c r="T43" s="632">
        <f>YTD!Q2358</f>
        <v>0</v>
      </c>
      <c r="U43" s="632"/>
      <c r="V43" s="633">
        <f>YTD!Q2359</f>
        <v>0</v>
      </c>
      <c r="W43" s="632"/>
      <c r="X43" s="634">
        <f>YTD!Q2363</f>
        <v>0</v>
      </c>
      <c r="Y43" s="635">
        <f t="shared" si="19"/>
        <v>0</v>
      </c>
      <c r="Z43" s="635">
        <f t="shared" si="20"/>
        <v>0</v>
      </c>
    </row>
    <row r="44" spans="1:26" ht="36" customHeight="1">
      <c r="A44" s="601" t="s">
        <v>167</v>
      </c>
      <c r="B44" s="636"/>
      <c r="C44" s="637"/>
      <c r="D44" s="636"/>
      <c r="E44" s="636"/>
      <c r="F44" s="636"/>
      <c r="G44" s="636"/>
      <c r="H44" s="636"/>
      <c r="I44" s="636"/>
      <c r="J44" s="636"/>
      <c r="K44" s="636"/>
      <c r="L44" s="636"/>
      <c r="M44" s="636"/>
      <c r="N44" s="636"/>
      <c r="O44" s="636"/>
      <c r="P44" s="636"/>
      <c r="Q44" s="636"/>
      <c r="R44" s="636"/>
      <c r="S44" s="636"/>
      <c r="T44" s="638" t="e">
        <f>T43/A48*C48</f>
        <v>#VALUE!</v>
      </c>
      <c r="U44" s="638"/>
      <c r="V44" s="638" t="e">
        <f>V43/A48*C48</f>
        <v>#VALUE!</v>
      </c>
      <c r="W44" s="638"/>
      <c r="X44" s="639" t="e">
        <f>X43/A48*C48</f>
        <v>#VALUE!</v>
      </c>
      <c r="Y44" s="554" t="e">
        <f t="shared" si="19"/>
        <v>#VALUE!</v>
      </c>
      <c r="Z44" s="554" t="e">
        <f t="shared" si="20"/>
        <v>#VALUE!</v>
      </c>
    </row>
    <row r="45" spans="1:26" ht="36" customHeight="1" thickBot="1">
      <c r="A45" s="602" t="s">
        <v>168</v>
      </c>
      <c r="B45" s="640"/>
      <c r="C45" s="641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2" t="e">
        <f>T43/A48</f>
        <v>#VALUE!</v>
      </c>
      <c r="U45" s="642"/>
      <c r="V45" s="642" t="e">
        <f>V44/A48*C48</f>
        <v>#VALUE!</v>
      </c>
      <c r="W45" s="642"/>
      <c r="X45" s="643" t="e">
        <f>X43/A48</f>
        <v>#VALUE!</v>
      </c>
      <c r="Y45" s="644"/>
      <c r="Z45" s="644"/>
    </row>
    <row r="46" spans="1:26" ht="23.25" customHeight="1">
      <c r="A46" s="541" t="s">
        <v>169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5"/>
      <c r="U46" s="645">
        <f>Consp!BH33</f>
        <v>1.151467863064469</v>
      </c>
      <c r="V46" s="646"/>
      <c r="W46" s="645">
        <f>Consp!BI33</f>
        <v>0.57929342492639846</v>
      </c>
      <c r="X46" s="647">
        <f>Consp!BJ33</f>
        <v>140121.30040437225</v>
      </c>
      <c r="Y46" s="645">
        <f>Consp!BK33</f>
        <v>6.8331854288682461</v>
      </c>
      <c r="Z46" s="648">
        <f>Consp!BL33</f>
        <v>3.4377159078599666</v>
      </c>
    </row>
    <row r="47" spans="1:26" ht="23.25" customHeight="1" thickBot="1">
      <c r="A47" s="545" t="s">
        <v>170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9"/>
      <c r="U47" s="649">
        <f>Consp!BH34</f>
        <v>1.1761372019916823</v>
      </c>
      <c r="V47" s="650"/>
      <c r="W47" s="649">
        <f>Consp!BI34</f>
        <v>0.60007376616126884</v>
      </c>
      <c r="X47" s="651">
        <f>Consp!BJ34</f>
        <v>5004.3321572990089</v>
      </c>
      <c r="Y47" s="649">
        <f>Consp!BK34</f>
        <v>6.8331854288682452</v>
      </c>
      <c r="Z47" s="652">
        <f>Consp!BL34</f>
        <v>3.4377159078599666</v>
      </c>
    </row>
    <row r="48" spans="1:26" ht="23.25" customHeight="1">
      <c r="A48" s="23" t="s">
        <v>124</v>
      </c>
      <c r="B48" s="106">
        <f>COUNTIF(B7:B36,"&gt;0")</f>
        <v>30</v>
      </c>
      <c r="C48" s="106"/>
      <c r="D48" s="653"/>
      <c r="E48" s="653"/>
      <c r="F48" s="653"/>
      <c r="G48" s="653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4"/>
    </row>
    <row r="49" spans="1:24" s="658" customFormat="1" ht="23.25" customHeight="1">
      <c r="A49" s="603"/>
      <c r="B49" s="655"/>
      <c r="C49" s="656"/>
      <c r="D49" s="657"/>
      <c r="E49" s="657"/>
      <c r="F49" s="657"/>
      <c r="G49" s="657"/>
      <c r="H49" s="657"/>
      <c r="I49" s="657"/>
      <c r="J49" s="657"/>
      <c r="K49" s="657"/>
      <c r="L49" s="657"/>
      <c r="M49" s="657"/>
      <c r="N49" s="657"/>
      <c r="O49" s="657"/>
      <c r="P49" s="656"/>
      <c r="X49" s="659"/>
    </row>
    <row r="50" spans="1:24" ht="23.25" customHeight="1">
      <c r="A50" s="2"/>
      <c r="S50" s="660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64" t="s">
        <v>141</v>
      </c>
      <c r="B136" s="864"/>
      <c r="C136" s="864"/>
      <c r="D136" s="864"/>
      <c r="E136" s="864"/>
      <c r="F136" s="864"/>
      <c r="G136" s="864"/>
      <c r="H136" s="864"/>
      <c r="I136" s="864"/>
      <c r="J136" s="864"/>
      <c r="K136" s="864"/>
      <c r="L136" s="864"/>
      <c r="M136" s="864"/>
      <c r="N136" s="864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904" t="str">
        <f>Elect!A1</f>
        <v>August</v>
      </c>
      <c r="B1" s="168"/>
      <c r="C1" s="168"/>
      <c r="H1" s="139"/>
      <c r="I1" s="140"/>
      <c r="J1" s="141"/>
      <c r="K1" s="141"/>
      <c r="L1" s="906" t="s">
        <v>171</v>
      </c>
      <c r="M1" s="906"/>
      <c r="N1" s="906"/>
      <c r="P1" s="907" t="str">
        <f>Elect!A1</f>
        <v>August</v>
      </c>
      <c r="Q1" s="907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905"/>
      <c r="B2" s="890" t="s">
        <v>172</v>
      </c>
      <c r="C2" s="891"/>
      <c r="D2" s="891"/>
      <c r="E2" s="891"/>
      <c r="F2" s="891"/>
      <c r="G2" s="908"/>
      <c r="H2" s="890" t="s">
        <v>141</v>
      </c>
      <c r="I2" s="891"/>
      <c r="J2" s="891"/>
      <c r="K2" s="891"/>
      <c r="L2" s="891"/>
      <c r="M2" s="891"/>
      <c r="N2" s="891"/>
      <c r="O2" s="891"/>
      <c r="P2" s="908"/>
      <c r="Q2" s="147"/>
      <c r="R2" s="798"/>
      <c r="S2" s="148"/>
      <c r="T2" s="149"/>
      <c r="U2" s="150" t="s">
        <v>173</v>
      </c>
      <c r="V2" s="149"/>
      <c r="W2" s="149"/>
      <c r="X2" s="149"/>
      <c r="Y2" s="149"/>
      <c r="Z2" s="796"/>
      <c r="AA2" s="795"/>
      <c r="AB2" s="151"/>
      <c r="AC2" s="169" t="s">
        <v>174</v>
      </c>
      <c r="AD2" s="799"/>
      <c r="AE2" s="797"/>
      <c r="AF2" s="152"/>
      <c r="AG2" s="878" t="s">
        <v>47</v>
      </c>
      <c r="AH2" s="879"/>
      <c r="AI2" s="879"/>
      <c r="AJ2" s="354" t="s">
        <v>175</v>
      </c>
      <c r="AK2" s="884" t="s">
        <v>176</v>
      </c>
      <c r="AL2" s="886" t="s">
        <v>177</v>
      </c>
      <c r="AM2" s="886" t="s">
        <v>178</v>
      </c>
      <c r="AN2" s="876" t="s">
        <v>179</v>
      </c>
      <c r="AO2" s="894" t="s">
        <v>180</v>
      </c>
      <c r="AP2" s="896" t="s">
        <v>181</v>
      </c>
      <c r="AQ2" s="898" t="s">
        <v>182</v>
      </c>
      <c r="AR2" s="900" t="s">
        <v>183</v>
      </c>
      <c r="AS2" s="902" t="s">
        <v>181</v>
      </c>
      <c r="AT2" s="892" t="s">
        <v>184</v>
      </c>
      <c r="AU2" s="893"/>
      <c r="AV2" s="890" t="s">
        <v>185</v>
      </c>
      <c r="AW2" s="891"/>
      <c r="AX2" s="172"/>
      <c r="AY2" s="173"/>
      <c r="AZ2" s="174" t="s">
        <v>186</v>
      </c>
      <c r="BA2" s="174"/>
      <c r="BB2" s="175"/>
      <c r="BC2" s="155"/>
      <c r="BD2" s="153"/>
      <c r="BE2" s="798" t="s">
        <v>187</v>
      </c>
      <c r="BF2" s="798"/>
      <c r="BG2" s="154"/>
      <c r="BH2" s="174"/>
      <c r="BI2" s="174"/>
      <c r="BJ2" s="174" t="s">
        <v>188</v>
      </c>
      <c r="BK2" s="174"/>
      <c r="BL2" s="175"/>
      <c r="BM2" s="798"/>
      <c r="BN2" s="798"/>
      <c r="BO2" s="798" t="s">
        <v>189</v>
      </c>
      <c r="BP2" s="798"/>
      <c r="BQ2" s="154"/>
    </row>
    <row r="3" spans="1:69" ht="174.75" customHeight="1" thickBot="1">
      <c r="A3" s="156" t="s">
        <v>60</v>
      </c>
      <c r="B3" s="909" t="s">
        <v>190</v>
      </c>
      <c r="C3" s="910"/>
      <c r="D3" s="911" t="s">
        <v>62</v>
      </c>
      <c r="E3" s="912"/>
      <c r="F3" s="913" t="s">
        <v>63</v>
      </c>
      <c r="G3" s="914"/>
      <c r="H3" s="913" t="s">
        <v>191</v>
      </c>
      <c r="I3" s="914"/>
      <c r="J3" s="915" t="s">
        <v>192</v>
      </c>
      <c r="K3" s="916"/>
      <c r="L3" s="917" t="s">
        <v>193</v>
      </c>
      <c r="M3" s="918"/>
      <c r="N3" s="152" t="s">
        <v>194</v>
      </c>
      <c r="O3" s="880" t="s">
        <v>154</v>
      </c>
      <c r="P3" s="881"/>
      <c r="Q3" s="880" t="s">
        <v>195</v>
      </c>
      <c r="R3" s="881"/>
      <c r="S3" s="882" t="s">
        <v>196</v>
      </c>
      <c r="T3" s="883"/>
      <c r="U3" s="882" t="s">
        <v>197</v>
      </c>
      <c r="V3" s="883"/>
      <c r="W3" s="888" t="s">
        <v>198</v>
      </c>
      <c r="X3" s="889"/>
      <c r="Y3" s="882" t="s">
        <v>199</v>
      </c>
      <c r="Z3" s="883"/>
      <c r="AA3" s="888" t="s">
        <v>200</v>
      </c>
      <c r="AB3" s="889"/>
      <c r="AC3" s="882" t="s">
        <v>201</v>
      </c>
      <c r="AD3" s="883"/>
      <c r="AE3" s="157" t="s">
        <v>202</v>
      </c>
      <c r="AF3" s="386" t="s">
        <v>203</v>
      </c>
      <c r="AG3" s="181" t="s">
        <v>204</v>
      </c>
      <c r="AH3" s="158" t="s">
        <v>205</v>
      </c>
      <c r="AI3" s="159" t="s">
        <v>160</v>
      </c>
      <c r="AJ3" s="355">
        <v>0</v>
      </c>
      <c r="AK3" s="885"/>
      <c r="AL3" s="887"/>
      <c r="AM3" s="887"/>
      <c r="AN3" s="877"/>
      <c r="AO3" s="895"/>
      <c r="AP3" s="897"/>
      <c r="AQ3" s="899"/>
      <c r="AR3" s="901"/>
      <c r="AS3" s="903"/>
      <c r="AT3" s="161" t="s">
        <v>206</v>
      </c>
      <c r="AU3" s="161" t="s">
        <v>207</v>
      </c>
      <c r="AV3" s="160" t="s">
        <v>146</v>
      </c>
      <c r="AW3" s="162" t="s">
        <v>148</v>
      </c>
      <c r="AX3" s="176" t="s">
        <v>147</v>
      </c>
      <c r="AY3" s="177" t="s">
        <v>149</v>
      </c>
      <c r="AZ3" s="356" t="s">
        <v>150</v>
      </c>
      <c r="BA3" s="178" t="s">
        <v>208</v>
      </c>
      <c r="BB3" s="179" t="s">
        <v>209</v>
      </c>
      <c r="BC3" s="387" t="s">
        <v>147</v>
      </c>
      <c r="BD3" s="388" t="s">
        <v>149</v>
      </c>
      <c r="BE3" s="357" t="s">
        <v>150</v>
      </c>
      <c r="BF3" s="164" t="s">
        <v>208</v>
      </c>
      <c r="BG3" s="165" t="s">
        <v>209</v>
      </c>
      <c r="BH3" s="177" t="s">
        <v>147</v>
      </c>
      <c r="BI3" s="177" t="s">
        <v>149</v>
      </c>
      <c r="BJ3" s="356" t="s">
        <v>150</v>
      </c>
      <c r="BK3" s="178" t="s">
        <v>208</v>
      </c>
      <c r="BL3" s="179" t="s">
        <v>209</v>
      </c>
      <c r="BM3" s="163" t="s">
        <v>147</v>
      </c>
      <c r="BN3" s="163" t="s">
        <v>149</v>
      </c>
      <c r="BO3" s="357" t="s">
        <v>150</v>
      </c>
      <c r="BP3" s="164" t="s">
        <v>208</v>
      </c>
      <c r="BQ3" s="165" t="s">
        <v>209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9836</v>
      </c>
      <c r="D5" s="461">
        <v>0</v>
      </c>
      <c r="E5" s="460">
        <f>Elect!M6</f>
        <v>2469</v>
      </c>
      <c r="F5" s="461">
        <v>20</v>
      </c>
      <c r="G5" s="460">
        <f>Elect!O6</f>
        <v>903</v>
      </c>
      <c r="H5" s="461">
        <v>800</v>
      </c>
      <c r="I5" s="460">
        <f>Water!C7</f>
        <v>0</v>
      </c>
      <c r="J5" s="461">
        <v>0</v>
      </c>
      <c r="K5" s="460">
        <f>Water!E7</f>
        <v>423.4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566.66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328.66279999999995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921.1400000000001</v>
      </c>
      <c r="AI5" s="465" t="e">
        <f>Gas!#REF!</f>
        <v>#REF!</v>
      </c>
      <c r="AJ5" s="466">
        <f>Gas!J7</f>
        <v>390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226</v>
      </c>
      <c r="AU5" s="460">
        <f>Elect!BP6</f>
        <v>131</v>
      </c>
      <c r="AV5" s="460" t="e">
        <f>Elect!#REF!</f>
        <v>#REF!</v>
      </c>
      <c r="AW5" s="460">
        <f>Elect!BR6</f>
        <v>226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3.2014689265536722</v>
      </c>
      <c r="BN5" s="477" t="e">
        <f>Water!W7</f>
        <v>#DIV/0!</v>
      </c>
      <c r="BO5" s="472">
        <f>Water!X7</f>
        <v>2266.64</v>
      </c>
      <c r="BP5" s="477">
        <f>Water!Y7</f>
        <v>12.805875706214689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5216</v>
      </c>
      <c r="D6" s="461">
        <v>0</v>
      </c>
      <c r="E6" s="460">
        <f>Elect!M7</f>
        <v>2037</v>
      </c>
      <c r="F6" s="461">
        <v>20</v>
      </c>
      <c r="G6" s="460">
        <f>Elect!O7</f>
        <v>1342</v>
      </c>
      <c r="H6" s="461">
        <v>936</v>
      </c>
      <c r="I6" s="460">
        <f>Water!C8</f>
        <v>0</v>
      </c>
      <c r="J6" s="461">
        <v>0</v>
      </c>
      <c r="K6" s="460">
        <f>Water!E8</f>
        <v>516.19999999999993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647.28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375.42239999999998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8138054</v>
      </c>
      <c r="AH6" s="464">
        <f>Gas!C8</f>
        <v>820.44</v>
      </c>
      <c r="AI6" s="465" t="e">
        <f>Gas!#REF!</f>
        <v>#REF!</v>
      </c>
      <c r="AJ6" s="466">
        <f>Gas!J8</f>
        <v>374.4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208</v>
      </c>
      <c r="AU6" s="460">
        <f>Elect!BP7</f>
        <v>119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489308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3.0532075471698112</v>
      </c>
      <c r="BN6" s="477" t="e">
        <f>Water!W8</f>
        <v>#DIV/0!</v>
      </c>
      <c r="BO6" s="472">
        <f>Water!X8</f>
        <v>2589.12</v>
      </c>
      <c r="BP6" s="477">
        <f>Water!Y8</f>
        <v>12.212830188679245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5430</v>
      </c>
      <c r="D7" s="461">
        <v>0</v>
      </c>
      <c r="E7" s="460">
        <f>Elect!M8</f>
        <v>2068</v>
      </c>
      <c r="F7" s="461">
        <v>20</v>
      </c>
      <c r="G7" s="460">
        <f>Elect!O8</f>
        <v>1413</v>
      </c>
      <c r="H7" s="461">
        <v>685</v>
      </c>
      <c r="I7" s="460">
        <f>Water!C9</f>
        <v>0</v>
      </c>
      <c r="J7" s="461">
        <v>0</v>
      </c>
      <c r="K7" s="460">
        <f>Water!E9</f>
        <v>516.19999999999993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646.69999999999993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375.08599999999996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8139524</v>
      </c>
      <c r="AH7" s="464">
        <f>Gas!C9</f>
        <v>737.76</v>
      </c>
      <c r="AI7" s="465" t="e">
        <f>Gas!#REF!</f>
        <v>#REF!</v>
      </c>
      <c r="AJ7" s="466">
        <f>Gas!J9</f>
        <v>374.4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212</v>
      </c>
      <c r="AU7" s="460">
        <f>Elect!BP8</f>
        <v>114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489520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3.0219626168224294</v>
      </c>
      <c r="BN7" s="477" t="e">
        <f>Water!W9</f>
        <v>#DIV/0!</v>
      </c>
      <c r="BO7" s="472">
        <f>Water!X9</f>
        <v>2586.7999999999997</v>
      </c>
      <c r="BP7" s="477">
        <f>Water!Y9</f>
        <v>12.087850467289718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5586</v>
      </c>
      <c r="D8" s="461">
        <v>0</v>
      </c>
      <c r="E8" s="460">
        <f>Elect!M9</f>
        <v>2059</v>
      </c>
      <c r="F8" s="461">
        <v>20</v>
      </c>
      <c r="G8" s="460">
        <f>Elect!O9</f>
        <v>1425</v>
      </c>
      <c r="H8" s="461">
        <v>786</v>
      </c>
      <c r="I8" s="460">
        <f>Water!C10</f>
        <v>0</v>
      </c>
      <c r="J8" s="461">
        <v>0</v>
      </c>
      <c r="K8" s="460">
        <f>Water!E10</f>
        <v>806.19999999999993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937.28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543.62239999999997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8140293</v>
      </c>
      <c r="AH8" s="464">
        <f>Gas!C10</f>
        <v>815.14</v>
      </c>
      <c r="AI8" s="465" t="e">
        <f>Gas!#REF!</f>
        <v>#REF!</v>
      </c>
      <c r="AJ8" s="466">
        <f>Gas!J10</f>
        <v>370.5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205</v>
      </c>
      <c r="AU8" s="460">
        <f>Elect!BP9</f>
        <v>110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489725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4.2219819819819815</v>
      </c>
      <c r="BN8" s="477" t="e">
        <f>Water!W10</f>
        <v>#DIV/0!</v>
      </c>
      <c r="BO8" s="472">
        <f>Water!X10</f>
        <v>3749.12</v>
      </c>
      <c r="BP8" s="477">
        <f>Water!Y10</f>
        <v>16.887927927927926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5913</v>
      </c>
      <c r="D9" s="461">
        <v>0</v>
      </c>
      <c r="E9" s="460">
        <f>Elect!M10</f>
        <v>2142</v>
      </c>
      <c r="F9" s="461">
        <v>20</v>
      </c>
      <c r="G9" s="460">
        <f>Elect!O10</f>
        <v>1547</v>
      </c>
      <c r="H9" s="461">
        <v>789</v>
      </c>
      <c r="I9" s="460">
        <f>Water!C11</f>
        <v>0</v>
      </c>
      <c r="J9" s="461">
        <v>0</v>
      </c>
      <c r="K9" s="460">
        <f>Water!E11</f>
        <v>922.19999999999993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1013.8399999999999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588.02719999999988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8141005</v>
      </c>
      <c r="AH9" s="464">
        <f>Gas!C11</f>
        <v>754.72</v>
      </c>
      <c r="AI9" s="465" t="e">
        <f>Gas!#REF!</f>
        <v>#REF!</v>
      </c>
      <c r="AJ9" s="466">
        <f>Gas!J11</f>
        <v>374.4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211</v>
      </c>
      <c r="AU9" s="460">
        <f>Elect!BP10</f>
        <v>127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489936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4.3889177489177484</v>
      </c>
      <c r="BN9" s="477" t="e">
        <f>Water!W11</f>
        <v>#DIV/0!</v>
      </c>
      <c r="BO9" s="472">
        <f>Water!X11</f>
        <v>4055.3599999999997</v>
      </c>
      <c r="BP9" s="477">
        <f>Water!Y11</f>
        <v>17.555670995670994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5933</v>
      </c>
      <c r="D10" s="461">
        <v>0</v>
      </c>
      <c r="E10" s="460">
        <f>Elect!M11</f>
        <v>2129</v>
      </c>
      <c r="F10" s="461">
        <v>20</v>
      </c>
      <c r="G10" s="460">
        <f>Elect!O11</f>
        <v>1558</v>
      </c>
      <c r="H10" s="461">
        <v>805</v>
      </c>
      <c r="I10" s="460">
        <f>Water!C12</f>
        <v>0</v>
      </c>
      <c r="J10" s="461">
        <v>0</v>
      </c>
      <c r="K10" s="460">
        <f>Water!E12</f>
        <v>440.79999999999995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543.45999999999992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315.20679999999993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8141184</v>
      </c>
      <c r="AH10" s="464">
        <f>Gas!C12</f>
        <v>189.74</v>
      </c>
      <c r="AI10" s="465" t="e">
        <f>Gas!#REF!</f>
        <v>#REF!</v>
      </c>
      <c r="AJ10" s="466">
        <f>Gas!J12</f>
        <v>362.7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200</v>
      </c>
      <c r="AU10" s="460">
        <f>Elect!BP11</f>
        <v>110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490136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2.4046902654867255</v>
      </c>
      <c r="BN10" s="477" t="e">
        <f>Water!W12</f>
        <v>#DIV/0!</v>
      </c>
      <c r="BO10" s="472">
        <f>Water!X12</f>
        <v>2173.8399999999997</v>
      </c>
      <c r="BP10" s="477">
        <f>Water!Y12</f>
        <v>9.6187610619469019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5895</v>
      </c>
      <c r="D11" s="461">
        <v>0</v>
      </c>
      <c r="E11" s="460">
        <f>Elect!M12</f>
        <v>2092</v>
      </c>
      <c r="F11" s="461">
        <v>20</v>
      </c>
      <c r="G11" s="460">
        <f>Elect!O12</f>
        <v>1458</v>
      </c>
      <c r="H11" s="461">
        <v>871</v>
      </c>
      <c r="I11" s="460">
        <f>Water!C13</f>
        <v>0</v>
      </c>
      <c r="J11" s="461">
        <v>0</v>
      </c>
      <c r="K11" s="460">
        <f>Water!E13</f>
        <v>440.79999999999995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534.76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310.16079999999999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8142045</v>
      </c>
      <c r="AH11" s="464">
        <f>Gas!C13</f>
        <v>912.66000000000008</v>
      </c>
      <c r="AI11" s="465" t="e">
        <f>Gas!#REF!</f>
        <v>#REF!</v>
      </c>
      <c r="AJ11" s="466">
        <f>Gas!J13</f>
        <v>388.7000000012107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194</v>
      </c>
      <c r="AU11" s="460">
        <f>Elect!BP12</f>
        <v>120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490330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2.8596791443850269</v>
      </c>
      <c r="BN11" s="477" t="e">
        <f>Water!W13</f>
        <v>#DIV/0!</v>
      </c>
      <c r="BO11" s="472">
        <f>Water!X13</f>
        <v>2139.04</v>
      </c>
      <c r="BP11" s="477">
        <f>Water!Y13</f>
        <v>11.438716577540108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5447</v>
      </c>
      <c r="D12" s="461">
        <v>0</v>
      </c>
      <c r="E12" s="460">
        <f>Elect!M13</f>
        <v>1954</v>
      </c>
      <c r="F12" s="461">
        <v>20</v>
      </c>
      <c r="G12" s="460">
        <f>Elect!O13</f>
        <v>1384</v>
      </c>
      <c r="H12" s="461">
        <v>963</v>
      </c>
      <c r="I12" s="460">
        <f>Water!C14</f>
        <v>0</v>
      </c>
      <c r="J12" s="461">
        <v>0</v>
      </c>
      <c r="K12" s="460">
        <f>Water!E14</f>
        <v>562.59999999999991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694.83999999999992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403.0071999999999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8142873</v>
      </c>
      <c r="AH12" s="464">
        <f>Gas!C14</f>
        <v>877.68000000000006</v>
      </c>
      <c r="AI12" s="465" t="e">
        <f>Gas!#REF!</f>
        <v>#REF!</v>
      </c>
      <c r="AJ12" s="466">
        <f>Gas!J14</f>
        <v>406.89999999878927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210</v>
      </c>
      <c r="AU12" s="460">
        <f>Elect!BP13</f>
        <v>118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490540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4.0164161849710975</v>
      </c>
      <c r="BN12" s="477" t="e">
        <f>Water!W14</f>
        <v>#DIV/0!</v>
      </c>
      <c r="BO12" s="472">
        <f>Water!X14</f>
        <v>2779.3599999999997</v>
      </c>
      <c r="BP12" s="477">
        <f>Water!Y14</f>
        <v>16.06566473988439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5774</v>
      </c>
      <c r="D13" s="461">
        <v>0</v>
      </c>
      <c r="E13" s="460">
        <f>Elect!M14</f>
        <v>2060</v>
      </c>
      <c r="F13" s="461">
        <v>20</v>
      </c>
      <c r="G13" s="460">
        <f>Elect!O14</f>
        <v>1452</v>
      </c>
      <c r="H13" s="461">
        <v>790</v>
      </c>
      <c r="I13" s="460">
        <f>Water!C15</f>
        <v>0</v>
      </c>
      <c r="J13" s="461">
        <v>0</v>
      </c>
      <c r="K13" s="460">
        <f>Water!E15</f>
        <v>522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677.44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392.91520000000003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8143449</v>
      </c>
      <c r="AH13" s="464">
        <f>Gas!C15</f>
        <v>610.56000000000006</v>
      </c>
      <c r="AI13" s="465" t="e">
        <f>Gas!#REF!</f>
        <v>#REF!</v>
      </c>
      <c r="AJ13" s="466">
        <f>Gas!J15</f>
        <v>354.9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208</v>
      </c>
      <c r="AU13" s="460">
        <f>Elect!BP14</f>
        <v>107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490748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3.9849411764705884</v>
      </c>
      <c r="BN13" s="477" t="e">
        <f>Water!W15</f>
        <v>#DIV/0!</v>
      </c>
      <c r="BO13" s="472">
        <f>Water!X15</f>
        <v>2709.76</v>
      </c>
      <c r="BP13" s="477">
        <f>Water!Y15</f>
        <v>15.939764705882354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5674</v>
      </c>
      <c r="D14" s="461">
        <v>0</v>
      </c>
      <c r="E14" s="460">
        <f>Elect!M15</f>
        <v>2197</v>
      </c>
      <c r="F14" s="461">
        <v>20</v>
      </c>
      <c r="G14" s="460">
        <f>Elect!O15</f>
        <v>1477</v>
      </c>
      <c r="H14" s="461">
        <v>792</v>
      </c>
      <c r="I14" s="460">
        <f>Water!C16</f>
        <v>0</v>
      </c>
      <c r="J14" s="461">
        <v>0</v>
      </c>
      <c r="K14" s="460">
        <f>Water!E16</f>
        <v>458.2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501.7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290.98599999999999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8144110</v>
      </c>
      <c r="AH14" s="464">
        <f>Gas!C16</f>
        <v>700.66000000000008</v>
      </c>
      <c r="AI14" s="465" t="e">
        <f>Gas!#REF!</f>
        <v>#REF!</v>
      </c>
      <c r="AJ14" s="466">
        <f>Gas!J16</f>
        <v>354.9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218</v>
      </c>
      <c r="AU14" s="460">
        <f>Elect!BP15</f>
        <v>110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490966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2.9339181286549705</v>
      </c>
      <c r="BN14" s="477" t="e">
        <f>Water!W16</f>
        <v>#DIV/0!</v>
      </c>
      <c r="BO14" s="472">
        <f>Water!X16</f>
        <v>2006.8</v>
      </c>
      <c r="BP14" s="477">
        <f>Water!Y16</f>
        <v>11.735672514619882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5894</v>
      </c>
      <c r="D15" s="461">
        <v>0</v>
      </c>
      <c r="E15" s="460">
        <f>Elect!M16</f>
        <v>2293</v>
      </c>
      <c r="F15" s="461">
        <v>20</v>
      </c>
      <c r="G15" s="460">
        <f>Elect!O16</f>
        <v>1563</v>
      </c>
      <c r="H15" s="461">
        <v>817</v>
      </c>
      <c r="I15" s="460">
        <f>Water!C17</f>
        <v>0</v>
      </c>
      <c r="J15" s="461">
        <v>0</v>
      </c>
      <c r="K15" s="460">
        <f>Water!E17</f>
        <v>492.99999999999994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512.14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297.04119999999995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700.66000000000008</v>
      </c>
      <c r="AI15" s="465" t="e">
        <f>Gas!#REF!</f>
        <v>#REF!</v>
      </c>
      <c r="AJ15" s="466">
        <f>Gas!J17</f>
        <v>354.9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205</v>
      </c>
      <c r="AU15" s="460">
        <f>Elect!BP16</f>
        <v>111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491171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2.9098863636363634</v>
      </c>
      <c r="BN15" s="477" t="e">
        <f>Water!W17</f>
        <v>#DIV/0!</v>
      </c>
      <c r="BO15" s="472">
        <f>Water!X17</f>
        <v>2048.56</v>
      </c>
      <c r="BP15" s="477">
        <f>Water!Y17</f>
        <v>11.639545454545454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5756</v>
      </c>
      <c r="D16" s="461">
        <v>0</v>
      </c>
      <c r="E16" s="460">
        <f>Elect!M17</f>
        <v>2107</v>
      </c>
      <c r="F16" s="461">
        <v>20</v>
      </c>
      <c r="G16" s="460">
        <f>Elect!O17</f>
        <v>1333</v>
      </c>
      <c r="H16" s="461">
        <v>907</v>
      </c>
      <c r="I16" s="460">
        <f>Water!C18</f>
        <v>0</v>
      </c>
      <c r="J16" s="461">
        <v>0</v>
      </c>
      <c r="K16" s="460">
        <f>Water!E18</f>
        <v>492.99999999999994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537.07999999999993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311.50639999999993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8145432</v>
      </c>
      <c r="AH16" s="464">
        <f>Gas!C18</f>
        <v>700.66000000000008</v>
      </c>
      <c r="AI16" s="465" t="e">
        <f>Gas!#REF!</f>
        <v>#REF!</v>
      </c>
      <c r="AJ16" s="466">
        <f>Gas!J18</f>
        <v>354.9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211</v>
      </c>
      <c r="AU16" s="460">
        <f>Elect!BP17</f>
        <v>116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491382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2.6853999999999996</v>
      </c>
      <c r="BN16" s="477" t="e">
        <f>Water!W18</f>
        <v>#DIV/0!</v>
      </c>
      <c r="BO16" s="472">
        <f>Water!X18</f>
        <v>2148.3199999999997</v>
      </c>
      <c r="BP16" s="477">
        <f>Water!Y18</f>
        <v>10.741599999999998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5391</v>
      </c>
      <c r="D17" s="461">
        <v>0</v>
      </c>
      <c r="E17" s="460">
        <f>Elect!M18</f>
        <v>2046</v>
      </c>
      <c r="F17" s="461">
        <v>20</v>
      </c>
      <c r="G17" s="460">
        <f>Elect!O18</f>
        <v>1327</v>
      </c>
      <c r="H17" s="461">
        <v>812</v>
      </c>
      <c r="I17" s="460">
        <f>Water!C19</f>
        <v>0</v>
      </c>
      <c r="J17" s="461">
        <v>0</v>
      </c>
      <c r="K17" s="460">
        <f>Water!E19</f>
        <v>492.99999999999994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498.79999999999995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289.30399999999997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8146092</v>
      </c>
      <c r="AH17" s="464">
        <f>Gas!C19</f>
        <v>699.6</v>
      </c>
      <c r="AI17" s="465" t="e">
        <f>Gas!#REF!</f>
        <v>#REF!</v>
      </c>
      <c r="AJ17" s="466">
        <f>Gas!J19</f>
        <v>354.9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201</v>
      </c>
      <c r="AU17" s="460">
        <f>Elect!BP18</f>
        <v>102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491583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2.6817204301075268</v>
      </c>
      <c r="BN17" s="477" t="e">
        <f>Water!W19</f>
        <v>#DIV/0!</v>
      </c>
      <c r="BO17" s="472">
        <f>Water!X19</f>
        <v>1995.1999999999998</v>
      </c>
      <c r="BP17" s="477">
        <f>Water!Y19</f>
        <v>10.726881720430107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5236</v>
      </c>
      <c r="D18" s="461">
        <v>0</v>
      </c>
      <c r="E18" s="460">
        <f>Elect!M19</f>
        <v>2127</v>
      </c>
      <c r="F18" s="461">
        <v>30</v>
      </c>
      <c r="G18" s="460">
        <f>Elect!O19</f>
        <v>1408</v>
      </c>
      <c r="H18" s="461">
        <v>810</v>
      </c>
      <c r="I18" s="460">
        <f>Water!C20</f>
        <v>0</v>
      </c>
      <c r="J18" s="461">
        <v>0</v>
      </c>
      <c r="K18" s="460">
        <f>Water!E20</f>
        <v>492.99999999999994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492.99999999999994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285.93999999999994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8146793</v>
      </c>
      <c r="AH18" s="464">
        <f>Gas!C20</f>
        <v>743.06000000000006</v>
      </c>
      <c r="AI18" s="465" t="e">
        <f>Gas!#REF!</f>
        <v>#REF!</v>
      </c>
      <c r="AJ18" s="466">
        <f>Gas!J20</f>
        <v>354.9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206</v>
      </c>
      <c r="AU18" s="460">
        <f>Elect!BP19</f>
        <v>105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489100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3.0621118012422355</v>
      </c>
      <c r="BN18" s="477" t="e">
        <f>Water!W20</f>
        <v>#DIV/0!</v>
      </c>
      <c r="BO18" s="472">
        <f>Water!X20</f>
        <v>1971.9999999999998</v>
      </c>
      <c r="BP18" s="477">
        <f>Water!Y20</f>
        <v>12.248447204968942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5182</v>
      </c>
      <c r="D19" s="461">
        <v>0</v>
      </c>
      <c r="E19" s="460">
        <f>Elect!M20</f>
        <v>1978</v>
      </c>
      <c r="F19" s="461">
        <v>20</v>
      </c>
      <c r="G19" s="460">
        <f>Elect!O20</f>
        <v>1339</v>
      </c>
      <c r="H19" s="461">
        <v>841</v>
      </c>
      <c r="I19" s="460">
        <f>Water!C21</f>
        <v>0</v>
      </c>
      <c r="J19" s="461">
        <v>0</v>
      </c>
      <c r="K19" s="460">
        <f>Water!E21</f>
        <v>800.4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800.4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464.23199999999997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8147951</v>
      </c>
      <c r="AH19" s="464">
        <f>Gas!C21</f>
        <v>1227.48</v>
      </c>
      <c r="AI19" s="465" t="e">
        <f>Gas!#REF!</f>
        <v>#REF!</v>
      </c>
      <c r="AJ19" s="466">
        <f>Gas!J21</f>
        <v>386.09999999999997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205</v>
      </c>
      <c r="AU19" s="460">
        <f>Elect!BP20</f>
        <v>111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491994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5.8423357664233571</v>
      </c>
      <c r="BN19" s="477" t="e">
        <f>Water!W21</f>
        <v>#DIV/0!</v>
      </c>
      <c r="BO19" s="472">
        <f>Water!X21</f>
        <v>3201.6</v>
      </c>
      <c r="BP19" s="477">
        <f>Water!Y21</f>
        <v>23.369343065693428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5035</v>
      </c>
      <c r="D20" s="461">
        <v>0</v>
      </c>
      <c r="E20" s="460">
        <f>Elect!M21</f>
        <v>2015</v>
      </c>
      <c r="F20" s="461">
        <v>20</v>
      </c>
      <c r="G20" s="460">
        <f>Elect!O21</f>
        <v>1392</v>
      </c>
      <c r="H20" s="461">
        <v>932</v>
      </c>
      <c r="I20" s="460">
        <f>Water!C22</f>
        <v>0</v>
      </c>
      <c r="J20" s="461">
        <v>0</v>
      </c>
      <c r="K20" s="460">
        <f>Water!E22</f>
        <v>545.19999999999993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545.19999999999993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316.21599999999995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8148630</v>
      </c>
      <c r="AH20" s="464">
        <f>Gas!C22</f>
        <v>719.74</v>
      </c>
      <c r="AI20" s="465" t="e">
        <f>Gas!#REF!</f>
        <v>#REF!</v>
      </c>
      <c r="AJ20" s="466">
        <f>Gas!J22</f>
        <v>440.7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0</v>
      </c>
      <c r="AU20" s="460">
        <f>Elect!BP21</f>
        <v>0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491994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4.0992481203007518</v>
      </c>
      <c r="BN20" s="477" t="e">
        <f>Water!W22</f>
        <v>#DIV/0!</v>
      </c>
      <c r="BO20" s="472">
        <f>Water!X22</f>
        <v>2180.7999999999997</v>
      </c>
      <c r="BP20" s="477">
        <f>Water!Y22</f>
        <v>16.396992481203007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5693</v>
      </c>
      <c r="D21" s="461">
        <v>0</v>
      </c>
      <c r="E21" s="460">
        <f>Elect!M22</f>
        <v>2071</v>
      </c>
      <c r="F21" s="461">
        <v>20</v>
      </c>
      <c r="G21" s="460">
        <f>Elect!O22</f>
        <v>1598</v>
      </c>
      <c r="H21" s="461">
        <v>972</v>
      </c>
      <c r="I21" s="460">
        <f>Water!C23</f>
        <v>0</v>
      </c>
      <c r="J21" s="461">
        <v>0</v>
      </c>
      <c r="K21" s="460">
        <f>Water!E23</f>
        <v>533.59999999999991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551.57999999999993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319.91639999999995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8149089</v>
      </c>
      <c r="AH21" s="464">
        <f>Gas!C23</f>
        <v>486.54</v>
      </c>
      <c r="AI21" s="465" t="e">
        <f>Gas!#REF!</f>
        <v>#REF!</v>
      </c>
      <c r="AJ21" s="466">
        <f>Gas!J23</f>
        <v>327.59999999999997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205</v>
      </c>
      <c r="AU21" s="460">
        <f>Elect!BP22</f>
        <v>116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4.3431496062992121</v>
      </c>
      <c r="BN21" s="477" t="e">
        <f>Water!W23</f>
        <v>#DIV/0!</v>
      </c>
      <c r="BO21" s="472">
        <f>Water!X23</f>
        <v>2206.3199999999997</v>
      </c>
      <c r="BP21" s="477">
        <f>Water!Y23</f>
        <v>17.372598425196848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5572</v>
      </c>
      <c r="D22" s="461">
        <v>0</v>
      </c>
      <c r="E22" s="460">
        <f>Elect!M23</f>
        <v>2057</v>
      </c>
      <c r="F22" s="461">
        <v>20</v>
      </c>
      <c r="G22" s="460">
        <f>Elect!O23</f>
        <v>1501</v>
      </c>
      <c r="H22" s="461">
        <v>864</v>
      </c>
      <c r="I22" s="460">
        <f>Water!C24</f>
        <v>0</v>
      </c>
      <c r="J22" s="461">
        <v>0</v>
      </c>
      <c r="K22" s="460">
        <f>Water!E24</f>
        <v>556.79999999999995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556.79999999999995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322.94399999999996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8149791</v>
      </c>
      <c r="AH22" s="464">
        <f>Gas!C24</f>
        <v>744.12</v>
      </c>
      <c r="AI22" s="465" t="e">
        <f>Gas!#REF!</f>
        <v>#REF!</v>
      </c>
      <c r="AJ22" s="466">
        <f>Gas!J24</f>
        <v>370.5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207</v>
      </c>
      <c r="AU22" s="460">
        <f>Elect!BP23</f>
        <v>116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492406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3.5240506329113921</v>
      </c>
      <c r="BN22" s="477" t="e">
        <f>Water!W24</f>
        <v>#DIV/0!</v>
      </c>
      <c r="BO22" s="472">
        <f>Water!X24</f>
        <v>2227.1999999999998</v>
      </c>
      <c r="BP22" s="477">
        <f>Water!Y24</f>
        <v>14.096202531645568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4835</v>
      </c>
      <c r="D23" s="461">
        <v>0</v>
      </c>
      <c r="E23" s="460">
        <f>Elect!M24</f>
        <v>2119</v>
      </c>
      <c r="F23" s="461">
        <v>30</v>
      </c>
      <c r="G23" s="460">
        <f>Elect!O24</f>
        <v>1344</v>
      </c>
      <c r="H23" s="461">
        <v>894</v>
      </c>
      <c r="I23" s="460">
        <f>Water!C25</f>
        <v>0</v>
      </c>
      <c r="J23" s="461">
        <v>0</v>
      </c>
      <c r="K23" s="460">
        <f>Water!E25</f>
        <v>551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551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319.58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8150493</v>
      </c>
      <c r="AH23" s="464">
        <f>Gas!C25</f>
        <v>744.12</v>
      </c>
      <c r="AI23" s="465" t="e">
        <f>Gas!#REF!</f>
        <v>#REF!</v>
      </c>
      <c r="AJ23" s="466">
        <f>Gas!J25</f>
        <v>370.5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206</v>
      </c>
      <c r="AU23" s="460">
        <f>Elect!BP24</f>
        <v>122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492612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3.3597560975609757</v>
      </c>
      <c r="BN23" s="477" t="e">
        <f>Water!W25</f>
        <v>#DIV/0!</v>
      </c>
      <c r="BO23" s="472">
        <f>Water!X25</f>
        <v>2204</v>
      </c>
      <c r="BP23" s="477">
        <f>Water!Y25</f>
        <v>13.439024390243903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5429</v>
      </c>
      <c r="D24" s="461">
        <v>0</v>
      </c>
      <c r="E24" s="460">
        <f>Elect!M25</f>
        <v>2128</v>
      </c>
      <c r="F24" s="461">
        <v>20</v>
      </c>
      <c r="G24" s="460">
        <f>Elect!O25</f>
        <v>1383.0363636360271</v>
      </c>
      <c r="H24" s="461">
        <v>944</v>
      </c>
      <c r="I24" s="460">
        <f>Water!C26</f>
        <v>0</v>
      </c>
      <c r="J24" s="461">
        <v>0</v>
      </c>
      <c r="K24" s="460">
        <f>Water!E26</f>
        <v>423.4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423.4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245.57199999999997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8151325</v>
      </c>
      <c r="AH24" s="464">
        <f>Gas!C26</f>
        <v>881.92000000000007</v>
      </c>
      <c r="AI24" s="465" t="e">
        <f>Gas!#REF!</f>
        <v>#REF!</v>
      </c>
      <c r="AJ24" s="466">
        <f>Gas!J26</f>
        <v>300.3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186</v>
      </c>
      <c r="AU24" s="460">
        <f>Elect!BP25</f>
        <v>117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492798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2.6298136645962731</v>
      </c>
      <c r="BN24" s="477" t="e">
        <f>Water!W26</f>
        <v>#DIV/0!</v>
      </c>
      <c r="BO24" s="472">
        <f>Water!X26</f>
        <v>1693.6</v>
      </c>
      <c r="BP24" s="477">
        <f>Water!Y26</f>
        <v>10.519254658385092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4731</v>
      </c>
      <c r="D25" s="461">
        <v>0</v>
      </c>
      <c r="E25" s="460">
        <f>Elect!M26</f>
        <v>1702</v>
      </c>
      <c r="F25" s="461">
        <v>20</v>
      </c>
      <c r="G25" s="460">
        <f>Elect!O26</f>
        <v>1307.9636363639729</v>
      </c>
      <c r="H25" s="461">
        <v>916</v>
      </c>
      <c r="I25" s="460">
        <f>Water!C27</f>
        <v>0</v>
      </c>
      <c r="J25" s="461">
        <v>0</v>
      </c>
      <c r="K25" s="460">
        <f>Water!E27</f>
        <v>545.19999999999993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545.19999999999993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316.21599999999995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8151897</v>
      </c>
      <c r="AH25" s="464">
        <f>Gas!C27</f>
        <v>606.32000000000005</v>
      </c>
      <c r="AI25" s="465" t="e">
        <f>Gas!#REF!</f>
        <v>#REF!</v>
      </c>
      <c r="AJ25" s="466">
        <f>Gas!J27</f>
        <v>425.09999999999997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190</v>
      </c>
      <c r="AU25" s="460">
        <f>Elect!BP26</f>
        <v>115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492988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3.6590604026845632</v>
      </c>
      <c r="BN25" s="477" t="e">
        <f>Water!W27</f>
        <v>#DIV/0!</v>
      </c>
      <c r="BO25" s="472">
        <f>Water!X27</f>
        <v>2180.7999999999997</v>
      </c>
      <c r="BP25" s="477">
        <f>Water!Y27</f>
        <v>14.636241610738253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4792</v>
      </c>
      <c r="D26" s="461">
        <v>0</v>
      </c>
      <c r="E26" s="460">
        <f>Elect!M27</f>
        <v>2011</v>
      </c>
      <c r="F26" s="461">
        <v>20</v>
      </c>
      <c r="G26" s="460">
        <f>Elect!O27</f>
        <v>1505</v>
      </c>
      <c r="H26" s="461">
        <v>931</v>
      </c>
      <c r="I26" s="460">
        <f>Water!C28</f>
        <v>0</v>
      </c>
      <c r="J26" s="461">
        <v>0</v>
      </c>
      <c r="K26" s="460">
        <f>Water!E28</f>
        <v>551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551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319.58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8152593</v>
      </c>
      <c r="AH26" s="464">
        <f>Gas!C28</f>
        <v>737.76</v>
      </c>
      <c r="AI26" s="465" t="e">
        <f>Gas!#REF!</f>
        <v>#REF!</v>
      </c>
      <c r="AJ26" s="466">
        <f>Gas!J28</f>
        <v>370.5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211</v>
      </c>
      <c r="AU26" s="460">
        <f>Elect!BP27</f>
        <v>128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493199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3.6979865771812079</v>
      </c>
      <c r="BN26" s="477" t="e">
        <f>Water!W28</f>
        <v>#DIV/0!</v>
      </c>
      <c r="BO26" s="472">
        <f>Water!X28</f>
        <v>2204</v>
      </c>
      <c r="BP26" s="477">
        <f>Water!Y28</f>
        <v>14.791946308724832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4870</v>
      </c>
      <c r="D27" s="461">
        <v>0</v>
      </c>
      <c r="E27" s="460">
        <f>Elect!M28</f>
        <v>1931</v>
      </c>
      <c r="F27" s="461">
        <v>30</v>
      </c>
      <c r="G27" s="460">
        <f>Elect!O28</f>
        <v>1415</v>
      </c>
      <c r="H27" s="461">
        <v>1009</v>
      </c>
      <c r="I27" s="460">
        <f>Water!C29</f>
        <v>0</v>
      </c>
      <c r="J27" s="461">
        <v>0</v>
      </c>
      <c r="K27" s="460">
        <f>Water!E29</f>
        <v>168.2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168.2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97.555999999999983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8153727</v>
      </c>
      <c r="AH27" s="464">
        <f>Gas!C29</f>
        <v>1202.04</v>
      </c>
      <c r="AI27" s="465" t="e">
        <f>Gas!#REF!</f>
        <v>#REF!</v>
      </c>
      <c r="AJ27" s="466">
        <f>Gas!J29</f>
        <v>319.8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0</v>
      </c>
      <c r="AU27" s="460">
        <f>Elect!BP28</f>
        <v>0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493199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1.1288590604026845</v>
      </c>
      <c r="BN27" s="477" t="e">
        <f>Water!W29</f>
        <v>#DIV/0!</v>
      </c>
      <c r="BO27" s="472">
        <f>Water!X29</f>
        <v>672.8</v>
      </c>
      <c r="BP27" s="477">
        <f>Water!Y29</f>
        <v>4.5154362416107379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5583</v>
      </c>
      <c r="D28" s="461">
        <v>0</v>
      </c>
      <c r="E28" s="460">
        <f>Elect!M29</f>
        <v>1960</v>
      </c>
      <c r="F28" s="461">
        <v>20</v>
      </c>
      <c r="G28" s="460">
        <f>Elect!O29</f>
        <v>1436</v>
      </c>
      <c r="H28" s="461">
        <v>891</v>
      </c>
      <c r="I28" s="460">
        <f>Water!C30</f>
        <v>0</v>
      </c>
      <c r="J28" s="461">
        <v>0</v>
      </c>
      <c r="K28" s="460">
        <f>Water!E30</f>
        <v>359.59999999999997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359.59999999999997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208.56799999999996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8154396</v>
      </c>
      <c r="AH28" s="464">
        <f>Gas!C30</f>
        <v>709.14</v>
      </c>
      <c r="AI28" s="465" t="e">
        <f>Gas!#REF!</f>
        <v>#REF!</v>
      </c>
      <c r="AJ28" s="466">
        <f>Gas!J30</f>
        <v>393.9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199</v>
      </c>
      <c r="AU28" s="460">
        <f>Elect!BP29</f>
        <v>119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493398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2.5870503597122299</v>
      </c>
      <c r="BN28" s="477" t="e">
        <f>Water!W30</f>
        <v>#DIV/0!</v>
      </c>
      <c r="BO28" s="472">
        <f>Water!X30</f>
        <v>1438.3999999999999</v>
      </c>
      <c r="BP28" s="477">
        <f>Water!Y30</f>
        <v>10.348201438848919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5349</v>
      </c>
      <c r="D29" s="461">
        <v>0</v>
      </c>
      <c r="E29" s="460">
        <f>Elect!M30</f>
        <v>1993</v>
      </c>
      <c r="F29" s="461">
        <v>20</v>
      </c>
      <c r="G29" s="460">
        <f>Elect!O30</f>
        <v>1508</v>
      </c>
      <c r="H29" s="461">
        <v>1008</v>
      </c>
      <c r="I29" s="460">
        <f>Water!C31</f>
        <v>0</v>
      </c>
      <c r="J29" s="461">
        <v>0</v>
      </c>
      <c r="K29" s="460">
        <f>Water!E31</f>
        <v>295.79999999999995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295.79999999999995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171.56399999999996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8154783</v>
      </c>
      <c r="AH29" s="464">
        <f>Gas!C31</f>
        <v>410.22</v>
      </c>
      <c r="AI29" s="465" t="e">
        <f>Gas!#REF!</f>
        <v>#REF!</v>
      </c>
      <c r="AJ29" s="466">
        <f>Gas!J31</f>
        <v>370.5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173</v>
      </c>
      <c r="AU29" s="460">
        <f>Elect!BP30</f>
        <v>107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493571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1.6711864406779657</v>
      </c>
      <c r="BN29" s="477" t="e">
        <f>Water!W31</f>
        <v>#DIV/0!</v>
      </c>
      <c r="BO29" s="472">
        <f>Water!X31</f>
        <v>1183.1999999999998</v>
      </c>
      <c r="BP29" s="477">
        <f>Water!Y31</f>
        <v>6.6847457627118629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4762</v>
      </c>
      <c r="D30" s="461">
        <v>0</v>
      </c>
      <c r="E30" s="460">
        <f>Elect!M31</f>
        <v>1980</v>
      </c>
      <c r="F30" s="461">
        <v>20</v>
      </c>
      <c r="G30" s="460">
        <f>Elect!O31</f>
        <v>1529</v>
      </c>
      <c r="H30" s="461">
        <v>760</v>
      </c>
      <c r="I30" s="460">
        <f>Water!C32</f>
        <v>0</v>
      </c>
      <c r="J30" s="461">
        <v>0</v>
      </c>
      <c r="K30" s="460">
        <f>Water!E32</f>
        <v>179.79999999999998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179.79999999999998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104.28399999999998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8155484</v>
      </c>
      <c r="AH30" s="464">
        <f>Gas!C32</f>
        <v>743.06000000000006</v>
      </c>
      <c r="AI30" s="465" t="e">
        <f>Gas!#REF!</f>
        <v>#REF!</v>
      </c>
      <c r="AJ30" s="466">
        <f>Gas!J32</f>
        <v>366.59999999999997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205</v>
      </c>
      <c r="AU30" s="460">
        <f>Elect!BP31</f>
        <v>127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493776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0.99888888888888883</v>
      </c>
      <c r="BN30" s="477" t="e">
        <f>Water!W32</f>
        <v>#DIV/0!</v>
      </c>
      <c r="BO30" s="472">
        <f>Water!X32</f>
        <v>719.19999999999993</v>
      </c>
      <c r="BP30" s="477">
        <f>Water!Y32</f>
        <v>3.9955555555555553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3915</v>
      </c>
      <c r="D31" s="461">
        <v>0</v>
      </c>
      <c r="E31" s="460">
        <f>Elect!M32</f>
        <v>2027</v>
      </c>
      <c r="F31" s="461">
        <v>30</v>
      </c>
      <c r="G31" s="460">
        <f>Elect!O32</f>
        <v>1494</v>
      </c>
      <c r="H31" s="461">
        <v>1010</v>
      </c>
      <c r="I31" s="460">
        <f>Water!C33</f>
        <v>0</v>
      </c>
      <c r="J31" s="461">
        <v>0</v>
      </c>
      <c r="K31" s="460">
        <f>Water!E33</f>
        <v>133.39999999999998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133.39999999999998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77.371999999999986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8156186</v>
      </c>
      <c r="AH31" s="464">
        <f>Gas!C33</f>
        <v>744.12</v>
      </c>
      <c r="AI31" s="465" t="e">
        <f>Gas!#REF!</f>
        <v>#REF!</v>
      </c>
      <c r="AJ31" s="466">
        <f>Gas!J33</f>
        <v>370.5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153</v>
      </c>
      <c r="AU31" s="460">
        <f>Elect!BP32</f>
        <v>110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493929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0.63523809523809516</v>
      </c>
      <c r="BN31" s="477" t="e">
        <f>Water!W33</f>
        <v>#DIV/0!</v>
      </c>
      <c r="BO31" s="472">
        <f>Water!X33</f>
        <v>533.59999999999991</v>
      </c>
      <c r="BP31" s="477">
        <f>Water!Y33</f>
        <v>2.5409523809523806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2561</v>
      </c>
      <c r="D32" s="482">
        <v>0</v>
      </c>
      <c r="E32" s="481">
        <f>Elect!M33</f>
        <v>2144</v>
      </c>
      <c r="F32" s="482">
        <v>20</v>
      </c>
      <c r="G32" s="481">
        <f>Elect!O33</f>
        <v>1417</v>
      </c>
      <c r="H32" s="482">
        <v>1008</v>
      </c>
      <c r="I32" s="481">
        <f>Water!C34</f>
        <v>0</v>
      </c>
      <c r="J32" s="482">
        <v>0</v>
      </c>
      <c r="K32" s="481">
        <f>Water!E34</f>
        <v>145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145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84.1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8156887</v>
      </c>
      <c r="AH32" s="485">
        <f>Gas!C34</f>
        <v>743.06000000000006</v>
      </c>
      <c r="AI32" s="486" t="e">
        <f>Gas!#REF!</f>
        <v>#REF!</v>
      </c>
      <c r="AJ32" s="487">
        <f>Gas!J34</f>
        <v>366.59999999999997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239</v>
      </c>
      <c r="AU32" s="481">
        <f>Elect!BP33</f>
        <v>147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494168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0.8146067415730337</v>
      </c>
      <c r="BN32" s="498" t="e">
        <f>Water!W34</f>
        <v>#DIV/0!</v>
      </c>
      <c r="BO32" s="493">
        <f>Water!X34</f>
        <v>580</v>
      </c>
      <c r="BP32" s="498">
        <f>Water!Y34</f>
        <v>3.2584269662921348</v>
      </c>
      <c r="BQ32" s="499" t="e">
        <f>Water!Z34</f>
        <v>#DIV/0!</v>
      </c>
    </row>
    <row r="33" spans="1:98" s="521" customFormat="1" ht="72" customHeight="1">
      <c r="A33" s="443" t="s">
        <v>122</v>
      </c>
      <c r="B33" s="500">
        <v>931200</v>
      </c>
      <c r="C33" s="501">
        <f>Elect!J34</f>
        <v>3163</v>
      </c>
      <c r="D33" s="502">
        <v>0</v>
      </c>
      <c r="E33" s="501">
        <f>Elect!M34</f>
        <v>1339</v>
      </c>
      <c r="F33" s="502">
        <v>600</v>
      </c>
      <c r="G33" s="501">
        <f>Elect!O34</f>
        <v>1649</v>
      </c>
      <c r="H33" s="502">
        <v>24543</v>
      </c>
      <c r="I33" s="501">
        <f>Water!C38</f>
        <v>0</v>
      </c>
      <c r="J33" s="502">
        <v>0</v>
      </c>
      <c r="K33" s="501">
        <f>Water!E39</f>
        <v>450.27333333333331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14865.979999999998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8474.5887999999995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23862.720000000001</v>
      </c>
      <c r="AI33" s="506" t="e">
        <f>Gas!#REF!</f>
        <v>#REF!</v>
      </c>
      <c r="AJ33" s="507">
        <f>Gas!J38</f>
        <v>11688.300000000001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152</v>
      </c>
      <c r="AU33" s="506">
        <f>Elect!BP34</f>
        <v>94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494320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2.8230117736422327</v>
      </c>
      <c r="BN33" s="518" t="e">
        <f>Water!W38</f>
        <v>#DIV/0!</v>
      </c>
      <c r="BO33" s="513">
        <f>Water!X38</f>
        <v>59440.719999999994</v>
      </c>
      <c r="BP33" s="518">
        <f>Water!Y38</f>
        <v>11.287641473604253</v>
      </c>
      <c r="BQ33" s="519" t="e">
        <f>Water!Z38</f>
        <v>#DIV/0!</v>
      </c>
    </row>
    <row r="34" spans="1:98" s="523" customFormat="1" ht="72" customHeight="1" thickBot="1">
      <c r="A34" s="444" t="s">
        <v>123</v>
      </c>
      <c r="B34" s="500">
        <v>33257.142857142855</v>
      </c>
      <c r="C34" s="501">
        <f>Elect!J35</f>
        <v>4219</v>
      </c>
      <c r="D34" s="502">
        <v>0</v>
      </c>
      <c r="E34" s="501">
        <f>Elect!M35</f>
        <v>2686</v>
      </c>
      <c r="F34" s="502">
        <v>21.428571428571427</v>
      </c>
      <c r="G34" s="501">
        <f>Elect!O35</f>
        <v>1486</v>
      </c>
      <c r="H34" s="502">
        <v>876.53571428571433</v>
      </c>
      <c r="I34" s="501">
        <f>Water!C39</f>
        <v>0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495.53266666666661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282.48629333333332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795.42400000000009</v>
      </c>
      <c r="AI34" s="506" t="e">
        <f>Gas!#REF!</f>
        <v>#REF!</v>
      </c>
      <c r="AJ34" s="507">
        <f>Gas!J39</f>
        <v>389.61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177</v>
      </c>
      <c r="AU34" s="506">
        <f>Elect!BP35</f>
        <v>110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494497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2.8230117736422331</v>
      </c>
      <c r="BN34" s="518" t="e">
        <f>Water!W39</f>
        <v>#DIV/0!</v>
      </c>
      <c r="BO34" s="513">
        <f>Water!X39</f>
        <v>1981.3573333333331</v>
      </c>
      <c r="BP34" s="518">
        <f>Water!Y39</f>
        <v>11.287641473604253</v>
      </c>
      <c r="BQ34" s="519" t="e">
        <f>Water!Z39</f>
        <v>#DIV/0!</v>
      </c>
    </row>
    <row r="35" spans="1:98" s="523" customFormat="1" ht="72" customHeight="1">
      <c r="A35" s="445" t="s">
        <v>163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488874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164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165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166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167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168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210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211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19" t="s">
        <v>212</v>
      </c>
      <c r="B4" s="919"/>
      <c r="C4" s="919"/>
      <c r="D4" s="919"/>
      <c r="E4" s="919"/>
      <c r="F4" s="919"/>
      <c r="G4" s="108" t="str">
        <f>Elect!A1</f>
        <v>August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213</v>
      </c>
      <c r="B7" s="99" t="s">
        <v>214</v>
      </c>
      <c r="C7" s="99" t="s">
        <v>215</v>
      </c>
      <c r="D7" s="99" t="s">
        <v>214</v>
      </c>
      <c r="E7" s="99" t="s">
        <v>215</v>
      </c>
      <c r="F7" s="99" t="s">
        <v>216</v>
      </c>
      <c r="G7" s="100" t="s">
        <v>217</v>
      </c>
      <c r="H7" s="100" t="s">
        <v>218</v>
      </c>
      <c r="I7" s="99" t="s">
        <v>122</v>
      </c>
      <c r="J7" s="101" t="s">
        <v>122</v>
      </c>
    </row>
    <row r="8" spans="1:10" ht="13.5" thickBot="1">
      <c r="A8" s="102"/>
      <c r="B8" s="103" t="s">
        <v>219</v>
      </c>
      <c r="C8" s="103" t="s">
        <v>219</v>
      </c>
      <c r="D8" s="103" t="s">
        <v>220</v>
      </c>
      <c r="E8" s="103" t="s">
        <v>220</v>
      </c>
      <c r="F8" s="104" t="s">
        <v>221</v>
      </c>
      <c r="G8" s="103" t="s">
        <v>12</v>
      </c>
      <c r="H8" s="103"/>
      <c r="I8" s="104" t="s">
        <v>222</v>
      </c>
      <c r="J8" s="105" t="s">
        <v>223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224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224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20"/>
      <c r="B3" s="922" t="str">
        <f>Elect!A1</f>
        <v>August</v>
      </c>
      <c r="C3" s="923"/>
      <c r="D3" s="923"/>
      <c r="E3" s="924"/>
    </row>
    <row r="4" spans="1:5" ht="14.25" customHeight="1" thickBot="1">
      <c r="A4" s="921"/>
      <c r="B4" s="925" t="s">
        <v>12</v>
      </c>
      <c r="C4" s="926"/>
      <c r="D4" s="927" t="s">
        <v>225</v>
      </c>
      <c r="E4" s="928"/>
    </row>
    <row r="5" spans="1:5" ht="13.5" thickBot="1">
      <c r="A5" s="34" t="s">
        <v>226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227</v>
      </c>
      <c r="B6" s="38"/>
      <c r="C6" s="39"/>
      <c r="D6" s="40"/>
      <c r="E6" s="41"/>
    </row>
    <row r="7" spans="1:5" ht="13.5" thickBot="1">
      <c r="A7" s="117" t="s">
        <v>228</v>
      </c>
      <c r="B7" s="42"/>
      <c r="C7" s="43" t="s">
        <v>229</v>
      </c>
      <c r="D7" s="42" t="s">
        <v>229</v>
      </c>
      <c r="E7" s="43" t="s">
        <v>229</v>
      </c>
    </row>
    <row r="8" spans="1:5">
      <c r="A8" s="118" t="s">
        <v>230</v>
      </c>
      <c r="B8" s="42"/>
      <c r="C8" s="43" t="s">
        <v>229</v>
      </c>
      <c r="D8" s="44" t="s">
        <v>229</v>
      </c>
      <c r="E8" s="45" t="s">
        <v>229</v>
      </c>
    </row>
    <row r="9" spans="1:5" ht="13.5" thickBot="1">
      <c r="A9" s="118" t="s">
        <v>231</v>
      </c>
      <c r="B9" s="359"/>
      <c r="C9" s="360" t="s">
        <v>229</v>
      </c>
      <c r="D9" s="44" t="s">
        <v>229</v>
      </c>
      <c r="E9" s="45" t="s">
        <v>229</v>
      </c>
    </row>
    <row r="10" spans="1:5" ht="13.5" thickBot="1">
      <c r="A10" s="119" t="s">
        <v>232</v>
      </c>
      <c r="B10" s="76"/>
      <c r="C10" s="361"/>
      <c r="D10" s="48"/>
      <c r="E10" s="47"/>
    </row>
    <row r="11" spans="1:5" ht="13.5" thickBot="1">
      <c r="A11" s="362" t="s">
        <v>233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234</v>
      </c>
      <c r="B12" s="366"/>
      <c r="C12" s="366" t="s">
        <v>229</v>
      </c>
      <c r="D12" s="52">
        <v>0</v>
      </c>
      <c r="E12" s="53" t="e">
        <v>#REF!</v>
      </c>
    </row>
    <row r="13" spans="1:5" ht="13.5" thickBot="1">
      <c r="A13" s="120" t="s">
        <v>235</v>
      </c>
      <c r="B13" s="76"/>
      <c r="C13" s="77"/>
      <c r="D13" s="42" t="s">
        <v>229</v>
      </c>
      <c r="E13" s="43" t="s">
        <v>229</v>
      </c>
    </row>
    <row r="14" spans="1:5">
      <c r="A14" s="117" t="s">
        <v>236</v>
      </c>
      <c r="B14" s="42"/>
      <c r="C14" s="63" t="s">
        <v>229</v>
      </c>
      <c r="D14" s="55"/>
      <c r="E14" s="56"/>
    </row>
    <row r="15" spans="1:5" ht="13.5" thickBot="1">
      <c r="A15" s="118" t="s">
        <v>237</v>
      </c>
      <c r="B15" s="44"/>
      <c r="C15" s="54" t="s">
        <v>229</v>
      </c>
      <c r="D15" s="58"/>
      <c r="E15" s="59"/>
    </row>
    <row r="16" spans="1:5" ht="13.5" thickBot="1">
      <c r="A16" s="118" t="s">
        <v>238</v>
      </c>
      <c r="B16" s="44"/>
      <c r="C16" s="54" t="s">
        <v>229</v>
      </c>
      <c r="D16" s="61"/>
      <c r="E16" s="62"/>
    </row>
    <row r="17" spans="1:5">
      <c r="A17" s="118" t="s">
        <v>239</v>
      </c>
      <c r="B17" s="44"/>
      <c r="C17" s="54" t="s">
        <v>229</v>
      </c>
      <c r="D17" s="44" t="s">
        <v>229</v>
      </c>
      <c r="E17" s="54" t="s">
        <v>229</v>
      </c>
    </row>
    <row r="18" spans="1:5">
      <c r="A18" s="118" t="s">
        <v>240</v>
      </c>
      <c r="B18" s="44"/>
      <c r="C18" s="54" t="s">
        <v>229</v>
      </c>
      <c r="D18" s="44" t="s">
        <v>229</v>
      </c>
      <c r="E18" s="54" t="s">
        <v>229</v>
      </c>
    </row>
    <row r="19" spans="1:5">
      <c r="A19" s="118" t="s">
        <v>241</v>
      </c>
      <c r="B19" s="44"/>
      <c r="C19" s="54" t="s">
        <v>229</v>
      </c>
      <c r="D19" s="44" t="s">
        <v>229</v>
      </c>
      <c r="E19" s="54" t="s">
        <v>229</v>
      </c>
    </row>
    <row r="20" spans="1:5">
      <c r="A20" s="118" t="s">
        <v>242</v>
      </c>
      <c r="B20" s="44"/>
      <c r="C20" s="64" t="e">
        <f>#REF!</f>
        <v>#REF!</v>
      </c>
      <c r="D20" s="44" t="s">
        <v>229</v>
      </c>
      <c r="E20" s="54" t="s">
        <v>229</v>
      </c>
    </row>
    <row r="21" spans="1:5">
      <c r="A21" s="118" t="s">
        <v>243</v>
      </c>
      <c r="B21" s="44"/>
      <c r="C21" s="54" t="s">
        <v>229</v>
      </c>
      <c r="D21" s="44" t="s">
        <v>229</v>
      </c>
      <c r="E21" s="54" t="s">
        <v>229</v>
      </c>
    </row>
    <row r="22" spans="1:5">
      <c r="A22" s="118" t="s">
        <v>244</v>
      </c>
      <c r="B22" s="44"/>
      <c r="C22" s="54">
        <f>Water!S38</f>
        <v>0</v>
      </c>
      <c r="D22" s="44" t="s">
        <v>229</v>
      </c>
      <c r="E22" s="54" t="s">
        <v>229</v>
      </c>
    </row>
    <row r="23" spans="1:5" ht="13.5" thickBot="1">
      <c r="A23" s="121" t="s">
        <v>245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246</v>
      </c>
      <c r="B24" s="49"/>
      <c r="C24" s="60"/>
      <c r="D24" s="55" t="s">
        <v>229</v>
      </c>
      <c r="E24" s="56" t="s">
        <v>229</v>
      </c>
    </row>
    <row r="25" spans="1:5">
      <c r="A25" s="123" t="s">
        <v>247</v>
      </c>
      <c r="B25" s="42"/>
      <c r="C25" s="67">
        <f>Elect!J34</f>
        <v>3163</v>
      </c>
      <c r="D25" s="55">
        <v>12266</v>
      </c>
      <c r="E25" s="66">
        <v>814</v>
      </c>
    </row>
    <row r="26" spans="1:5" ht="13.5" thickBot="1">
      <c r="A26" s="128" t="s">
        <v>248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249</v>
      </c>
      <c r="B27" s="44"/>
      <c r="C27" s="69">
        <f>Water!H38</f>
        <v>14865.979999999998</v>
      </c>
      <c r="D27" s="61"/>
      <c r="E27" s="62"/>
    </row>
    <row r="28" spans="1:5">
      <c r="A28" s="124" t="s">
        <v>250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251</v>
      </c>
      <c r="B29" s="44"/>
      <c r="C29" s="45" t="s">
        <v>229</v>
      </c>
      <c r="D29" s="70">
        <v>28880</v>
      </c>
      <c r="E29" s="66">
        <v>32980</v>
      </c>
    </row>
    <row r="30" spans="1:5" ht="13.5" thickBot="1">
      <c r="A30" s="125" t="s">
        <v>252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253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254</v>
      </c>
      <c r="B32" s="76"/>
      <c r="C32" s="77"/>
      <c r="D32" s="71" t="e">
        <v>#REF!</v>
      </c>
      <c r="E32" s="56" t="s">
        <v>229</v>
      </c>
    </row>
    <row r="33" spans="1:6" ht="13.5" thickBot="1">
      <c r="A33" s="123" t="s">
        <v>255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256</v>
      </c>
      <c r="B34" s="44"/>
      <c r="C34" s="69">
        <f>YTD!Q5</f>
        <v>0</v>
      </c>
      <c r="D34" s="74"/>
      <c r="E34" s="75"/>
    </row>
    <row r="35" spans="1:6" ht="13.5" thickBot="1">
      <c r="A35" s="124" t="s">
        <v>257</v>
      </c>
      <c r="B35" s="44"/>
      <c r="C35" s="69">
        <f>YTD!Q6</f>
        <v>0</v>
      </c>
      <c r="D35" s="61"/>
      <c r="E35" s="62"/>
    </row>
    <row r="36" spans="1:6">
      <c r="A36" s="128" t="s">
        <v>258</v>
      </c>
      <c r="B36" s="44"/>
      <c r="C36" s="82"/>
      <c r="D36" s="78" t="e">
        <v>#REF!</v>
      </c>
      <c r="E36" s="66" t="e">
        <v>#REF!</v>
      </c>
    </row>
    <row r="37" spans="1:6">
      <c r="A37" s="128" t="s">
        <v>259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260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261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262</v>
      </c>
      <c r="B40" s="76"/>
      <c r="C40" s="77"/>
      <c r="D40" s="55">
        <v>1583714</v>
      </c>
      <c r="E40" s="66">
        <v>1940567</v>
      </c>
    </row>
    <row r="41" spans="1:6">
      <c r="A41" s="367" t="s">
        <v>263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264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265</v>
      </c>
      <c r="B43" s="130"/>
      <c r="C43" s="64">
        <f>Water!X38</f>
        <v>59440.719999999994</v>
      </c>
      <c r="D43" s="58">
        <v>112</v>
      </c>
      <c r="E43" s="66">
        <v>97.529999999999944</v>
      </c>
    </row>
    <row r="44" spans="1:6" ht="13.5" thickBot="1">
      <c r="A44" s="129" t="s">
        <v>266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267</v>
      </c>
      <c r="B45" s="131"/>
      <c r="C45" s="54" t="s">
        <v>229</v>
      </c>
      <c r="D45" s="78">
        <v>2138156.84</v>
      </c>
      <c r="E45" s="66" t="e">
        <v>#REF!</v>
      </c>
    </row>
    <row r="46" spans="1:6" ht="13.5" thickBot="1">
      <c r="A46" s="132" t="s">
        <v>268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269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270</v>
      </c>
      <c r="B48" s="197"/>
      <c r="C48" s="89"/>
      <c r="D48" s="65">
        <v>330278</v>
      </c>
      <c r="E48" s="66" t="e">
        <v>#REF!</v>
      </c>
    </row>
    <row r="49" spans="1:6">
      <c r="A49" s="202" t="s">
        <v>271</v>
      </c>
      <c r="B49" s="195"/>
      <c r="C49" s="203">
        <v>6</v>
      </c>
      <c r="D49" s="44" t="s">
        <v>229</v>
      </c>
      <c r="E49" s="54" t="s">
        <v>229</v>
      </c>
    </row>
    <row r="50" spans="1:6" ht="13.5" thickBot="1">
      <c r="A50" s="222" t="s">
        <v>146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272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273</v>
      </c>
      <c r="B52" s="131"/>
      <c r="C52" s="54">
        <v>75064</v>
      </c>
      <c r="D52" s="61"/>
      <c r="E52" s="62"/>
    </row>
    <row r="53" spans="1:6" ht="13.5" thickBot="1">
      <c r="A53" s="204" t="s">
        <v>274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275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276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277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278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August</v>
      </c>
      <c r="C1" s="776"/>
      <c r="D1" s="776"/>
      <c r="E1" s="776"/>
      <c r="F1" s="776"/>
      <c r="G1" s="776"/>
      <c r="H1" s="211" t="s">
        <v>279</v>
      </c>
      <c r="I1" s="776"/>
      <c r="J1" s="776"/>
      <c r="K1" s="776"/>
      <c r="L1" s="776"/>
      <c r="M1" s="776"/>
      <c r="N1" s="776"/>
      <c r="Q1" s="735"/>
      <c r="R1" s="735"/>
      <c r="S1" s="735"/>
      <c r="T1" s="735"/>
      <c r="U1" s="735"/>
      <c r="V1" s="735"/>
      <c r="W1" s="735"/>
      <c r="X1" s="735"/>
      <c r="Y1" s="735"/>
      <c r="Z1" s="735"/>
      <c r="AA1" s="735"/>
      <c r="AB1" s="735"/>
      <c r="AC1" s="735"/>
      <c r="AD1" s="735"/>
      <c r="AE1" s="735"/>
      <c r="AF1" s="735"/>
      <c r="AG1" s="735"/>
      <c r="AH1" s="735"/>
      <c r="AI1" s="735"/>
      <c r="AJ1" s="735"/>
      <c r="AK1" s="735"/>
      <c r="AL1" s="735"/>
      <c r="AM1" s="735"/>
      <c r="AN1" s="735"/>
      <c r="AO1" s="735"/>
      <c r="AP1" s="735"/>
      <c r="AQ1" s="735"/>
      <c r="AR1" s="735"/>
      <c r="AS1" s="735"/>
      <c r="AT1" s="735"/>
      <c r="AU1" s="735"/>
      <c r="AV1" s="735"/>
      <c r="AW1" s="735"/>
      <c r="AX1" s="735"/>
      <c r="AY1" s="735"/>
      <c r="AZ1" s="735"/>
      <c r="BA1" s="735"/>
      <c r="BB1" s="735"/>
      <c r="BC1" s="735"/>
      <c r="BD1" s="735"/>
      <c r="BE1" s="735"/>
      <c r="BF1" s="735"/>
      <c r="BG1" s="735"/>
      <c r="BH1" s="735"/>
      <c r="BI1" s="735"/>
      <c r="BJ1" s="735"/>
      <c r="BK1" s="735"/>
      <c r="BL1" s="735"/>
      <c r="BM1" s="735"/>
      <c r="BN1" s="735"/>
      <c r="BO1" s="735"/>
      <c r="BP1" s="735"/>
      <c r="BQ1" s="735"/>
      <c r="BR1" s="735"/>
      <c r="BS1" s="735"/>
      <c r="BT1" s="735"/>
      <c r="BU1" s="735"/>
      <c r="BV1" s="735"/>
      <c r="BW1" s="735"/>
      <c r="BX1" s="735"/>
      <c r="BY1" s="735"/>
      <c r="BZ1" s="735"/>
      <c r="CA1" s="735"/>
      <c r="CB1" s="735"/>
      <c r="CC1" s="735"/>
      <c r="CD1" s="735"/>
      <c r="CE1" s="735"/>
      <c r="CF1" s="735"/>
      <c r="CG1" s="735"/>
      <c r="CH1" s="735"/>
      <c r="CI1" s="735"/>
      <c r="CJ1" s="735"/>
      <c r="CK1" s="735"/>
      <c r="CL1" s="735"/>
      <c r="CM1" s="735"/>
      <c r="CN1" s="735"/>
      <c r="CO1" s="735"/>
      <c r="CP1" s="735"/>
      <c r="CQ1" s="735"/>
      <c r="CR1" s="735"/>
      <c r="CS1" s="735"/>
      <c r="CT1" s="735"/>
      <c r="CU1" s="735"/>
      <c r="CV1" s="735"/>
      <c r="CW1" s="735"/>
      <c r="CX1" s="735"/>
      <c r="CY1" s="735"/>
      <c r="CZ1" s="735"/>
      <c r="DA1" s="735"/>
      <c r="DB1" s="735"/>
      <c r="DC1" s="735"/>
      <c r="DD1" s="735"/>
      <c r="DE1" s="735"/>
      <c r="DF1" s="735"/>
    </row>
    <row r="2" spans="1:110" ht="6.75" customHeight="1" thickBot="1">
      <c r="C2" s="776"/>
      <c r="D2" s="776"/>
      <c r="E2" s="776"/>
      <c r="F2" s="776"/>
      <c r="G2" s="212"/>
      <c r="H2" s="776"/>
      <c r="I2" s="776"/>
      <c r="J2" s="776"/>
      <c r="K2" s="776"/>
      <c r="L2" s="776"/>
      <c r="M2" s="776"/>
      <c r="N2" s="776"/>
      <c r="Q2" s="735"/>
      <c r="R2" s="735"/>
      <c r="S2" s="735"/>
      <c r="T2" s="735"/>
      <c r="U2" s="735"/>
      <c r="V2" s="735"/>
      <c r="W2" s="735"/>
      <c r="X2" s="735"/>
      <c r="Y2" s="735"/>
      <c r="Z2" s="735"/>
      <c r="AA2" s="735"/>
      <c r="AB2" s="735"/>
      <c r="AC2" s="735"/>
      <c r="AD2" s="735"/>
      <c r="AE2" s="735"/>
      <c r="AF2" s="735"/>
      <c r="AG2" s="735"/>
      <c r="AH2" s="735"/>
      <c r="AI2" s="735"/>
      <c r="AJ2" s="735"/>
      <c r="AK2" s="735"/>
      <c r="AL2" s="735"/>
      <c r="AM2" s="735"/>
      <c r="AN2" s="735"/>
      <c r="AO2" s="735"/>
      <c r="AP2" s="735"/>
      <c r="AQ2" s="735"/>
      <c r="AR2" s="735"/>
      <c r="AS2" s="735"/>
      <c r="AT2" s="735"/>
      <c r="AU2" s="735"/>
      <c r="AV2" s="735"/>
      <c r="AW2" s="735"/>
      <c r="AX2" s="735"/>
      <c r="AY2" s="735"/>
      <c r="AZ2" s="735"/>
      <c r="BA2" s="735"/>
      <c r="BB2" s="735"/>
      <c r="BC2" s="735"/>
      <c r="BD2" s="735"/>
      <c r="BE2" s="735"/>
      <c r="BF2" s="735"/>
      <c r="BG2" s="735"/>
      <c r="BH2" s="735"/>
      <c r="BI2" s="735"/>
      <c r="BJ2" s="735"/>
      <c r="BK2" s="735"/>
      <c r="BL2" s="735"/>
      <c r="BM2" s="735"/>
      <c r="BN2" s="735"/>
      <c r="BO2" s="735"/>
      <c r="BP2" s="735"/>
      <c r="BQ2" s="735"/>
      <c r="BR2" s="735"/>
      <c r="BS2" s="735"/>
      <c r="BT2" s="735"/>
      <c r="BU2" s="735"/>
      <c r="BV2" s="735"/>
      <c r="BW2" s="735"/>
      <c r="BX2" s="735"/>
      <c r="BY2" s="735"/>
      <c r="BZ2" s="735"/>
      <c r="CA2" s="735"/>
      <c r="CB2" s="735"/>
      <c r="CC2" s="735"/>
      <c r="CD2" s="735"/>
      <c r="CE2" s="735"/>
      <c r="CF2" s="735"/>
      <c r="CG2" s="735"/>
      <c r="CH2" s="735"/>
      <c r="CI2" s="735"/>
      <c r="CJ2" s="735"/>
      <c r="CK2" s="735"/>
      <c r="CL2" s="735"/>
      <c r="CM2" s="735"/>
      <c r="CN2" s="735"/>
      <c r="CO2" s="735"/>
      <c r="CP2" s="735"/>
      <c r="CQ2" s="735"/>
      <c r="CR2" s="735"/>
      <c r="CS2" s="735"/>
      <c r="CT2" s="735"/>
      <c r="CU2" s="735"/>
      <c r="CV2" s="735"/>
      <c r="CW2" s="735"/>
      <c r="CX2" s="735"/>
      <c r="CY2" s="735"/>
      <c r="CZ2" s="735"/>
      <c r="DA2" s="735"/>
      <c r="DB2" s="735"/>
      <c r="DC2" s="735"/>
      <c r="DD2" s="735"/>
      <c r="DE2" s="735"/>
      <c r="DF2" s="735"/>
    </row>
    <row r="3" spans="1:110" ht="24" customHeight="1" thickTop="1" thickBot="1">
      <c r="A3" s="292"/>
      <c r="B3" s="293"/>
      <c r="C3" s="227" t="s">
        <v>280</v>
      </c>
      <c r="D3" s="227" t="s">
        <v>281</v>
      </c>
      <c r="E3" s="227" t="s">
        <v>282</v>
      </c>
      <c r="F3" s="227" t="s">
        <v>283</v>
      </c>
      <c r="G3" s="227" t="s">
        <v>284</v>
      </c>
      <c r="H3" s="227" t="s">
        <v>285</v>
      </c>
      <c r="I3" s="227" t="s">
        <v>286</v>
      </c>
      <c r="J3" s="227" t="s">
        <v>287</v>
      </c>
      <c r="K3" s="227" t="s">
        <v>288</v>
      </c>
      <c r="L3" s="227" t="s">
        <v>289</v>
      </c>
      <c r="M3" s="227" t="s">
        <v>290</v>
      </c>
      <c r="N3" s="227" t="s">
        <v>291</v>
      </c>
      <c r="O3" s="228" t="s">
        <v>292</v>
      </c>
      <c r="P3" s="229" t="s">
        <v>293</v>
      </c>
      <c r="Q3" s="230" t="s">
        <v>294</v>
      </c>
      <c r="R3" s="218"/>
      <c r="S3" s="218"/>
      <c r="T3" s="218"/>
      <c r="U3" s="218"/>
      <c r="V3" s="218"/>
      <c r="W3" s="218"/>
      <c r="X3" s="218"/>
      <c r="Y3" s="735"/>
      <c r="Z3" s="735"/>
      <c r="AA3" s="735"/>
      <c r="AB3" s="735"/>
      <c r="AC3" s="735"/>
      <c r="AD3" s="735"/>
      <c r="AE3" s="735"/>
      <c r="AF3" s="735"/>
      <c r="AG3" s="735"/>
      <c r="AH3" s="735"/>
      <c r="AI3" s="735"/>
      <c r="AJ3" s="735"/>
      <c r="AK3" s="735"/>
      <c r="AL3" s="735"/>
      <c r="AM3" s="735"/>
      <c r="AN3" s="735"/>
      <c r="AO3" s="735"/>
      <c r="AP3" s="735"/>
      <c r="AQ3" s="735"/>
      <c r="AR3" s="735"/>
      <c r="AS3" s="735"/>
      <c r="AT3" s="735"/>
      <c r="AU3" s="735"/>
      <c r="AV3" s="735"/>
      <c r="AW3" s="735"/>
      <c r="AX3" s="735"/>
      <c r="AY3" s="735"/>
      <c r="AZ3" s="735"/>
      <c r="BA3" s="735"/>
      <c r="BB3" s="735"/>
      <c r="BC3" s="735"/>
      <c r="BD3" s="735"/>
      <c r="BE3" s="735"/>
      <c r="BF3" s="735"/>
      <c r="BG3" s="735"/>
      <c r="BH3" s="735"/>
      <c r="BI3" s="735"/>
      <c r="BJ3" s="735"/>
      <c r="BK3" s="735"/>
      <c r="BL3" s="735"/>
      <c r="BM3" s="735"/>
      <c r="BN3" s="735"/>
      <c r="BO3" s="735"/>
      <c r="BP3" s="735"/>
      <c r="BQ3" s="735"/>
      <c r="BR3" s="735"/>
      <c r="BS3" s="735"/>
      <c r="BT3" s="735"/>
      <c r="BU3" s="735"/>
      <c r="BV3" s="735"/>
      <c r="BW3" s="735"/>
      <c r="BX3" s="735"/>
      <c r="BY3" s="735"/>
      <c r="BZ3" s="735"/>
      <c r="CA3" s="735"/>
      <c r="CB3" s="735"/>
      <c r="CC3" s="735"/>
      <c r="CD3" s="735"/>
      <c r="CE3" s="735"/>
      <c r="CF3" s="735"/>
      <c r="CG3" s="735"/>
      <c r="CH3" s="735"/>
      <c r="CI3" s="735"/>
      <c r="CJ3" s="735"/>
      <c r="CK3" s="735"/>
      <c r="CL3" s="735"/>
      <c r="CM3" s="735"/>
      <c r="CN3" s="735"/>
      <c r="CO3" s="735"/>
      <c r="CP3" s="735"/>
      <c r="CQ3" s="735"/>
      <c r="CR3" s="735"/>
      <c r="CS3" s="735"/>
      <c r="CT3" s="735"/>
      <c r="CU3" s="735"/>
      <c r="CV3" s="735"/>
      <c r="CW3" s="735"/>
      <c r="CX3" s="735"/>
      <c r="CY3" s="735"/>
      <c r="CZ3" s="735"/>
      <c r="DA3" s="735"/>
      <c r="DB3" s="735"/>
      <c r="DC3" s="735"/>
      <c r="DD3" s="735"/>
      <c r="DE3" s="735"/>
      <c r="DF3" s="735"/>
    </row>
    <row r="4" spans="1:110" ht="23.25">
      <c r="A4" s="294" t="s">
        <v>295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296</v>
      </c>
      <c r="B5" s="296"/>
      <c r="C5" s="234">
        <v>25072</v>
      </c>
      <c r="D5" s="380">
        <f>Elect!BP34</f>
        <v>94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25166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297</v>
      </c>
      <c r="B6" s="298"/>
      <c r="C6" s="235">
        <v>50662</v>
      </c>
      <c r="D6" s="235">
        <f>Elect!BR34</f>
        <v>152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50814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298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299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300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301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302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303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304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305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306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307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308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309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310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311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312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313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314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315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316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317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318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319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320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321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322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323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324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325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326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327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328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329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330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331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332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333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334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335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336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337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338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339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340</v>
      </c>
      <c r="B51" s="312" t="s">
        <v>341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342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343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344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345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346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347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348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349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350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351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352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353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354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355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356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5"/>
      <c r="Z66" s="735"/>
    </row>
    <row r="67" spans="1:110" s="10" customFormat="1" ht="15.75" hidden="1">
      <c r="A67" s="319" t="s">
        <v>357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5"/>
      <c r="Z67" s="735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5"/>
      <c r="Z68" s="735"/>
      <c r="AA68" s="735"/>
      <c r="AB68" s="735"/>
      <c r="AC68" s="735"/>
      <c r="AD68" s="735"/>
      <c r="AE68" s="735"/>
      <c r="AF68" s="735"/>
      <c r="AG68" s="735"/>
      <c r="AH68" s="735"/>
      <c r="AI68" s="735"/>
      <c r="AJ68" s="735"/>
      <c r="AK68" s="735"/>
      <c r="AL68" s="735"/>
      <c r="AM68" s="735"/>
      <c r="AN68" s="735"/>
      <c r="AO68" s="735"/>
      <c r="AP68" s="735"/>
      <c r="AQ68" s="735"/>
      <c r="AR68" s="735"/>
      <c r="AS68" s="735"/>
      <c r="AT68" s="735"/>
      <c r="AU68" s="735"/>
      <c r="AV68" s="735"/>
      <c r="AW68" s="735"/>
      <c r="AX68" s="735"/>
      <c r="AY68" s="735"/>
      <c r="AZ68" s="735"/>
      <c r="BA68" s="735"/>
      <c r="BB68" s="735"/>
      <c r="BC68" s="735"/>
      <c r="BD68" s="735"/>
      <c r="BE68" s="735"/>
      <c r="BF68" s="735"/>
      <c r="BG68" s="735"/>
      <c r="BH68" s="735"/>
      <c r="BI68" s="735"/>
      <c r="BJ68" s="735"/>
      <c r="BK68" s="735"/>
      <c r="BL68" s="735"/>
      <c r="BM68" s="735"/>
      <c r="BN68" s="735"/>
      <c r="BO68" s="735"/>
      <c r="BP68" s="735"/>
      <c r="BQ68" s="735"/>
      <c r="BR68" s="735"/>
      <c r="BS68" s="735"/>
      <c r="BT68" s="735"/>
      <c r="BU68" s="735"/>
      <c r="BV68" s="735"/>
      <c r="BW68" s="735"/>
      <c r="BX68" s="735"/>
      <c r="BY68" s="735"/>
      <c r="BZ68" s="735"/>
      <c r="CA68" s="735"/>
      <c r="CB68" s="735"/>
      <c r="CC68" s="735"/>
      <c r="CD68" s="735"/>
      <c r="CE68" s="735"/>
      <c r="CF68" s="735"/>
      <c r="CG68" s="735"/>
      <c r="CH68" s="735"/>
      <c r="CI68" s="735"/>
      <c r="CJ68" s="735"/>
      <c r="CK68" s="735"/>
      <c r="CL68" s="735"/>
      <c r="CM68" s="735"/>
      <c r="CN68" s="735"/>
      <c r="CO68" s="735"/>
      <c r="CP68" s="735"/>
      <c r="CQ68" s="735"/>
      <c r="CR68" s="735"/>
      <c r="CS68" s="735"/>
      <c r="CT68" s="735"/>
      <c r="CU68" s="735"/>
      <c r="CV68" s="735"/>
      <c r="CW68" s="735"/>
      <c r="CX68" s="735"/>
      <c r="CY68" s="735"/>
      <c r="CZ68" s="735"/>
      <c r="DA68" s="735"/>
      <c r="DB68" s="735"/>
      <c r="DC68" s="735"/>
      <c r="DD68" s="735"/>
      <c r="DE68" s="735"/>
      <c r="DF68" s="735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5"/>
      <c r="Z69" s="735"/>
      <c r="AA69" s="735"/>
      <c r="AB69" s="735"/>
      <c r="AC69" s="735"/>
      <c r="AD69" s="735"/>
      <c r="AE69" s="735"/>
      <c r="AF69" s="735"/>
      <c r="AG69" s="735"/>
      <c r="AH69" s="735"/>
      <c r="AI69" s="735"/>
      <c r="AJ69" s="735"/>
      <c r="AK69" s="735"/>
      <c r="AL69" s="735"/>
      <c r="AM69" s="735"/>
      <c r="AN69" s="735"/>
      <c r="AO69" s="735"/>
      <c r="AP69" s="735"/>
      <c r="AQ69" s="735"/>
      <c r="AR69" s="735"/>
      <c r="AS69" s="735"/>
      <c r="AT69" s="735"/>
      <c r="AU69" s="735"/>
      <c r="AV69" s="735"/>
      <c r="AW69" s="735"/>
      <c r="AX69" s="735"/>
      <c r="AY69" s="735"/>
      <c r="AZ69" s="735"/>
      <c r="BA69" s="735"/>
      <c r="BB69" s="735"/>
      <c r="BC69" s="735"/>
      <c r="BD69" s="735"/>
      <c r="BE69" s="735"/>
      <c r="BF69" s="735"/>
      <c r="BG69" s="735"/>
      <c r="BH69" s="735"/>
      <c r="BI69" s="735"/>
      <c r="BJ69" s="735"/>
      <c r="BK69" s="735"/>
      <c r="BL69" s="735"/>
      <c r="BM69" s="735"/>
      <c r="BN69" s="735"/>
      <c r="BO69" s="735"/>
      <c r="BP69" s="735"/>
      <c r="BQ69" s="735"/>
      <c r="BR69" s="735"/>
      <c r="BS69" s="735"/>
      <c r="BT69" s="735"/>
      <c r="BU69" s="735"/>
      <c r="BV69" s="735"/>
      <c r="BW69" s="735"/>
      <c r="BX69" s="735"/>
      <c r="BY69" s="735"/>
      <c r="BZ69" s="735"/>
      <c r="CA69" s="735"/>
      <c r="CB69" s="735"/>
      <c r="CC69" s="735"/>
      <c r="CD69" s="735"/>
      <c r="CE69" s="735"/>
      <c r="CF69" s="735"/>
      <c r="CG69" s="735"/>
      <c r="CH69" s="735"/>
      <c r="CI69" s="735"/>
      <c r="CJ69" s="735"/>
      <c r="CK69" s="735"/>
      <c r="CL69" s="735"/>
      <c r="CM69" s="735"/>
      <c r="CN69" s="735"/>
      <c r="CO69" s="735"/>
      <c r="CP69" s="735"/>
      <c r="CQ69" s="735"/>
      <c r="CR69" s="735"/>
      <c r="CS69" s="735"/>
      <c r="CT69" s="735"/>
      <c r="CU69" s="735"/>
      <c r="CV69" s="735"/>
      <c r="CW69" s="735"/>
      <c r="CX69" s="735"/>
      <c r="CY69" s="735"/>
      <c r="CZ69" s="735"/>
      <c r="DA69" s="735"/>
      <c r="DB69" s="735"/>
      <c r="DC69" s="735"/>
      <c r="DD69" s="735"/>
      <c r="DE69" s="735"/>
      <c r="DF69" s="735"/>
    </row>
    <row r="70" spans="1:110" s="10" customFormat="1" ht="15.75" hidden="1">
      <c r="A70" s="320" t="s">
        <v>358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5"/>
      <c r="Z70" s="735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5"/>
      <c r="Z71" s="735"/>
      <c r="AA71" s="735"/>
      <c r="AB71" s="735"/>
      <c r="AC71" s="735"/>
      <c r="AD71" s="735"/>
      <c r="AE71" s="735"/>
      <c r="AF71" s="735"/>
      <c r="AG71" s="735"/>
      <c r="AH71" s="735"/>
      <c r="AI71" s="735"/>
      <c r="AJ71" s="735"/>
      <c r="AK71" s="735"/>
      <c r="AL71" s="735"/>
      <c r="AM71" s="735"/>
      <c r="AN71" s="735"/>
      <c r="AO71" s="735"/>
      <c r="AP71" s="735"/>
      <c r="AQ71" s="735"/>
      <c r="AR71" s="735"/>
      <c r="AS71" s="735"/>
      <c r="AT71" s="735"/>
      <c r="AU71" s="735"/>
      <c r="AV71" s="735"/>
      <c r="AW71" s="735"/>
      <c r="AX71" s="735"/>
      <c r="AY71" s="735"/>
      <c r="AZ71" s="735"/>
      <c r="BA71" s="735"/>
      <c r="BB71" s="735"/>
      <c r="BC71" s="735"/>
      <c r="BD71" s="735"/>
      <c r="BE71" s="735"/>
      <c r="BF71" s="735"/>
      <c r="BG71" s="735"/>
      <c r="BH71" s="735"/>
      <c r="BI71" s="735"/>
      <c r="BJ71" s="735"/>
      <c r="BK71" s="735"/>
      <c r="BL71" s="735"/>
      <c r="BM71" s="735"/>
      <c r="BN71" s="735"/>
      <c r="BO71" s="735"/>
      <c r="BP71" s="735"/>
      <c r="BQ71" s="735"/>
      <c r="BR71" s="735"/>
      <c r="BS71" s="735"/>
      <c r="BT71" s="735"/>
      <c r="BU71" s="735"/>
      <c r="BV71" s="735"/>
      <c r="BW71" s="735"/>
      <c r="BX71" s="735"/>
      <c r="BY71" s="735"/>
      <c r="BZ71" s="735"/>
      <c r="CA71" s="735"/>
      <c r="CB71" s="735"/>
      <c r="CC71" s="735"/>
      <c r="CD71" s="735"/>
      <c r="CE71" s="735"/>
      <c r="CF71" s="735"/>
      <c r="CG71" s="735"/>
      <c r="CH71" s="735"/>
      <c r="CI71" s="735"/>
      <c r="CJ71" s="735"/>
      <c r="CK71" s="735"/>
      <c r="CL71" s="735"/>
      <c r="CM71" s="735"/>
      <c r="CN71" s="735"/>
      <c r="CO71" s="735"/>
      <c r="CP71" s="735"/>
      <c r="CQ71" s="735"/>
      <c r="CR71" s="735"/>
      <c r="CS71" s="735"/>
      <c r="CT71" s="735"/>
      <c r="CU71" s="735"/>
      <c r="CV71" s="735"/>
      <c r="CW71" s="735"/>
      <c r="CX71" s="735"/>
      <c r="CY71" s="735"/>
      <c r="CZ71" s="735"/>
      <c r="DA71" s="735"/>
      <c r="DB71" s="735"/>
      <c r="DC71" s="735"/>
      <c r="DD71" s="735"/>
      <c r="DE71" s="735"/>
      <c r="DF71" s="735"/>
    </row>
    <row r="72" spans="1:110" s="10" customFormat="1" ht="16.5" hidden="1" thickBot="1">
      <c r="A72" s="321" t="s">
        <v>359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5"/>
      <c r="Z72" s="735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5"/>
      <c r="Z73" s="735"/>
      <c r="AA73" s="735"/>
      <c r="AB73" s="735"/>
      <c r="AC73" s="735"/>
      <c r="AD73" s="735"/>
      <c r="AE73" s="735"/>
      <c r="AF73" s="735"/>
      <c r="AG73" s="735"/>
      <c r="AH73" s="735"/>
      <c r="AI73" s="735"/>
      <c r="AJ73" s="735"/>
      <c r="AK73" s="735"/>
      <c r="AL73" s="735"/>
      <c r="AM73" s="735"/>
      <c r="AN73" s="735"/>
      <c r="AO73" s="735"/>
      <c r="AP73" s="735"/>
      <c r="AQ73" s="735"/>
      <c r="AR73" s="735"/>
      <c r="AS73" s="735"/>
      <c r="AT73" s="735"/>
      <c r="AU73" s="735"/>
      <c r="AV73" s="735"/>
      <c r="AW73" s="735"/>
      <c r="AX73" s="735"/>
      <c r="AY73" s="735"/>
      <c r="AZ73" s="735"/>
      <c r="BA73" s="735"/>
      <c r="BB73" s="735"/>
      <c r="BC73" s="735"/>
      <c r="BD73" s="735"/>
      <c r="BE73" s="735"/>
      <c r="BF73" s="735"/>
      <c r="BG73" s="735"/>
      <c r="BH73" s="735"/>
      <c r="BI73" s="735"/>
      <c r="BJ73" s="735"/>
      <c r="BK73" s="735"/>
      <c r="BL73" s="735"/>
      <c r="BM73" s="735"/>
      <c r="BN73" s="735"/>
      <c r="BO73" s="735"/>
      <c r="BP73" s="735"/>
      <c r="BQ73" s="735"/>
      <c r="BR73" s="735"/>
      <c r="BS73" s="735"/>
      <c r="BT73" s="735"/>
      <c r="BU73" s="735"/>
      <c r="BV73" s="735"/>
      <c r="BW73" s="735"/>
      <c r="BX73" s="735"/>
      <c r="BY73" s="735"/>
      <c r="BZ73" s="735"/>
      <c r="CA73" s="735"/>
      <c r="CB73" s="735"/>
      <c r="CC73" s="735"/>
      <c r="CD73" s="735"/>
      <c r="CE73" s="735"/>
      <c r="CF73" s="735"/>
      <c r="CG73" s="735"/>
      <c r="CH73" s="735"/>
      <c r="CI73" s="735"/>
      <c r="CJ73" s="735"/>
      <c r="CK73" s="735"/>
      <c r="CL73" s="735"/>
      <c r="CM73" s="735"/>
      <c r="CN73" s="735"/>
      <c r="CO73" s="735"/>
      <c r="CP73" s="735"/>
      <c r="CQ73" s="735"/>
      <c r="CR73" s="735"/>
      <c r="CS73" s="735"/>
      <c r="CT73" s="735"/>
      <c r="CU73" s="735"/>
      <c r="CV73" s="735"/>
      <c r="CW73" s="735"/>
      <c r="CX73" s="735"/>
      <c r="CY73" s="735"/>
      <c r="CZ73" s="735"/>
      <c r="DA73" s="735"/>
      <c r="DB73" s="735"/>
      <c r="DC73" s="735"/>
      <c r="DD73" s="735"/>
      <c r="DE73" s="735"/>
      <c r="DF73" s="735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5"/>
      <c r="Z74" s="735"/>
      <c r="AA74" s="735"/>
      <c r="AB74" s="735"/>
      <c r="AC74" s="735"/>
      <c r="AD74" s="735"/>
      <c r="AE74" s="735"/>
      <c r="AF74" s="735"/>
      <c r="AG74" s="735"/>
      <c r="AH74" s="735"/>
      <c r="AI74" s="735"/>
      <c r="AJ74" s="735"/>
      <c r="AK74" s="735"/>
      <c r="AL74" s="735"/>
      <c r="AM74" s="735"/>
      <c r="AN74" s="735"/>
      <c r="AO74" s="735"/>
      <c r="AP74" s="735"/>
      <c r="AQ74" s="735"/>
      <c r="AR74" s="735"/>
      <c r="AS74" s="735"/>
      <c r="AT74" s="735"/>
      <c r="AU74" s="735"/>
      <c r="AV74" s="735"/>
      <c r="AW74" s="735"/>
      <c r="AX74" s="735"/>
      <c r="AY74" s="735"/>
      <c r="AZ74" s="735"/>
      <c r="BA74" s="735"/>
      <c r="BB74" s="735"/>
      <c r="BC74" s="735"/>
      <c r="BD74" s="735"/>
      <c r="BE74" s="735"/>
      <c r="BF74" s="735"/>
      <c r="BG74" s="735"/>
      <c r="BH74" s="735"/>
      <c r="BI74" s="735"/>
      <c r="BJ74" s="735"/>
      <c r="BK74" s="735"/>
      <c r="BL74" s="735"/>
      <c r="BM74" s="735"/>
      <c r="BN74" s="735"/>
      <c r="BO74" s="735"/>
      <c r="BP74" s="735"/>
      <c r="BQ74" s="735"/>
      <c r="BR74" s="735"/>
      <c r="BS74" s="735"/>
      <c r="BT74" s="735"/>
      <c r="BU74" s="735"/>
      <c r="BV74" s="735"/>
      <c r="BW74" s="735"/>
      <c r="BX74" s="735"/>
      <c r="BY74" s="735"/>
      <c r="BZ74" s="735"/>
      <c r="CA74" s="735"/>
      <c r="CB74" s="735"/>
      <c r="CC74" s="735"/>
      <c r="CD74" s="735"/>
      <c r="CE74" s="735"/>
      <c r="CF74" s="735"/>
      <c r="CG74" s="735"/>
      <c r="CH74" s="735"/>
      <c r="CI74" s="735"/>
      <c r="CJ74" s="735"/>
      <c r="CK74" s="735"/>
      <c r="CL74" s="735"/>
      <c r="CM74" s="735"/>
      <c r="CN74" s="735"/>
      <c r="CO74" s="735"/>
      <c r="CP74" s="735"/>
      <c r="CQ74" s="735"/>
      <c r="CR74" s="735"/>
      <c r="CS74" s="735"/>
      <c r="CT74" s="735"/>
      <c r="CU74" s="735"/>
      <c r="CV74" s="735"/>
      <c r="CW74" s="735"/>
      <c r="CX74" s="735"/>
      <c r="CY74" s="735"/>
      <c r="CZ74" s="735"/>
      <c r="DA74" s="735"/>
      <c r="DB74" s="735"/>
      <c r="DC74" s="735"/>
      <c r="DD74" s="735"/>
      <c r="DE74" s="735"/>
      <c r="DF74" s="735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5"/>
      <c r="Z75" s="735"/>
      <c r="AA75" s="735"/>
      <c r="AB75" s="735"/>
      <c r="AC75" s="735"/>
      <c r="AD75" s="735"/>
      <c r="AE75" s="735"/>
      <c r="AF75" s="735"/>
      <c r="AG75" s="735"/>
      <c r="AH75" s="735"/>
      <c r="AI75" s="735"/>
      <c r="AJ75" s="735"/>
      <c r="AK75" s="735"/>
      <c r="AL75" s="735"/>
      <c r="AM75" s="735"/>
      <c r="AN75" s="735"/>
      <c r="AO75" s="735"/>
      <c r="AP75" s="735"/>
      <c r="AQ75" s="735"/>
      <c r="AR75" s="735"/>
      <c r="AS75" s="735"/>
      <c r="AT75" s="735"/>
      <c r="AU75" s="735"/>
      <c r="AV75" s="735"/>
      <c r="AW75" s="735"/>
      <c r="AX75" s="735"/>
      <c r="AY75" s="735"/>
      <c r="AZ75" s="735"/>
      <c r="BA75" s="735"/>
      <c r="BB75" s="735"/>
      <c r="BC75" s="735"/>
      <c r="BD75" s="735"/>
      <c r="BE75" s="735"/>
      <c r="BF75" s="735"/>
      <c r="BG75" s="735"/>
      <c r="BH75" s="735"/>
      <c r="BI75" s="735"/>
      <c r="BJ75" s="735"/>
      <c r="BK75" s="735"/>
      <c r="BL75" s="735"/>
      <c r="BM75" s="735"/>
      <c r="BN75" s="735"/>
      <c r="BO75" s="735"/>
      <c r="BP75" s="735"/>
      <c r="BQ75" s="735"/>
      <c r="BR75" s="735"/>
      <c r="BS75" s="735"/>
      <c r="BT75" s="735"/>
      <c r="BU75" s="735"/>
      <c r="BV75" s="735"/>
      <c r="BW75" s="735"/>
      <c r="BX75" s="735"/>
      <c r="BY75" s="735"/>
      <c r="BZ75" s="735"/>
      <c r="CA75" s="735"/>
      <c r="CB75" s="735"/>
      <c r="CC75" s="735"/>
      <c r="CD75" s="735"/>
      <c r="CE75" s="735"/>
      <c r="CF75" s="735"/>
      <c r="CG75" s="735"/>
      <c r="CH75" s="735"/>
      <c r="CI75" s="735"/>
      <c r="CJ75" s="735"/>
      <c r="CK75" s="735"/>
      <c r="CL75" s="735"/>
      <c r="CM75" s="735"/>
      <c r="CN75" s="735"/>
      <c r="CO75" s="735"/>
      <c r="CP75" s="735"/>
      <c r="CQ75" s="735"/>
      <c r="CR75" s="735"/>
      <c r="CS75" s="735"/>
      <c r="CT75" s="735"/>
      <c r="CU75" s="735"/>
      <c r="CV75" s="735"/>
      <c r="CW75" s="735"/>
      <c r="CX75" s="735"/>
      <c r="CY75" s="735"/>
      <c r="CZ75" s="735"/>
      <c r="DA75" s="735"/>
      <c r="DB75" s="735"/>
      <c r="DC75" s="735"/>
      <c r="DD75" s="735"/>
      <c r="DE75" s="735"/>
      <c r="DF75" s="735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5"/>
      <c r="Z76" s="735"/>
      <c r="AA76" s="735"/>
      <c r="AB76" s="735"/>
      <c r="AC76" s="735"/>
      <c r="AD76" s="735"/>
      <c r="AE76" s="735"/>
      <c r="AF76" s="735"/>
      <c r="AG76" s="735"/>
      <c r="AH76" s="735"/>
      <c r="AI76" s="735"/>
      <c r="AJ76" s="735"/>
      <c r="AK76" s="735"/>
      <c r="AL76" s="735"/>
      <c r="AM76" s="735"/>
      <c r="AN76" s="735"/>
      <c r="AO76" s="735"/>
      <c r="AP76" s="735"/>
      <c r="AQ76" s="735"/>
      <c r="AR76" s="735"/>
      <c r="AS76" s="735"/>
      <c r="AT76" s="735"/>
      <c r="AU76" s="735"/>
      <c r="AV76" s="735"/>
      <c r="AW76" s="735"/>
      <c r="AX76" s="735"/>
      <c r="AY76" s="735"/>
      <c r="AZ76" s="735"/>
      <c r="BA76" s="735"/>
      <c r="BB76" s="735"/>
      <c r="BC76" s="735"/>
      <c r="BD76" s="735"/>
      <c r="BE76" s="735"/>
      <c r="BF76" s="735"/>
      <c r="BG76" s="735"/>
      <c r="BH76" s="735"/>
      <c r="BI76" s="735"/>
      <c r="BJ76" s="735"/>
      <c r="BK76" s="735"/>
      <c r="BL76" s="735"/>
      <c r="BM76" s="735"/>
      <c r="BN76" s="735"/>
      <c r="BO76" s="735"/>
      <c r="BP76" s="735"/>
      <c r="BQ76" s="735"/>
      <c r="BR76" s="735"/>
      <c r="BS76" s="735"/>
      <c r="BT76" s="735"/>
      <c r="BU76" s="735"/>
      <c r="BV76" s="735"/>
      <c r="BW76" s="735"/>
      <c r="BX76" s="735"/>
      <c r="BY76" s="735"/>
      <c r="BZ76" s="735"/>
      <c r="CA76" s="735"/>
      <c r="CB76" s="735"/>
      <c r="CC76" s="735"/>
      <c r="CD76" s="735"/>
      <c r="CE76" s="735"/>
      <c r="CF76" s="735"/>
      <c r="CG76" s="735"/>
      <c r="CH76" s="735"/>
      <c r="CI76" s="735"/>
      <c r="CJ76" s="735"/>
      <c r="CK76" s="735"/>
      <c r="CL76" s="735"/>
      <c r="CM76" s="735"/>
      <c r="CN76" s="735"/>
      <c r="CO76" s="735"/>
      <c r="CP76" s="735"/>
      <c r="CQ76" s="735"/>
      <c r="CR76" s="735"/>
      <c r="CS76" s="735"/>
      <c r="CT76" s="735"/>
      <c r="CU76" s="735"/>
      <c r="CV76" s="735"/>
      <c r="CW76" s="735"/>
      <c r="CX76" s="735"/>
      <c r="CY76" s="735"/>
      <c r="CZ76" s="735"/>
      <c r="DA76" s="735"/>
      <c r="DB76" s="735"/>
      <c r="DC76" s="735"/>
      <c r="DD76" s="735"/>
      <c r="DE76" s="735"/>
      <c r="DF76" s="735"/>
    </row>
    <row r="77" spans="1:110" ht="15.75" hidden="1">
      <c r="A77" s="320" t="s">
        <v>360</v>
      </c>
      <c r="B77" s="320" t="s">
        <v>361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5"/>
      <c r="Z77" s="735"/>
      <c r="AA77" s="735"/>
      <c r="AB77" s="735"/>
      <c r="AC77" s="735"/>
      <c r="AD77" s="735"/>
      <c r="AE77" s="735"/>
      <c r="AF77" s="735"/>
      <c r="AG77" s="735"/>
      <c r="AH77" s="735"/>
      <c r="AI77" s="735"/>
      <c r="AJ77" s="735"/>
      <c r="AK77" s="735"/>
      <c r="AL77" s="735"/>
      <c r="AM77" s="735"/>
      <c r="AN77" s="735"/>
      <c r="AO77" s="735"/>
      <c r="AP77" s="735"/>
      <c r="AQ77" s="735"/>
      <c r="AR77" s="735"/>
      <c r="AS77" s="735"/>
      <c r="AT77" s="735"/>
      <c r="AU77" s="735"/>
      <c r="AV77" s="735"/>
      <c r="AW77" s="735"/>
      <c r="AX77" s="735"/>
      <c r="AY77" s="735"/>
      <c r="AZ77" s="735"/>
      <c r="BA77" s="735"/>
      <c r="BB77" s="735"/>
      <c r="BC77" s="735"/>
      <c r="BD77" s="735"/>
      <c r="BE77" s="735"/>
      <c r="BF77" s="735"/>
      <c r="BG77" s="735"/>
      <c r="BH77" s="735"/>
      <c r="BI77" s="735"/>
      <c r="BJ77" s="735"/>
      <c r="BK77" s="735"/>
      <c r="BL77" s="735"/>
      <c r="BM77" s="735"/>
      <c r="BN77" s="735"/>
      <c r="BO77" s="735"/>
      <c r="BP77" s="735"/>
      <c r="BQ77" s="735"/>
      <c r="BR77" s="735"/>
      <c r="BS77" s="735"/>
      <c r="BT77" s="735"/>
      <c r="BU77" s="735"/>
      <c r="BV77" s="735"/>
      <c r="BW77" s="735"/>
      <c r="BX77" s="735"/>
      <c r="BY77" s="735"/>
      <c r="BZ77" s="735"/>
      <c r="CA77" s="735"/>
      <c r="CB77" s="735"/>
      <c r="CC77" s="735"/>
      <c r="CD77" s="735"/>
      <c r="CE77" s="735"/>
      <c r="CF77" s="735"/>
      <c r="CG77" s="735"/>
      <c r="CH77" s="735"/>
      <c r="CI77" s="735"/>
      <c r="CJ77" s="735"/>
      <c r="CK77" s="735"/>
      <c r="CL77" s="735"/>
      <c r="CM77" s="735"/>
      <c r="CN77" s="735"/>
      <c r="CO77" s="735"/>
      <c r="CP77" s="735"/>
      <c r="CQ77" s="735"/>
      <c r="CR77" s="735"/>
      <c r="CS77" s="735"/>
      <c r="CT77" s="735"/>
      <c r="CU77" s="735"/>
      <c r="CV77" s="735"/>
      <c r="CW77" s="735"/>
      <c r="CX77" s="735"/>
      <c r="CY77" s="735"/>
      <c r="CZ77" s="735"/>
      <c r="DA77" s="735"/>
      <c r="DB77" s="735"/>
      <c r="DC77" s="735"/>
      <c r="DD77" s="735"/>
      <c r="DE77" s="735"/>
      <c r="DF77" s="735"/>
    </row>
    <row r="78" spans="1:110" ht="15.75" hidden="1">
      <c r="A78" s="320" t="s">
        <v>362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5"/>
      <c r="Z78" s="735"/>
      <c r="AA78" s="735"/>
      <c r="AB78" s="735"/>
      <c r="AC78" s="735"/>
      <c r="AD78" s="735"/>
      <c r="AE78" s="735"/>
      <c r="AF78" s="735"/>
      <c r="AG78" s="735"/>
      <c r="AH78" s="735"/>
      <c r="AI78" s="735"/>
      <c r="AJ78" s="735"/>
      <c r="AK78" s="735"/>
      <c r="AL78" s="735"/>
      <c r="AM78" s="735"/>
      <c r="AN78" s="735"/>
      <c r="AO78" s="735"/>
      <c r="AP78" s="735"/>
      <c r="AQ78" s="735"/>
      <c r="AR78" s="735"/>
      <c r="AS78" s="735"/>
      <c r="AT78" s="735"/>
      <c r="AU78" s="735"/>
      <c r="AV78" s="735"/>
      <c r="AW78" s="735"/>
      <c r="AX78" s="735"/>
      <c r="AY78" s="735"/>
      <c r="AZ78" s="735"/>
      <c r="BA78" s="735"/>
      <c r="BB78" s="735"/>
      <c r="BC78" s="735"/>
      <c r="BD78" s="735"/>
      <c r="BE78" s="735"/>
      <c r="BF78" s="735"/>
      <c r="BG78" s="735"/>
      <c r="BH78" s="735"/>
      <c r="BI78" s="735"/>
      <c r="BJ78" s="735"/>
      <c r="BK78" s="735"/>
      <c r="BL78" s="735"/>
      <c r="BM78" s="735"/>
      <c r="BN78" s="735"/>
      <c r="BO78" s="735"/>
      <c r="BP78" s="735"/>
      <c r="BQ78" s="735"/>
      <c r="BR78" s="735"/>
      <c r="BS78" s="735"/>
      <c r="BT78" s="735"/>
      <c r="BU78" s="735"/>
      <c r="BV78" s="735"/>
      <c r="BW78" s="735"/>
      <c r="BX78" s="735"/>
      <c r="BY78" s="735"/>
      <c r="BZ78" s="735"/>
      <c r="CA78" s="735"/>
      <c r="CB78" s="735"/>
      <c r="CC78" s="735"/>
      <c r="CD78" s="735"/>
      <c r="CE78" s="735"/>
      <c r="CF78" s="735"/>
      <c r="CG78" s="735"/>
      <c r="CH78" s="735"/>
      <c r="CI78" s="735"/>
      <c r="CJ78" s="735"/>
      <c r="CK78" s="735"/>
      <c r="CL78" s="735"/>
      <c r="CM78" s="735"/>
      <c r="CN78" s="735"/>
      <c r="CO78" s="735"/>
      <c r="CP78" s="735"/>
      <c r="CQ78" s="735"/>
      <c r="CR78" s="735"/>
      <c r="CS78" s="735"/>
      <c r="CT78" s="735"/>
      <c r="CU78" s="735"/>
      <c r="CV78" s="735"/>
      <c r="CW78" s="735"/>
      <c r="CX78" s="735"/>
      <c r="CY78" s="735"/>
      <c r="CZ78" s="735"/>
      <c r="DA78" s="735"/>
      <c r="DB78" s="735"/>
      <c r="DC78" s="735"/>
      <c r="DD78" s="735"/>
      <c r="DE78" s="735"/>
      <c r="DF78" s="735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5"/>
      <c r="Z79" s="735"/>
      <c r="AA79" s="735"/>
      <c r="AB79" s="735"/>
      <c r="AC79" s="735"/>
      <c r="AD79" s="735"/>
      <c r="AE79" s="735"/>
      <c r="AF79" s="735"/>
      <c r="AG79" s="735"/>
      <c r="AH79" s="735"/>
      <c r="AI79" s="735"/>
      <c r="AJ79" s="735"/>
      <c r="AK79" s="735"/>
      <c r="AL79" s="735"/>
      <c r="AM79" s="735"/>
      <c r="AN79" s="735"/>
      <c r="AO79" s="735"/>
      <c r="AP79" s="735"/>
      <c r="AQ79" s="735"/>
      <c r="AR79" s="735"/>
      <c r="AS79" s="735"/>
      <c r="AT79" s="735"/>
      <c r="AU79" s="735"/>
      <c r="AV79" s="735"/>
      <c r="AW79" s="735"/>
      <c r="AX79" s="735"/>
      <c r="AY79" s="735"/>
      <c r="AZ79" s="735"/>
      <c r="BA79" s="735"/>
      <c r="BB79" s="735"/>
      <c r="BC79" s="735"/>
      <c r="BD79" s="735"/>
      <c r="BE79" s="735"/>
      <c r="BF79" s="735"/>
      <c r="BG79" s="735"/>
      <c r="BH79" s="735"/>
      <c r="BI79" s="735"/>
      <c r="BJ79" s="735"/>
      <c r="BK79" s="735"/>
      <c r="BL79" s="735"/>
      <c r="BM79" s="735"/>
      <c r="BN79" s="735"/>
      <c r="BO79" s="735"/>
      <c r="BP79" s="735"/>
      <c r="BQ79" s="735"/>
      <c r="BR79" s="735"/>
      <c r="BS79" s="735"/>
      <c r="BT79" s="735"/>
      <c r="BU79" s="735"/>
      <c r="BV79" s="735"/>
      <c r="BW79" s="735"/>
      <c r="BX79" s="735"/>
      <c r="BY79" s="735"/>
      <c r="BZ79" s="735"/>
      <c r="CA79" s="735"/>
      <c r="CB79" s="735"/>
      <c r="CC79" s="735"/>
      <c r="CD79" s="735"/>
      <c r="CE79" s="735"/>
      <c r="CF79" s="735"/>
      <c r="CG79" s="735"/>
      <c r="CH79" s="735"/>
      <c r="CI79" s="735"/>
      <c r="CJ79" s="735"/>
      <c r="CK79" s="735"/>
      <c r="CL79" s="735"/>
      <c r="CM79" s="735"/>
      <c r="CN79" s="735"/>
      <c r="CO79" s="735"/>
      <c r="CP79" s="735"/>
      <c r="CQ79" s="735"/>
      <c r="CR79" s="735"/>
      <c r="CS79" s="735"/>
      <c r="CT79" s="735"/>
      <c r="CU79" s="735"/>
      <c r="CV79" s="735"/>
      <c r="CW79" s="735"/>
      <c r="CX79" s="735"/>
      <c r="CY79" s="735"/>
      <c r="CZ79" s="735"/>
      <c r="DA79" s="735"/>
      <c r="DB79" s="735"/>
      <c r="DC79" s="735"/>
      <c r="DD79" s="735"/>
      <c r="DE79" s="735"/>
      <c r="DF79" s="735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5"/>
      <c r="Z80" s="735"/>
      <c r="AA80" s="735"/>
      <c r="AB80" s="735"/>
      <c r="AC80" s="735"/>
      <c r="AD80" s="735"/>
      <c r="AE80" s="735"/>
      <c r="AF80" s="735"/>
      <c r="AG80" s="735"/>
      <c r="AH80" s="735"/>
      <c r="AI80" s="735"/>
      <c r="AJ80" s="735"/>
      <c r="AK80" s="735"/>
      <c r="AL80" s="735"/>
      <c r="AM80" s="735"/>
      <c r="AN80" s="735"/>
      <c r="AO80" s="735"/>
      <c r="AP80" s="735"/>
      <c r="AQ80" s="735"/>
      <c r="AR80" s="735"/>
      <c r="AS80" s="735"/>
      <c r="AT80" s="735"/>
      <c r="AU80" s="735"/>
      <c r="AV80" s="735"/>
      <c r="AW80" s="735"/>
      <c r="AX80" s="735"/>
      <c r="AY80" s="735"/>
      <c r="AZ80" s="735"/>
      <c r="BA80" s="735"/>
      <c r="BB80" s="735"/>
      <c r="BC80" s="735"/>
      <c r="BD80" s="735"/>
      <c r="BE80" s="735"/>
      <c r="BF80" s="735"/>
      <c r="BG80" s="735"/>
      <c r="BH80" s="735"/>
      <c r="BI80" s="735"/>
      <c r="BJ80" s="735"/>
      <c r="BK80" s="735"/>
      <c r="BL80" s="735"/>
      <c r="BM80" s="735"/>
      <c r="BN80" s="735"/>
      <c r="BO80" s="735"/>
      <c r="BP80" s="735"/>
      <c r="BQ80" s="735"/>
      <c r="BR80" s="735"/>
      <c r="BS80" s="735"/>
      <c r="BT80" s="735"/>
      <c r="BU80" s="735"/>
      <c r="BV80" s="735"/>
      <c r="BW80" s="735"/>
      <c r="BX80" s="735"/>
      <c r="BY80" s="735"/>
      <c r="BZ80" s="735"/>
      <c r="CA80" s="735"/>
      <c r="CB80" s="735"/>
      <c r="CC80" s="735"/>
      <c r="CD80" s="735"/>
      <c r="CE80" s="735"/>
      <c r="CF80" s="735"/>
      <c r="CG80" s="735"/>
      <c r="CH80" s="735"/>
      <c r="CI80" s="735"/>
      <c r="CJ80" s="735"/>
      <c r="CK80" s="735"/>
      <c r="CL80" s="735"/>
      <c r="CM80" s="735"/>
      <c r="CN80" s="735"/>
      <c r="CO80" s="735"/>
      <c r="CP80" s="735"/>
      <c r="CQ80" s="735"/>
      <c r="CR80" s="735"/>
      <c r="CS80" s="735"/>
      <c r="CT80" s="735"/>
      <c r="CU80" s="735"/>
      <c r="CV80" s="735"/>
      <c r="CW80" s="735"/>
      <c r="CX80" s="735"/>
      <c r="CY80" s="735"/>
      <c r="CZ80" s="735"/>
      <c r="DA80" s="735"/>
      <c r="DB80" s="735"/>
      <c r="DC80" s="735"/>
      <c r="DD80" s="735"/>
      <c r="DE80" s="735"/>
      <c r="DF80" s="735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360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362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360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362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363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364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365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305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306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307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308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309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310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311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312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313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314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315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316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317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318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319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320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366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322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323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324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325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326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327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328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329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330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331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332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333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334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335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336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337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338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339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340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342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343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344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345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346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367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348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349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350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354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355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368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365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305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306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307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308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309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310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311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312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313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314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315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316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317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318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319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320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366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322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323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324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325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326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327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328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329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330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331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332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333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334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335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336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337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338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339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340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342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343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344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345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346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367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348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349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350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354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355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369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370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371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372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373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374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375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376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377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378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379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380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381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348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382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311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312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313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314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315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316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317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318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319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320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366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322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323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324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325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326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327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328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329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330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331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332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333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334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335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336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337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338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339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340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342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343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344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345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346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367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348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349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350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351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352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354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383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311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312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313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314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315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316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317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318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319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320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366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322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323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324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325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326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327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328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329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330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331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332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333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334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335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336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337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338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339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340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342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343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344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345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346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367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348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349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350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351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352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354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7"/>
      <c r="D2336" s="777"/>
      <c r="E2336" s="777"/>
      <c r="F2336" s="777"/>
      <c r="G2336" s="777"/>
      <c r="H2336" s="777"/>
      <c r="I2336" s="777"/>
      <c r="J2336" s="777"/>
      <c r="K2336" s="777"/>
      <c r="L2336" s="777"/>
      <c r="M2336" s="777"/>
      <c r="N2336" s="777"/>
      <c r="O2336" s="266"/>
      <c r="P2336" s="266"/>
      <c r="Q2336" s="778"/>
      <c r="R2336" s="735"/>
      <c r="S2336" s="735"/>
      <c r="T2336" s="735"/>
      <c r="U2336" s="735"/>
      <c r="V2336" s="735"/>
      <c r="W2336" s="735"/>
      <c r="X2336" s="735"/>
    </row>
    <row r="2337" spans="1:26">
      <c r="B2337" s="323"/>
      <c r="C2337" s="777">
        <v>39814</v>
      </c>
      <c r="D2337" s="777">
        <v>39845</v>
      </c>
      <c r="E2337" s="777">
        <v>39873</v>
      </c>
      <c r="F2337" s="777">
        <v>39904</v>
      </c>
      <c r="G2337" s="777">
        <v>39934</v>
      </c>
      <c r="H2337" s="777">
        <v>39965</v>
      </c>
      <c r="I2337" s="777">
        <v>39995</v>
      </c>
      <c r="J2337" s="777">
        <v>40026</v>
      </c>
      <c r="K2337" s="777">
        <v>40057</v>
      </c>
      <c r="L2337" s="777">
        <v>40087</v>
      </c>
      <c r="M2337" s="777">
        <v>40118</v>
      </c>
      <c r="N2337" s="777">
        <v>40148</v>
      </c>
      <c r="O2337" s="267"/>
      <c r="P2337" s="267"/>
      <c r="Q2337" s="779"/>
      <c r="R2337" s="735"/>
      <c r="S2337" s="735"/>
      <c r="T2337" s="735"/>
      <c r="U2337" s="735"/>
      <c r="V2337" s="735"/>
      <c r="W2337" s="735"/>
      <c r="X2337" s="735"/>
      <c r="Y2337" s="735"/>
      <c r="Z2337" s="735"/>
    </row>
    <row r="2338" spans="1:26" ht="21.75" customHeight="1">
      <c r="A2338" s="323"/>
      <c r="B2338" s="323"/>
      <c r="C2338" s="776"/>
      <c r="D2338" s="776"/>
      <c r="E2338" s="776"/>
      <c r="F2338" s="776"/>
      <c r="G2338" s="776"/>
      <c r="H2338" s="211" t="s">
        <v>384</v>
      </c>
      <c r="I2338" s="214"/>
      <c r="J2338" s="776"/>
      <c r="K2338" s="776"/>
      <c r="L2338" s="776"/>
      <c r="M2338" s="776"/>
      <c r="N2338" s="776"/>
      <c r="Q2338" s="735"/>
      <c r="R2338" s="735"/>
      <c r="S2338" s="735"/>
      <c r="T2338" s="735"/>
      <c r="U2338" s="735"/>
      <c r="V2338" s="735"/>
      <c r="W2338" s="735"/>
      <c r="X2338" s="735"/>
      <c r="Y2338" s="735"/>
      <c r="Z2338" s="735"/>
    </row>
    <row r="2339" spans="1:26" ht="13.5" thickBot="1">
      <c r="A2339" s="323"/>
      <c r="B2339" s="323"/>
      <c r="C2339" s="776"/>
      <c r="D2339" s="776"/>
      <c r="E2339" s="776"/>
      <c r="F2339" s="776"/>
      <c r="G2339" s="776"/>
      <c r="H2339" s="776"/>
      <c r="I2339" s="776"/>
      <c r="J2339" s="776"/>
      <c r="K2339" s="776"/>
      <c r="L2339" s="776"/>
      <c r="M2339" s="776"/>
      <c r="N2339" s="776"/>
      <c r="Q2339" s="735"/>
      <c r="R2339" s="735"/>
      <c r="S2339" s="735"/>
      <c r="T2339" s="735"/>
      <c r="U2339" s="735"/>
      <c r="V2339" s="735"/>
      <c r="W2339" s="735"/>
      <c r="X2339" s="735"/>
      <c r="Y2339" s="735"/>
      <c r="Z2339" s="735"/>
    </row>
    <row r="2340" spans="1:26" s="219" customFormat="1" ht="27.75" customHeight="1" thickTop="1" thickBot="1">
      <c r="A2340" s="324"/>
      <c r="B2340" s="325"/>
      <c r="C2340" s="268" t="s">
        <v>280</v>
      </c>
      <c r="D2340" s="268" t="s">
        <v>281</v>
      </c>
      <c r="E2340" s="268" t="s">
        <v>282</v>
      </c>
      <c r="F2340" s="268" t="s">
        <v>283</v>
      </c>
      <c r="G2340" s="268" t="s">
        <v>284</v>
      </c>
      <c r="H2340" s="268" t="s">
        <v>285</v>
      </c>
      <c r="I2340" s="268" t="s">
        <v>286</v>
      </c>
      <c r="J2340" s="268" t="s">
        <v>287</v>
      </c>
      <c r="K2340" s="268" t="s">
        <v>288</v>
      </c>
      <c r="L2340" s="268" t="s">
        <v>289</v>
      </c>
      <c r="M2340" s="268" t="s">
        <v>290</v>
      </c>
      <c r="N2340" s="269" t="s">
        <v>291</v>
      </c>
      <c r="O2340" s="226" t="s">
        <v>385</v>
      </c>
      <c r="P2340" s="270" t="s">
        <v>293</v>
      </c>
      <c r="Q2340" s="230" t="s">
        <v>386</v>
      </c>
      <c r="R2340" s="780"/>
      <c r="S2340" s="780"/>
      <c r="T2340" s="780"/>
      <c r="U2340" s="780"/>
      <c r="V2340" s="780"/>
      <c r="W2340" s="780"/>
      <c r="X2340" s="780"/>
      <c r="Y2340" s="780"/>
      <c r="Z2340" s="780"/>
    </row>
    <row r="2341" spans="1:26" s="213" customFormat="1" ht="16.5" thickTop="1">
      <c r="A2341" s="326" t="s">
        <v>296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297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304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5"/>
      <c r="Z2343" s="735"/>
    </row>
    <row r="2344" spans="1:26" s="219" customFormat="1" ht="15.75">
      <c r="A2344" s="330" t="s">
        <v>365</v>
      </c>
      <c r="B2344" s="331"/>
      <c r="C2344" s="781"/>
      <c r="D2344" s="781"/>
      <c r="E2344" s="781"/>
      <c r="F2344" s="781"/>
      <c r="G2344" s="781"/>
      <c r="H2344" s="781"/>
      <c r="I2344" s="781"/>
      <c r="J2344" s="781"/>
      <c r="K2344" s="781"/>
      <c r="L2344" s="781"/>
      <c r="M2344" s="781"/>
      <c r="N2344" s="782"/>
      <c r="O2344" s="273"/>
      <c r="P2344" s="274">
        <f t="shared" si="44"/>
        <v>0</v>
      </c>
      <c r="Q2344" s="275">
        <f t="shared" si="45"/>
        <v>0</v>
      </c>
      <c r="R2344" s="780"/>
      <c r="S2344" s="780"/>
      <c r="T2344" s="780"/>
      <c r="U2344" s="780"/>
      <c r="V2344" s="780"/>
      <c r="W2344" s="780"/>
      <c r="X2344" s="780"/>
      <c r="Y2344" s="780"/>
      <c r="Z2344" s="780"/>
    </row>
    <row r="2345" spans="1:26" s="219" customFormat="1" ht="18.75" customHeight="1">
      <c r="A2345" s="783" t="s">
        <v>387</v>
      </c>
      <c r="B2345" s="784" t="s">
        <v>388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80"/>
      <c r="S2345" s="780"/>
      <c r="T2345" s="780"/>
      <c r="U2345" s="780"/>
      <c r="V2345" s="780"/>
      <c r="W2345" s="780"/>
      <c r="X2345" s="780"/>
      <c r="Y2345" s="780"/>
      <c r="Z2345" s="780"/>
    </row>
    <row r="2346" spans="1:26" s="219" customFormat="1" ht="18.75" customHeight="1">
      <c r="A2346" s="783" t="s">
        <v>389</v>
      </c>
      <c r="B2346" s="784" t="s">
        <v>388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80"/>
      <c r="S2346" s="780"/>
      <c r="T2346" s="780"/>
      <c r="U2346" s="780"/>
      <c r="V2346" s="780"/>
      <c r="W2346" s="780"/>
      <c r="X2346" s="780"/>
      <c r="Y2346" s="780"/>
      <c r="Z2346" s="780"/>
    </row>
    <row r="2347" spans="1:26" s="219" customFormat="1" ht="18.75" customHeight="1">
      <c r="A2347" s="783" t="s">
        <v>390</v>
      </c>
      <c r="B2347" s="784" t="s">
        <v>388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80"/>
      <c r="S2347" s="780"/>
      <c r="T2347" s="780"/>
      <c r="U2347" s="780"/>
      <c r="V2347" s="780"/>
      <c r="W2347" s="780"/>
      <c r="X2347" s="780"/>
      <c r="Y2347" s="780"/>
      <c r="Z2347" s="780"/>
    </row>
    <row r="2348" spans="1:26" s="219" customFormat="1" ht="18.75" customHeight="1" thickBot="1">
      <c r="A2348" s="783" t="s">
        <v>391</v>
      </c>
      <c r="B2348" s="784" t="s">
        <v>388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80"/>
      <c r="S2348" s="780"/>
      <c r="T2348" s="780"/>
      <c r="U2348" s="780"/>
      <c r="V2348" s="780"/>
      <c r="W2348" s="780"/>
      <c r="X2348" s="780"/>
      <c r="Y2348" s="780"/>
      <c r="Z2348" s="780"/>
    </row>
    <row r="2349" spans="1:26" s="220" customFormat="1" ht="21.75" customHeight="1" thickTop="1" thickBot="1">
      <c r="A2349" s="379" t="s">
        <v>309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7"/>
      <c r="D2350" s="777"/>
      <c r="E2350" s="777"/>
      <c r="F2350" s="777"/>
      <c r="G2350" s="777"/>
      <c r="H2350" s="777"/>
      <c r="I2350" s="777"/>
      <c r="J2350" s="777"/>
      <c r="K2350" s="777"/>
      <c r="L2350" s="777"/>
      <c r="M2350" s="777"/>
      <c r="N2350" s="777"/>
      <c r="O2350" s="267"/>
      <c r="P2350" s="274">
        <f t="shared" si="44"/>
        <v>0</v>
      </c>
      <c r="Q2350" s="275">
        <f t="shared" si="45"/>
        <v>0</v>
      </c>
      <c r="R2350" s="735"/>
      <c r="S2350" s="735"/>
      <c r="T2350" s="735"/>
      <c r="U2350" s="735"/>
      <c r="V2350" s="735"/>
      <c r="W2350" s="735"/>
      <c r="X2350" s="735"/>
      <c r="Y2350" s="735"/>
      <c r="Z2350" s="735"/>
    </row>
    <row r="2351" spans="1:26" s="10" customFormat="1" ht="17.25" thickTop="1" thickBot="1">
      <c r="A2351" s="334" t="s">
        <v>354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5"/>
      <c r="Z2351" s="735"/>
    </row>
    <row r="2352" spans="1:26" s="10" customFormat="1" ht="17.25" thickTop="1" thickBot="1">
      <c r="A2352" s="336" t="s">
        <v>355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5"/>
      <c r="Z2352" s="735"/>
    </row>
    <row r="2353" spans="1:26" s="10" customFormat="1" ht="19.5" customHeight="1" thickBot="1">
      <c r="A2353" s="337" t="s">
        <v>356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5"/>
      <c r="Z2353" s="735"/>
    </row>
    <row r="2354" spans="1:26" ht="13.5" thickTop="1">
      <c r="A2354" s="323"/>
      <c r="B2354" s="323"/>
      <c r="C2354" s="776"/>
      <c r="D2354" s="776"/>
      <c r="E2354" s="776"/>
      <c r="F2354" s="776"/>
      <c r="G2354" s="776"/>
      <c r="H2354" s="776"/>
      <c r="I2354" s="776"/>
      <c r="J2354" s="776"/>
      <c r="K2354" s="776"/>
      <c r="L2354" s="776"/>
      <c r="M2354" s="776"/>
      <c r="N2354" s="776"/>
      <c r="O2354" s="776"/>
      <c r="P2354" s="776"/>
      <c r="Q2354" s="776"/>
      <c r="R2354" s="776"/>
      <c r="S2354" s="776"/>
      <c r="T2354" s="10"/>
      <c r="U2354" s="735"/>
      <c r="V2354" s="735"/>
      <c r="W2354" s="735"/>
      <c r="X2354" s="735"/>
      <c r="Y2354" s="735"/>
      <c r="Z2354" s="735"/>
    </row>
    <row r="2355" spans="1:26" ht="21.75" customHeight="1">
      <c r="A2355" s="323"/>
      <c r="B2355" s="323"/>
      <c r="C2355" s="776"/>
      <c r="D2355" s="776"/>
      <c r="E2355" s="776"/>
      <c r="F2355" s="776"/>
      <c r="G2355" s="776"/>
      <c r="H2355" s="211" t="s">
        <v>392</v>
      </c>
      <c r="I2355" s="214"/>
      <c r="J2355" s="776"/>
      <c r="K2355" s="776"/>
      <c r="L2355" s="776"/>
      <c r="M2355" s="776"/>
      <c r="N2355" s="776"/>
      <c r="Q2355" s="735"/>
      <c r="R2355" s="735"/>
      <c r="S2355" s="735"/>
      <c r="T2355" s="735"/>
      <c r="U2355" s="735"/>
      <c r="V2355" s="735"/>
      <c r="W2355" s="735"/>
      <c r="X2355" s="735"/>
      <c r="Y2355" s="735"/>
      <c r="Z2355" s="735"/>
    </row>
    <row r="2356" spans="1:26" ht="13.5" thickBot="1">
      <c r="A2356" s="323"/>
      <c r="B2356" s="323"/>
      <c r="C2356" s="776"/>
      <c r="D2356" s="776"/>
      <c r="E2356" s="776"/>
      <c r="F2356" s="776"/>
      <c r="G2356" s="776"/>
      <c r="H2356" s="776"/>
      <c r="I2356" s="776"/>
      <c r="J2356" s="776"/>
      <c r="K2356" s="776"/>
      <c r="L2356" s="776"/>
      <c r="M2356" s="776"/>
      <c r="N2356" s="776"/>
      <c r="Q2356" s="735"/>
      <c r="R2356" s="735"/>
      <c r="S2356" s="735"/>
      <c r="T2356" s="735"/>
      <c r="U2356" s="735"/>
      <c r="V2356" s="735"/>
      <c r="W2356" s="735"/>
      <c r="X2356" s="735"/>
      <c r="Y2356" s="735"/>
      <c r="Z2356" s="735"/>
    </row>
    <row r="2357" spans="1:26" s="219" customFormat="1" ht="27.75" customHeight="1" thickTop="1" thickBot="1">
      <c r="A2357" s="324"/>
      <c r="B2357" s="325"/>
      <c r="C2357" s="268" t="s">
        <v>280</v>
      </c>
      <c r="D2357" s="268" t="s">
        <v>281</v>
      </c>
      <c r="E2357" s="268" t="s">
        <v>282</v>
      </c>
      <c r="F2357" s="268" t="s">
        <v>283</v>
      </c>
      <c r="G2357" s="268" t="s">
        <v>284</v>
      </c>
      <c r="H2357" s="268" t="s">
        <v>285</v>
      </c>
      <c r="I2357" s="268" t="s">
        <v>286</v>
      </c>
      <c r="J2357" s="268" t="s">
        <v>287</v>
      </c>
      <c r="K2357" s="268" t="s">
        <v>288</v>
      </c>
      <c r="L2357" s="268" t="s">
        <v>289</v>
      </c>
      <c r="M2357" s="268" t="s">
        <v>290</v>
      </c>
      <c r="N2357" s="269" t="s">
        <v>291</v>
      </c>
      <c r="O2357" s="226" t="s">
        <v>385</v>
      </c>
      <c r="P2357" s="270" t="s">
        <v>293</v>
      </c>
      <c r="Q2357" s="230" t="s">
        <v>386</v>
      </c>
      <c r="R2357" s="780"/>
      <c r="S2357" s="780"/>
      <c r="T2357" s="780"/>
      <c r="U2357" s="780"/>
      <c r="V2357" s="780"/>
      <c r="W2357" s="780"/>
      <c r="X2357" s="780"/>
      <c r="Y2357" s="780"/>
      <c r="Z2357" s="780"/>
    </row>
    <row r="2358" spans="1:26" s="213" customFormat="1" ht="16.5" thickTop="1">
      <c r="A2358" s="326" t="s">
        <v>296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297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304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5"/>
      <c r="Z2360" s="735"/>
    </row>
    <row r="2361" spans="1:26" s="219" customFormat="1" ht="15.75">
      <c r="A2361" s="330" t="s">
        <v>365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80"/>
      <c r="S2361" s="780"/>
      <c r="T2361" s="780"/>
      <c r="U2361" s="780"/>
      <c r="V2361" s="780"/>
      <c r="W2361" s="780"/>
      <c r="X2361" s="780"/>
      <c r="Y2361" s="780"/>
      <c r="Z2361" s="780"/>
    </row>
    <row r="2362" spans="1:26" s="219" customFormat="1" ht="18.75" customHeight="1">
      <c r="A2362" s="783" t="s">
        <v>387</v>
      </c>
      <c r="B2362" s="784" t="s">
        <v>388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80"/>
      <c r="S2362" s="780"/>
      <c r="T2362" s="780"/>
      <c r="U2362" s="780"/>
      <c r="V2362" s="780"/>
      <c r="W2362" s="780"/>
      <c r="X2362" s="780"/>
      <c r="Y2362" s="780"/>
      <c r="Z2362" s="780"/>
    </row>
    <row r="2363" spans="1:26" s="219" customFormat="1" ht="18.75" customHeight="1">
      <c r="A2363" s="783" t="s">
        <v>389</v>
      </c>
      <c r="B2363" s="784" t="s">
        <v>388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80"/>
      <c r="S2363" s="780"/>
      <c r="T2363" s="780"/>
      <c r="U2363" s="780"/>
      <c r="V2363" s="780"/>
      <c r="W2363" s="780"/>
      <c r="X2363" s="780"/>
      <c r="Y2363" s="780"/>
      <c r="Z2363" s="780"/>
    </row>
    <row r="2364" spans="1:26" s="219" customFormat="1" ht="18.75" customHeight="1">
      <c r="A2364" s="783" t="s">
        <v>390</v>
      </c>
      <c r="B2364" s="784" t="s">
        <v>388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80"/>
      <c r="S2364" s="780"/>
      <c r="T2364" s="780"/>
      <c r="U2364" s="780"/>
      <c r="V2364" s="780"/>
      <c r="W2364" s="780"/>
      <c r="X2364" s="780"/>
      <c r="Y2364" s="780"/>
      <c r="Z2364" s="780"/>
    </row>
    <row r="2365" spans="1:26" s="219" customFormat="1" ht="18.75" customHeight="1" thickBot="1">
      <c r="A2365" s="783" t="s">
        <v>391</v>
      </c>
      <c r="B2365" s="784" t="s">
        <v>388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80"/>
      <c r="S2365" s="780"/>
      <c r="T2365" s="780"/>
      <c r="U2365" s="780"/>
      <c r="V2365" s="780"/>
      <c r="W2365" s="780"/>
      <c r="X2365" s="780"/>
      <c r="Y2365" s="780"/>
      <c r="Z2365" s="780"/>
    </row>
    <row r="2366" spans="1:26" s="220" customFormat="1" ht="21.75" customHeight="1" thickTop="1" thickBot="1">
      <c r="A2366" s="332" t="s">
        <v>309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7"/>
      <c r="D2367" s="777"/>
      <c r="E2367" s="777"/>
      <c r="F2367" s="777"/>
      <c r="G2367" s="777"/>
      <c r="H2367" s="777"/>
      <c r="I2367" s="777"/>
      <c r="J2367" s="777"/>
      <c r="K2367" s="777"/>
      <c r="L2367" s="777"/>
      <c r="M2367" s="777"/>
      <c r="N2367" s="777"/>
      <c r="O2367" s="267"/>
      <c r="P2367" s="274">
        <f t="shared" si="49"/>
        <v>0</v>
      </c>
      <c r="Q2367" s="275">
        <f t="shared" si="50"/>
        <v>0</v>
      </c>
      <c r="R2367" s="735"/>
      <c r="S2367" s="735"/>
      <c r="T2367" s="735"/>
      <c r="U2367" s="735"/>
      <c r="V2367" s="735"/>
      <c r="W2367" s="735"/>
      <c r="X2367" s="735"/>
      <c r="Y2367" s="735"/>
      <c r="Z2367" s="735"/>
    </row>
    <row r="2368" spans="1:26" s="10" customFormat="1" ht="17.25" thickTop="1" thickBot="1">
      <c r="A2368" s="334" t="s">
        <v>354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5"/>
      <c r="Z2368" s="735"/>
    </row>
    <row r="2369" spans="1:26" s="10" customFormat="1" ht="17.25" thickTop="1" thickBot="1">
      <c r="A2369" s="336" t="s">
        <v>355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5"/>
      <c r="Z2369" s="735"/>
    </row>
    <row r="2370" spans="1:26" s="10" customFormat="1" ht="19.5" customHeight="1" thickBot="1">
      <c r="A2370" s="337" t="s">
        <v>356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5"/>
      <c r="Z2370" s="735"/>
    </row>
    <row r="2371" spans="1:26" ht="13.5" thickTop="1">
      <c r="C2371" s="776"/>
      <c r="D2371" s="776"/>
      <c r="E2371" s="776"/>
      <c r="F2371" s="776"/>
      <c r="G2371" s="776"/>
      <c r="H2371" s="776"/>
      <c r="I2371" s="776"/>
      <c r="J2371" s="776"/>
      <c r="K2371" s="776"/>
      <c r="L2371" s="776"/>
      <c r="M2371" s="776"/>
      <c r="N2371" s="776"/>
      <c r="Q2371" s="735"/>
      <c r="R2371" s="735"/>
      <c r="S2371" s="735"/>
      <c r="T2371" s="735"/>
      <c r="U2371" s="735"/>
      <c r="V2371" s="735"/>
      <c r="W2371" s="735"/>
      <c r="X2371" s="735"/>
      <c r="Y2371" s="735"/>
      <c r="Z2371" s="73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C12" zoomScaleSheetLayoutView="100" workbookViewId="0">
      <selection activeCell="F20" sqref="F20:F21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70"/>
      <c r="C5" s="670"/>
      <c r="D5" s="670"/>
      <c r="E5" s="670"/>
      <c r="F5" s="670"/>
      <c r="G5" s="670"/>
      <c r="H5" s="670"/>
      <c r="I5" s="670"/>
      <c r="J5" s="670"/>
      <c r="K5" s="670"/>
    </row>
    <row r="6" spans="2:13" ht="27">
      <c r="B6" s="670"/>
      <c r="C6" s="670"/>
      <c r="D6" s="670"/>
      <c r="E6" s="670" t="s">
        <v>393</v>
      </c>
      <c r="F6" s="671"/>
      <c r="G6" s="670"/>
      <c r="H6" s="672" t="str">
        <f>Elect!A1</f>
        <v>August</v>
      </c>
      <c r="I6" s="670"/>
      <c r="J6" s="670"/>
      <c r="K6" s="670"/>
    </row>
    <row r="9" spans="2:13" ht="13.5" customHeight="1">
      <c r="B9" s="929" t="s">
        <v>394</v>
      </c>
      <c r="C9" s="930"/>
      <c r="D9" s="930"/>
      <c r="E9" s="930"/>
      <c r="F9" s="930"/>
      <c r="G9" s="930"/>
      <c r="H9" s="930"/>
      <c r="I9" s="930"/>
      <c r="J9" s="930"/>
      <c r="K9" s="930"/>
      <c r="L9" s="930"/>
      <c r="M9" s="930"/>
    </row>
    <row r="10" spans="2:13" ht="13.5" customHeight="1" thickBot="1">
      <c r="B10" s="931"/>
      <c r="C10" s="932"/>
      <c r="D10" s="932"/>
      <c r="E10" s="932"/>
      <c r="F10" s="932"/>
      <c r="G10" s="932"/>
      <c r="H10" s="932"/>
      <c r="I10" s="932"/>
      <c r="J10" s="932"/>
      <c r="K10" s="932"/>
      <c r="L10" s="932"/>
      <c r="M10" s="932"/>
    </row>
    <row r="11" spans="2:13" ht="16.5" thickBot="1">
      <c r="B11" s="942" t="s">
        <v>395</v>
      </c>
      <c r="C11" s="942"/>
      <c r="D11" s="942" t="s">
        <v>396</v>
      </c>
      <c r="E11" s="942"/>
      <c r="F11" s="942" t="s">
        <v>397</v>
      </c>
      <c r="G11" s="942"/>
      <c r="H11" s="940" t="s">
        <v>398</v>
      </c>
      <c r="I11" s="941"/>
      <c r="J11" s="940" t="s">
        <v>399</v>
      </c>
      <c r="K11" s="941"/>
      <c r="L11" s="940" t="s">
        <v>400</v>
      </c>
      <c r="M11" s="941"/>
    </row>
    <row r="12" spans="2:13" ht="16.5" thickBot="1">
      <c r="B12" s="673" t="s">
        <v>401</v>
      </c>
      <c r="C12" s="673" t="s">
        <v>402</v>
      </c>
      <c r="D12" s="673" t="s">
        <v>401</v>
      </c>
      <c r="E12" s="673" t="s">
        <v>402</v>
      </c>
      <c r="F12" s="673" t="s">
        <v>401</v>
      </c>
      <c r="G12" s="673" t="s">
        <v>402</v>
      </c>
      <c r="H12" s="673" t="s">
        <v>401</v>
      </c>
      <c r="I12" s="673" t="s">
        <v>402</v>
      </c>
      <c r="J12" s="673" t="s">
        <v>401</v>
      </c>
      <c r="K12" s="673" t="s">
        <v>402</v>
      </c>
      <c r="L12" s="673" t="s">
        <v>401</v>
      </c>
      <c r="M12" s="673" t="s">
        <v>402</v>
      </c>
    </row>
    <row r="13" spans="2:13" ht="13.5" thickBot="1">
      <c r="B13" s="674">
        <f>Elect!AN37</f>
        <v>463918.85800000012</v>
      </c>
      <c r="C13" s="760">
        <f>(B13*1.15)+(2879*60*0.72)</f>
        <v>657879.48670000001</v>
      </c>
      <c r="D13" s="674">
        <f>Elect!J37</f>
        <v>164192</v>
      </c>
      <c r="E13" s="760">
        <f>(D13*1.15)+(573*60)+10000</f>
        <v>233200.8</v>
      </c>
      <c r="F13" s="674">
        <f>Elect!BI37</f>
        <v>409051.2</v>
      </c>
      <c r="G13" s="760">
        <f>(F13*1.15)</f>
        <v>470408.88</v>
      </c>
      <c r="H13" s="674">
        <f>Elect!Q37</f>
        <v>18750</v>
      </c>
      <c r="I13" s="760">
        <f>H13*1.6+1500</f>
        <v>31500</v>
      </c>
      <c r="J13" s="800">
        <f>B13+D13+F13+H13</f>
        <v>1055912.0580000002</v>
      </c>
      <c r="K13" s="761">
        <f>G13+E13+C13+I13</f>
        <v>1392989.1666999999</v>
      </c>
      <c r="L13" s="800">
        <f>B13+F13</f>
        <v>872970.05800000019</v>
      </c>
      <c r="M13" s="762">
        <f>C13+G13</f>
        <v>1128288.3667000001</v>
      </c>
    </row>
    <row r="16" spans="2:13" ht="0.75" customHeight="1" thickBot="1">
      <c r="K16">
        <f>K18</f>
        <v>1662996.3747</v>
      </c>
    </row>
    <row r="17" spans="4:11" ht="13.5" customHeight="1">
      <c r="E17" s="933" t="s">
        <v>403</v>
      </c>
      <c r="F17" s="934"/>
      <c r="J17" s="758" t="s">
        <v>404</v>
      </c>
      <c r="K17" s="759">
        <f>K13/J13</f>
        <v>1.3192283923137089</v>
      </c>
    </row>
    <row r="18" spans="4:11" ht="34.5" customHeight="1" thickBot="1">
      <c r="E18" s="935"/>
      <c r="F18" s="936"/>
      <c r="J18" s="758" t="s">
        <v>405</v>
      </c>
      <c r="K18" s="763">
        <f>K13+F20+F27+G35</f>
        <v>1662996.3747</v>
      </c>
    </row>
    <row r="19" spans="4:11" ht="13.5" thickBot="1">
      <c r="E19" s="676" t="s">
        <v>406</v>
      </c>
      <c r="F19" s="676" t="s">
        <v>402</v>
      </c>
    </row>
    <row r="20" spans="4:11" ht="13.5" thickBot="1">
      <c r="E20" s="937">
        <f>Water!H38</f>
        <v>14865.979999999998</v>
      </c>
      <c r="F20" s="939">
        <f>E20*10</f>
        <v>148659.79999999999</v>
      </c>
    </row>
    <row r="21" spans="4:11" ht="13.5" thickBot="1">
      <c r="E21" s="938"/>
      <c r="F21" s="939"/>
    </row>
    <row r="23" spans="4:11" ht="13.5" thickBot="1"/>
    <row r="24" spans="4:11" ht="13.5" thickBot="1">
      <c r="E24" s="943" t="s">
        <v>407</v>
      </c>
      <c r="F24" s="943"/>
    </row>
    <row r="25" spans="4:11" ht="11.25" customHeight="1" thickBot="1">
      <c r="E25" s="943"/>
      <c r="F25" s="943"/>
      <c r="H25" s="83"/>
    </row>
    <row r="26" spans="4:11" ht="13.5" thickBot="1">
      <c r="E26" s="676" t="s">
        <v>406</v>
      </c>
      <c r="F26" s="676" t="s">
        <v>402</v>
      </c>
    </row>
    <row r="27" spans="4:11" ht="13.5" thickBot="1">
      <c r="E27" s="938">
        <f>Gas!C38</f>
        <v>23862.720000000001</v>
      </c>
      <c r="F27" s="939">
        <f>E27*3.9</f>
        <v>93064.608000000007</v>
      </c>
    </row>
    <row r="28" spans="4:11" ht="13.5" thickBot="1">
      <c r="E28" s="938"/>
      <c r="F28" s="939"/>
    </row>
    <row r="30" spans="4:11" ht="13.5" thickBot="1"/>
    <row r="31" spans="4:11" ht="20.25">
      <c r="D31" s="944" t="s">
        <v>408</v>
      </c>
      <c r="E31" s="945"/>
      <c r="F31" s="945"/>
      <c r="G31" s="946"/>
      <c r="H31" s="678"/>
      <c r="I31" s="678"/>
    </row>
    <row r="32" spans="4:11" ht="21" thickBot="1">
      <c r="D32" s="929"/>
      <c r="E32" s="930"/>
      <c r="F32" s="930"/>
      <c r="G32" s="947"/>
      <c r="H32" s="678"/>
      <c r="I32" s="678"/>
    </row>
    <row r="33" spans="3:9" ht="13.5" thickBot="1">
      <c r="D33" s="679" t="s">
        <v>409</v>
      </c>
      <c r="E33" s="679" t="s">
        <v>410</v>
      </c>
      <c r="F33" s="679" t="s">
        <v>411</v>
      </c>
      <c r="G33" s="679" t="s">
        <v>402</v>
      </c>
      <c r="H33" s="680"/>
      <c r="I33" s="680"/>
    </row>
    <row r="34" spans="3:9" ht="13.5" thickBot="1">
      <c r="C34" s="742"/>
      <c r="D34" s="684">
        <f>Gas!D6</f>
        <v>383244</v>
      </c>
      <c r="E34" s="684">
        <f>Gas!D36</f>
        <v>393282</v>
      </c>
      <c r="F34" s="717">
        <f>Gas!E38</f>
        <v>7251.9999999999982</v>
      </c>
      <c r="G34" s="801">
        <f>F34*3.9</f>
        <v>28282.799999999992</v>
      </c>
      <c r="H34" s="682"/>
      <c r="I34" s="682"/>
    </row>
    <row r="35" spans="3:9" ht="18.75" thickBot="1">
      <c r="D35" s="951" t="s">
        <v>412</v>
      </c>
      <c r="E35" s="951"/>
      <c r="F35" s="951"/>
      <c r="G35" s="801">
        <f>G34</f>
        <v>28282.799999999992</v>
      </c>
      <c r="H35" s="33"/>
      <c r="I35" s="33"/>
    </row>
    <row r="37" spans="3:9" ht="13.5" thickBot="1"/>
    <row r="38" spans="3:9" ht="20.25">
      <c r="D38" s="944" t="s">
        <v>413</v>
      </c>
      <c r="E38" s="945"/>
      <c r="F38" s="945"/>
      <c r="G38" s="946"/>
      <c r="H38" s="678"/>
      <c r="I38" s="678"/>
    </row>
    <row r="39" spans="3:9" ht="21" thickBot="1">
      <c r="D39" s="929"/>
      <c r="E39" s="930"/>
      <c r="F39" s="930"/>
      <c r="G39" s="947"/>
      <c r="H39" s="678"/>
      <c r="I39" s="678"/>
    </row>
    <row r="40" spans="3:9" ht="18.75" customHeight="1" thickBot="1">
      <c r="D40" s="679" t="s">
        <v>409</v>
      </c>
      <c r="E40" s="679" t="s">
        <v>410</v>
      </c>
      <c r="F40" s="679" t="s">
        <v>401</v>
      </c>
      <c r="G40" s="679" t="s">
        <v>402</v>
      </c>
      <c r="H40" s="680"/>
      <c r="I40" s="680"/>
    </row>
    <row r="41" spans="3:9" ht="13.5" thickBot="1">
      <c r="C41" s="681" t="s">
        <v>87</v>
      </c>
      <c r="D41" s="685">
        <f>Elect!R5</f>
        <v>156363</v>
      </c>
      <c r="E41" s="764">
        <f>Elect!R36</f>
        <v>160931</v>
      </c>
      <c r="F41" s="686">
        <f>E41-D41</f>
        <v>4568</v>
      </c>
      <c r="G41" s="766">
        <f>F41*1.15</f>
        <v>5253.2</v>
      </c>
      <c r="H41" s="687"/>
      <c r="I41" s="687"/>
    </row>
    <row r="42" spans="3:9" ht="13.5" thickBot="1">
      <c r="C42" s="681" t="s">
        <v>88</v>
      </c>
      <c r="D42" s="685">
        <f>Elect!T5</f>
        <v>284891</v>
      </c>
      <c r="E42" s="685">
        <f>Elect!T36</f>
        <v>293749</v>
      </c>
      <c r="F42" s="686">
        <f>E42-D42</f>
        <v>8858</v>
      </c>
      <c r="G42" s="766">
        <f>F42*1.15</f>
        <v>10186.699999999999</v>
      </c>
      <c r="H42" s="687"/>
      <c r="I42" s="687"/>
    </row>
    <row r="43" spans="3:9" ht="18.75" thickBot="1">
      <c r="D43" s="948" t="s">
        <v>412</v>
      </c>
      <c r="E43" s="949"/>
      <c r="F43" s="950"/>
      <c r="G43" s="767">
        <f>G42+G41</f>
        <v>15439.899999999998</v>
      </c>
      <c r="H43" s="33"/>
      <c r="I43" s="33"/>
    </row>
    <row r="44" spans="3:9">
      <c r="F44" s="225"/>
    </row>
    <row r="48" spans="3:9" ht="13.5" thickBot="1"/>
    <row r="49" spans="3:7">
      <c r="D49" s="944" t="s">
        <v>414</v>
      </c>
      <c r="E49" s="945"/>
      <c r="F49" s="945"/>
      <c r="G49" s="946"/>
    </row>
    <row r="50" spans="3:7" ht="13.5" thickBot="1">
      <c r="D50" s="929"/>
      <c r="E50" s="930"/>
      <c r="F50" s="930"/>
      <c r="G50" s="947"/>
    </row>
    <row r="51" spans="3:7" ht="13.5" thickBot="1">
      <c r="D51" s="679" t="s">
        <v>409</v>
      </c>
      <c r="E51" s="679" t="s">
        <v>410</v>
      </c>
      <c r="F51" s="679" t="s">
        <v>406</v>
      </c>
      <c r="G51" s="679" t="s">
        <v>402</v>
      </c>
    </row>
    <row r="52" spans="3:7" ht="13.5" thickBot="1">
      <c r="C52" s="681" t="s">
        <v>415</v>
      </c>
      <c r="D52" s="684">
        <f>Water!I6</f>
        <v>228</v>
      </c>
      <c r="E52" s="685">
        <f>Water!I37</f>
        <v>231</v>
      </c>
      <c r="F52" s="800">
        <f>E52-D52</f>
        <v>3</v>
      </c>
      <c r="G52" s="677">
        <f>F52*10</f>
        <v>30</v>
      </c>
    </row>
    <row r="53" spans="3:7" ht="13.5" thickBot="1">
      <c r="C53" s="681" t="s">
        <v>416</v>
      </c>
      <c r="D53" s="685">
        <f>Water!K6</f>
        <v>3428</v>
      </c>
      <c r="E53" s="685">
        <f>Water!K37</f>
        <v>3536</v>
      </c>
      <c r="F53" s="686">
        <f>E53-D53</f>
        <v>108</v>
      </c>
      <c r="G53" s="675">
        <f>F53*10</f>
        <v>1080</v>
      </c>
    </row>
    <row r="54" spans="3:7" ht="18.75" thickBot="1">
      <c r="D54" s="948" t="s">
        <v>412</v>
      </c>
      <c r="E54" s="949"/>
      <c r="F54" s="950"/>
      <c r="G54" s="683">
        <f>G52+G53</f>
        <v>1110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customXml/itemProps2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557A52-8567-4ADB-ACD0-97D4C400F6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Total</vt:lpstr>
      <vt:lpstr>Submetering</vt:lpstr>
      <vt:lpstr>Elect</vt:lpstr>
      <vt:lpstr>Sheet1</vt:lpstr>
      <vt:lpstr>Gas</vt:lpstr>
      <vt:lpstr>Water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2022-08-19T12:58:55Z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