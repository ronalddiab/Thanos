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<sst xmlns="http://schemas.openxmlformats.org/spreadsheetml/2006/main" count="60" uniqueCount="29">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</sst>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9</v>
      </c>
      <c r="D2" s="7">
        <v>2022</v>
      </c>
      <c r="E2" s="9">
        <f>'Macao Daily'!D5</f>
        <v>29758</v>
      </c>
      <c r="F2" s="30">
        <v>1.2524</v>
      </c>
      <c r="G2" s="9">
        <f>'Macao Daily'!F5</f>
        <v>150</v>
      </c>
      <c r="H2" s="30">
        <v>9.6199999999999992</v>
      </c>
      <c r="I2" s="9">
        <f>'Macao Daily'!H5</f>
        <v>65726</v>
      </c>
      <c r="J2" s="30">
        <v>0.25</v>
      </c>
      <c r="K2" s="9">
        <f>'Macao Daily'!J5</f>
        <v>605</v>
      </c>
      <c r="L2" s="30">
        <v>7.7619999999999996</v>
      </c>
      <c r="M2" s="9">
        <f>'Macao Daily'!K5</f>
        <v>85</v>
      </c>
      <c r="N2" s="9">
        <f>'Macao Daily'!L5</f>
        <v>151</v>
      </c>
    </row>
    <row r="3" spans="1:14" ht="15" x14ac:dyDescent="0.25">
      <c r="A3" s="6" t="s">
        <v>13</v>
      </c>
      <c r="B3" s="7">
        <f>B2+1</f>
        <v>2</v>
      </c>
      <c r="C3" s="8">
        <v>9</v>
      </c>
      <c r="D3" s="7">
        <v>2022</v>
      </c>
      <c r="E3" s="9">
        <f>'Macao Daily'!D6</f>
        <v>30220</v>
      </c>
      <c r="F3" s="30">
        <v>1.2524</v>
      </c>
      <c r="G3" s="9">
        <f>'Macao Daily'!F6</f>
        <v>162</v>
      </c>
      <c r="H3" s="30">
        <v>9.6199999999999992</v>
      </c>
      <c r="I3" s="9">
        <f>'Macao Daily'!H6</f>
        <v>56680</v>
      </c>
      <c r="J3" s="30">
        <v>0.25</v>
      </c>
      <c r="K3" s="9">
        <f>'Macao Daily'!J6</f>
        <v>627</v>
      </c>
      <c r="L3" s="30">
        <v>7.7619999999999996</v>
      </c>
      <c r="M3" s="9">
        <f>'Macao Daily'!K6</f>
        <v>117</v>
      </c>
      <c r="N3" s="9">
        <f>'Macao Daily'!L6</f>
        <v>235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9</v>
      </c>
      <c r="D4" s="7">
        <v>2022</v>
      </c>
      <c r="E4" s="9">
        <f>'Macao Daily'!D7</f>
        <v>30436</v>
      </c>
      <c r="F4" s="30">
        <v>1.2524</v>
      </c>
      <c r="G4" s="9">
        <f>'Macao Daily'!F7</f>
        <v>161</v>
      </c>
      <c r="H4" s="30">
        <v>9.6199999999999992</v>
      </c>
      <c r="I4" s="9">
        <f>'Macao Daily'!H7</f>
        <v>48625</v>
      </c>
      <c r="J4" s="30">
        <v>0.25</v>
      </c>
      <c r="K4" s="9">
        <f>'Macao Daily'!J7</f>
        <v>740</v>
      </c>
      <c r="L4" s="30">
        <v>7.7619999999999996</v>
      </c>
      <c r="M4" s="9">
        <f>'Macao Daily'!K7</f>
        <v>144</v>
      </c>
      <c r="N4" s="9">
        <f>'Macao Daily'!L7</f>
        <v>434</v>
      </c>
    </row>
    <row r="5" spans="1:14" ht="15" x14ac:dyDescent="0.25">
      <c r="A5" s="6" t="s">
        <v>13</v>
      </c>
      <c r="B5" s="7">
        <f t="shared" si="0"/>
        <v>4</v>
      </c>
      <c r="C5" s="8">
        <v>9</v>
      </c>
      <c r="D5" s="7">
        <v>2022</v>
      </c>
      <c r="E5" s="9">
        <f>'Macao Daily'!D8</f>
        <v>29320</v>
      </c>
      <c r="F5" s="30">
        <v>1.2524</v>
      </c>
      <c r="G5" s="9">
        <f>'Macao Daily'!F8</f>
        <v>161</v>
      </c>
      <c r="H5" s="30">
        <v>9.6199999999999992</v>
      </c>
      <c r="I5" s="9">
        <f>'Macao Daily'!H8</f>
        <v>55344</v>
      </c>
      <c r="J5" s="30">
        <v>0.25</v>
      </c>
      <c r="K5" s="9">
        <f>'Macao Daily'!J8</f>
        <v>744</v>
      </c>
      <c r="L5" s="30">
        <v>7.7619999999999996</v>
      </c>
      <c r="M5" s="9">
        <f>'Macao Daily'!K8</f>
        <v>79</v>
      </c>
      <c r="N5" s="9">
        <f>'Macao Daily'!L8</f>
        <v>630</v>
      </c>
    </row>
    <row r="6" spans="1:14" ht="15" x14ac:dyDescent="0.25">
      <c r="A6" s="6" t="s">
        <v>13</v>
      </c>
      <c r="B6" s="7">
        <f t="shared" si="0"/>
        <v>5</v>
      </c>
      <c r="C6" s="8">
        <v>9</v>
      </c>
      <c r="D6" s="7">
        <v>2022</v>
      </c>
      <c r="E6" s="9">
        <f>'Macao Daily'!D9</f>
        <v>28444</v>
      </c>
      <c r="F6" s="30">
        <v>1.2524</v>
      </c>
      <c r="G6" s="9">
        <f>'Macao Daily'!F9</f>
        <v>141</v>
      </c>
      <c r="H6" s="30">
        <v>9.6199999999999992</v>
      </c>
      <c r="I6" s="9">
        <f>'Macao Daily'!H9</f>
        <v>46070</v>
      </c>
      <c r="J6" s="30">
        <v>0.25</v>
      </c>
      <c r="K6" s="9">
        <f>'Macao Daily'!J9</f>
        <v>737</v>
      </c>
      <c r="L6" s="30">
        <v>7.7619999999999996</v>
      </c>
      <c r="M6" s="9">
        <f>'Macao Daily'!K9</f>
        <v>74</v>
      </c>
      <c r="N6" s="9">
        <f>'Macao Daily'!L9</f>
        <v>128</v>
      </c>
    </row>
    <row r="7" spans="1:14" ht="15" x14ac:dyDescent="0.25">
      <c r="A7" s="6" t="s">
        <v>13</v>
      </c>
      <c r="B7" s="7">
        <f t="shared" si="0"/>
        <v>6</v>
      </c>
      <c r="C7" s="8">
        <v>9</v>
      </c>
      <c r="D7" s="7">
        <v>2022</v>
      </c>
      <c r="E7" s="9">
        <f>'Macao Daily'!D10</f>
        <v>29485</v>
      </c>
      <c r="F7" s="30">
        <v>1.2524</v>
      </c>
      <c r="G7" s="9">
        <f>'Macao Daily'!F10</f>
        <v>138</v>
      </c>
      <c r="H7" s="30">
        <v>9.6199999999999992</v>
      </c>
      <c r="I7" s="9">
        <f>'Macao Daily'!H10</f>
        <v>57719</v>
      </c>
      <c r="J7" s="30">
        <v>0.25</v>
      </c>
      <c r="K7" s="9">
        <f>'Macao Daily'!J10</f>
        <v>697</v>
      </c>
      <c r="L7" s="30">
        <v>7.7619999999999996</v>
      </c>
      <c r="M7" s="9">
        <f>'Macao Daily'!K10</f>
        <v>70</v>
      </c>
      <c r="N7" s="9">
        <f>'Macao Daily'!L10</f>
        <v>153</v>
      </c>
    </row>
    <row r="8" spans="1:14" ht="15" x14ac:dyDescent="0.25">
      <c r="A8" s="6" t="s">
        <v>13</v>
      </c>
      <c r="B8" s="7">
        <f t="shared" si="0"/>
        <v>7</v>
      </c>
      <c r="C8" s="8">
        <v>9</v>
      </c>
      <c r="D8" s="7">
        <v>2022</v>
      </c>
      <c r="E8" s="9">
        <f>'Macao Daily'!D11</f>
        <v>28119</v>
      </c>
      <c r="F8" s="30">
        <v>1.2524</v>
      </c>
      <c r="G8" s="9">
        <f>'Macao Daily'!F11</f>
        <v>138</v>
      </c>
      <c r="H8" s="30">
        <v>9.6199999999999992</v>
      </c>
      <c r="I8" s="9">
        <f>'Macao Daily'!H11</f>
        <v>60375</v>
      </c>
      <c r="J8" s="30">
        <v>0.25</v>
      </c>
      <c r="K8" s="9">
        <f>'Macao Daily'!J11</f>
        <v>692</v>
      </c>
      <c r="L8" s="30">
        <v>7.7619999999999996</v>
      </c>
      <c r="M8" s="9">
        <f>'Macao Daily'!K11</f>
        <v>71</v>
      </c>
      <c r="N8" s="9">
        <f>'Macao Daily'!L11</f>
        <v>106</v>
      </c>
    </row>
    <row r="9" spans="1:14" ht="15" x14ac:dyDescent="0.25">
      <c r="A9" s="6" t="s">
        <v>13</v>
      </c>
      <c r="B9" s="7">
        <f t="shared" si="0"/>
        <v>8</v>
      </c>
      <c r="C9" s="8">
        <v>9</v>
      </c>
      <c r="D9" s="7">
        <v>2022</v>
      </c>
      <c r="E9" s="9">
        <f>'Macao Daily'!D12</f>
        <v>29118</v>
      </c>
      <c r="F9" s="30">
        <v>1.2524</v>
      </c>
      <c r="G9" s="9">
        <f>'Macao Daily'!F12</f>
        <v>165</v>
      </c>
      <c r="H9" s="30">
        <v>9.6199999999999992</v>
      </c>
      <c r="I9" s="9">
        <f>'Macao Daily'!H12</f>
        <v>62976</v>
      </c>
      <c r="J9" s="30">
        <v>0.25</v>
      </c>
      <c r="K9" s="9">
        <f>'Macao Daily'!J12</f>
        <v>722</v>
      </c>
      <c r="L9" s="30">
        <v>7.7619999999999996</v>
      </c>
      <c r="M9" s="9">
        <f>'Macao Daily'!K12</f>
        <v>73</v>
      </c>
      <c r="N9" s="9">
        <f>'Macao Daily'!L12</f>
        <v>83</v>
      </c>
    </row>
    <row r="10" spans="1:14" ht="15" x14ac:dyDescent="0.25">
      <c r="A10" s="6" t="s">
        <v>13</v>
      </c>
      <c r="B10" s="7">
        <f t="shared" si="0"/>
        <v>9</v>
      </c>
      <c r="C10" s="8">
        <v>9</v>
      </c>
      <c r="D10" s="7">
        <v>2022</v>
      </c>
      <c r="E10" s="9">
        <f>'Macao Daily'!D13</f>
        <v>31642</v>
      </c>
      <c r="F10" s="30">
        <v>1.2524</v>
      </c>
      <c r="G10" s="9">
        <f>'Macao Daily'!F13</f>
        <v>172</v>
      </c>
      <c r="H10" s="30">
        <v>9.6199999999999992</v>
      </c>
      <c r="I10" s="9">
        <f>'Macao Daily'!H13</f>
        <v>53680</v>
      </c>
      <c r="J10" s="30">
        <v>0.25</v>
      </c>
      <c r="K10" s="9">
        <f>'Macao Daily'!J13</f>
        <v>758</v>
      </c>
      <c r="L10" s="30">
        <v>7.7619999999999996</v>
      </c>
      <c r="M10" s="9">
        <f>'Macao Daily'!K13</f>
        <v>97</v>
      </c>
      <c r="N10" s="9">
        <f>'Macao Daily'!L13</f>
        <v>352</v>
      </c>
    </row>
    <row r="11" spans="1:14" ht="15" x14ac:dyDescent="0.25">
      <c r="A11" s="6" t="s">
        <v>13</v>
      </c>
      <c r="B11" s="7">
        <f t="shared" si="0"/>
        <v>10</v>
      </c>
      <c r="C11" s="8">
        <v>9</v>
      </c>
      <c r="D11" s="7">
        <v>2022</v>
      </c>
      <c r="E11" s="9">
        <f>'Macao Daily'!D14</f>
        <v>33050</v>
      </c>
      <c r="F11" s="30">
        <v>1.2524</v>
      </c>
      <c r="G11" s="9">
        <f>'Macao Daily'!F14</f>
        <v>169</v>
      </c>
      <c r="H11" s="30">
        <v>9.6199999999999992</v>
      </c>
      <c r="I11" s="9">
        <f>'Macao Daily'!H14</f>
        <v>61539</v>
      </c>
      <c r="J11" s="30">
        <v>0.25</v>
      </c>
      <c r="K11" s="9">
        <f>'Macao Daily'!J14</f>
        <v>833</v>
      </c>
      <c r="L11" s="30">
        <v>7.7619999999999996</v>
      </c>
      <c r="M11" s="9">
        <f>'Macao Daily'!K14</f>
        <v>156</v>
      </c>
      <c r="N11" s="9">
        <f>'Macao Daily'!L14</f>
        <v>506</v>
      </c>
    </row>
    <row r="12" spans="1:14" ht="15" x14ac:dyDescent="0.25">
      <c r="A12" s="6" t="s">
        <v>13</v>
      </c>
      <c r="B12" s="7">
        <f t="shared" si="0"/>
        <v>11</v>
      </c>
      <c r="C12" s="8">
        <v>9</v>
      </c>
      <c r="D12" s="7">
        <v>2022</v>
      </c>
      <c r="E12" s="9">
        <f>'Macao Daily'!D15</f>
        <v>30583</v>
      </c>
      <c r="F12" s="30">
        <v>1.2524</v>
      </c>
      <c r="G12" s="9">
        <f>'Macao Daily'!F15</f>
        <v>169</v>
      </c>
      <c r="H12" s="30">
        <v>9.6199999999999992</v>
      </c>
      <c r="I12" s="9">
        <f>'Macao Daily'!H15</f>
        <v>62492</v>
      </c>
      <c r="J12" s="30">
        <v>0.25</v>
      </c>
      <c r="K12" s="9">
        <f>'Macao Daily'!J15</f>
        <v>822</v>
      </c>
      <c r="L12" s="30">
        <v>7.7619999999999996</v>
      </c>
      <c r="M12" s="9">
        <f>'Macao Daily'!K15</f>
        <v>205</v>
      </c>
      <c r="N12" s="9">
        <f>'Macao Daily'!L15</f>
        <v>660</v>
      </c>
    </row>
    <row r="13" spans="1:14" ht="15" x14ac:dyDescent="0.25">
      <c r="A13" s="6" t="s">
        <v>13</v>
      </c>
      <c r="B13" s="7">
        <f t="shared" si="0"/>
        <v>12</v>
      </c>
      <c r="C13" s="8">
        <v>9</v>
      </c>
      <c r="D13" s="7">
        <v>2022</v>
      </c>
      <c r="E13" s="9">
        <f>'Macao Daily'!D16</f>
        <v>32588</v>
      </c>
      <c r="F13" s="30">
        <v>1.2524</v>
      </c>
      <c r="G13" s="9">
        <f>'Macao Daily'!F16</f>
        <v>150</v>
      </c>
      <c r="H13" s="30">
        <v>9.6199999999999992</v>
      </c>
      <c r="I13" s="9">
        <f>'Macao Daily'!H16</f>
        <v>68414</v>
      </c>
      <c r="J13" s="30">
        <v>0.25</v>
      </c>
      <c r="K13" s="9">
        <f>'Macao Daily'!J16</f>
        <v>873</v>
      </c>
      <c r="L13" s="30">
        <v>7.7619999999999996</v>
      </c>
      <c r="M13" s="9">
        <f>'Macao Daily'!K16</f>
        <v>106</v>
      </c>
      <c r="N13" s="9">
        <f>'Macao Daily'!L16</f>
        <v>458</v>
      </c>
    </row>
    <row r="14" spans="1:14" ht="15" x14ac:dyDescent="0.25">
      <c r="A14" s="6" t="s">
        <v>13</v>
      </c>
      <c r="B14" s="7">
        <f t="shared" si="0"/>
        <v>13</v>
      </c>
      <c r="C14" s="8">
        <v>9</v>
      </c>
      <c r="D14" s="7">
        <v>2022</v>
      </c>
      <c r="E14" s="9">
        <f>'Macao Daily'!D17</f>
        <v>29708</v>
      </c>
      <c r="F14" s="30">
        <v>1.2524</v>
      </c>
      <c r="G14" s="9">
        <f>'Macao Daily'!F17</f>
        <v>136</v>
      </c>
      <c r="H14" s="30">
        <v>9.6199999999999992</v>
      </c>
      <c r="I14" s="9">
        <f>'Macao Daily'!H17</f>
        <v>62250</v>
      </c>
      <c r="J14" s="30">
        <v>0.25</v>
      </c>
      <c r="K14" s="9">
        <f>'Macao Daily'!J17</f>
        <v>827</v>
      </c>
      <c r="L14" s="30">
        <v>7.7619999999999996</v>
      </c>
      <c r="M14" s="9">
        <f>'Macao Daily'!K17</f>
        <v>106</v>
      </c>
      <c r="N14" s="9">
        <f>'Macao Daily'!L17</f>
        <v>128</v>
      </c>
    </row>
    <row r="15" spans="1:14" ht="15" x14ac:dyDescent="0.25">
      <c r="A15" s="6" t="s">
        <v>13</v>
      </c>
      <c r="B15" s="7">
        <f t="shared" si="0"/>
        <v>14</v>
      </c>
      <c r="C15" s="8">
        <v>9</v>
      </c>
      <c r="D15" s="7">
        <v>2022</v>
      </c>
      <c r="E15" s="9">
        <f>'Macao Daily'!D18</f>
        <v>28201</v>
      </c>
      <c r="F15" s="30">
        <v>1.2524</v>
      </c>
      <c r="G15" s="9">
        <f>'Macao Daily'!F18</f>
        <v>140</v>
      </c>
      <c r="H15" s="30">
        <v>9.6199999999999992</v>
      </c>
      <c r="I15" s="9">
        <f>'Macao Daily'!H18</f>
        <v>61039</v>
      </c>
      <c r="J15" s="30">
        <v>0.25</v>
      </c>
      <c r="K15" s="9">
        <f>'Macao Daily'!J18</f>
        <v>718</v>
      </c>
      <c r="L15" s="30">
        <v>7.7619999999999996</v>
      </c>
      <c r="M15" s="9">
        <f>'Macao Daily'!K18</f>
        <v>122</v>
      </c>
      <c r="N15" s="9">
        <f>'Macao Daily'!L18</f>
        <v>154</v>
      </c>
    </row>
    <row r="16" spans="1:14" ht="15" x14ac:dyDescent="0.25">
      <c r="A16" s="6" t="s">
        <v>13</v>
      </c>
      <c r="B16" s="7">
        <f t="shared" si="0"/>
        <v>15</v>
      </c>
      <c r="C16" s="8">
        <v>9</v>
      </c>
      <c r="D16" s="7">
        <v>2022</v>
      </c>
      <c r="E16" s="9">
        <f>'Macao Daily'!D19</f>
        <v>31200</v>
      </c>
      <c r="F16" s="30">
        <v>1.2524</v>
      </c>
      <c r="G16" s="9">
        <f>'Macao Daily'!F19</f>
        <v>146</v>
      </c>
      <c r="H16" s="30">
        <v>9.6199999999999992</v>
      </c>
      <c r="I16" s="9">
        <f>'Macao Daily'!H19</f>
        <v>59071</v>
      </c>
      <c r="J16" s="30">
        <v>0.25</v>
      </c>
      <c r="K16" s="9">
        <f>'Macao Daily'!J19</f>
        <v>829</v>
      </c>
      <c r="L16" s="30">
        <v>7.7619999999999996</v>
      </c>
      <c r="M16" s="9">
        <f>'Macao Daily'!K19</f>
        <v>102</v>
      </c>
      <c r="N16" s="9">
        <f>'Macao Daily'!L19</f>
        <v>147</v>
      </c>
    </row>
    <row r="17" spans="1:14" ht="15" x14ac:dyDescent="0.25">
      <c r="A17" s="6" t="s">
        <v>13</v>
      </c>
      <c r="B17" s="7">
        <f t="shared" si="0"/>
        <v>16</v>
      </c>
      <c r="C17" s="8">
        <v>9</v>
      </c>
      <c r="D17" s="7">
        <v>2022</v>
      </c>
      <c r="E17" s="9">
        <f>'Macao Daily'!D20</f>
        <v>32160</v>
      </c>
      <c r="F17" s="30">
        <v>1.2524</v>
      </c>
      <c r="G17" s="9">
        <f>'Macao Daily'!F20</f>
        <v>166</v>
      </c>
      <c r="H17" s="30">
        <v>9.6199999999999992</v>
      </c>
      <c r="I17" s="9">
        <f>'Macao Daily'!H20</f>
        <v>63093</v>
      </c>
      <c r="J17" s="30">
        <v>0.25</v>
      </c>
      <c r="K17" s="9">
        <f>'Macao Daily'!J20</f>
        <v>852</v>
      </c>
      <c r="L17" s="30">
        <v>7.7619999999999996</v>
      </c>
      <c r="M17" s="9">
        <f>'Macao Daily'!K20</f>
        <v>143</v>
      </c>
      <c r="N17" s="9">
        <f>'Macao Daily'!L20</f>
        <v>279</v>
      </c>
    </row>
    <row r="18" spans="1:14" ht="15" x14ac:dyDescent="0.25">
      <c r="A18" s="6" t="s">
        <v>13</v>
      </c>
      <c r="B18" s="7">
        <f t="shared" si="0"/>
        <v>17</v>
      </c>
      <c r="C18" s="8">
        <v>9</v>
      </c>
      <c r="D18" s="7">
        <v>2022</v>
      </c>
      <c r="E18" s="9">
        <f>'Macao Daily'!D21</f>
        <v>32331</v>
      </c>
      <c r="F18" s="30">
        <v>1.2524</v>
      </c>
      <c r="G18" s="9">
        <f>'Macao Daily'!F21</f>
        <v>171</v>
      </c>
      <c r="H18" s="30">
        <v>9.6199999999999992</v>
      </c>
      <c r="I18" s="9">
        <f>'Macao Daily'!H21</f>
        <v>70493</v>
      </c>
      <c r="J18" s="30">
        <v>0.25</v>
      </c>
      <c r="K18" s="9">
        <f>'Macao Daily'!J21</f>
        <v>838</v>
      </c>
      <c r="L18" s="30">
        <v>7.7619999999999996</v>
      </c>
      <c r="M18" s="9">
        <f>'Macao Daily'!K21</f>
        <v>164</v>
      </c>
      <c r="N18" s="9">
        <f>'Macao Daily'!L21</f>
        <v>520</v>
      </c>
    </row>
    <row r="19" spans="1:14" ht="15" x14ac:dyDescent="0.25">
      <c r="A19" s="6" t="s">
        <v>13</v>
      </c>
      <c r="B19" s="7">
        <f t="shared" si="0"/>
        <v>18</v>
      </c>
      <c r="C19" s="8">
        <v>9</v>
      </c>
      <c r="D19" s="7">
        <v>2022</v>
      </c>
      <c r="E19" s="9">
        <f>'Macao Daily'!D22</f>
        <v>31661</v>
      </c>
      <c r="F19" s="30">
        <v>1.2524</v>
      </c>
      <c r="G19" s="9">
        <f>'Macao Daily'!F22</f>
        <v>163</v>
      </c>
      <c r="H19" s="30">
        <v>9.6199999999999992</v>
      </c>
      <c r="I19" s="9">
        <f>'Macao Daily'!H22</f>
        <v>73554</v>
      </c>
      <c r="J19" s="30">
        <v>0.25</v>
      </c>
      <c r="K19" s="9">
        <f>'Macao Daily'!J22</f>
        <v>944</v>
      </c>
      <c r="L19" s="30">
        <v>7.7619999999999996</v>
      </c>
      <c r="M19" s="9">
        <f>'Macao Daily'!K22</f>
        <v>127</v>
      </c>
      <c r="N19" s="9">
        <f>'Macao Daily'!L22</f>
        <v>545</v>
      </c>
    </row>
    <row r="20" spans="1:14" ht="15" x14ac:dyDescent="0.25">
      <c r="A20" s="6" t="s">
        <v>13</v>
      </c>
      <c r="B20" s="7">
        <f t="shared" si="0"/>
        <v>19</v>
      </c>
      <c r="C20" s="8">
        <v>9</v>
      </c>
      <c r="D20" s="7">
        <v>2022</v>
      </c>
      <c r="E20" s="9">
        <f>'Macao Daily'!D23</f>
        <v>30584</v>
      </c>
      <c r="F20" s="30">
        <v>1.2524</v>
      </c>
      <c r="G20" s="9">
        <f>'Macao Daily'!F23</f>
        <v>144</v>
      </c>
      <c r="H20" s="30">
        <v>9.6199999999999992</v>
      </c>
      <c r="I20" s="9">
        <f>'Macao Daily'!H23</f>
        <v>68953</v>
      </c>
      <c r="J20" s="30">
        <v>0.25</v>
      </c>
      <c r="K20" s="9">
        <f>'Macao Daily'!J23</f>
        <v>833</v>
      </c>
      <c r="L20" s="30">
        <v>7.7619999999999996</v>
      </c>
      <c r="M20" s="9">
        <f>'Macao Daily'!K23</f>
        <v>120</v>
      </c>
      <c r="N20" s="9">
        <f>'Macao Daily'!L23</f>
        <v>167</v>
      </c>
    </row>
    <row r="21" spans="1:14" ht="15" x14ac:dyDescent="0.25">
      <c r="A21" s="6" t="s">
        <v>13</v>
      </c>
      <c r="B21" s="7">
        <f t="shared" si="0"/>
        <v>20</v>
      </c>
      <c r="C21" s="8">
        <v>9</v>
      </c>
      <c r="D21" s="7">
        <v>2022</v>
      </c>
      <c r="E21" s="9">
        <f>'Macao Daily'!D24</f>
        <v>28802</v>
      </c>
      <c r="F21" s="30">
        <v>1.2524</v>
      </c>
      <c r="G21" s="9">
        <f>'Macao Daily'!F24</f>
        <v>136</v>
      </c>
      <c r="H21" s="30">
        <v>9.6199999999999992</v>
      </c>
      <c r="I21" s="9">
        <f>'Macao Daily'!H24</f>
        <v>65844</v>
      </c>
      <c r="J21" s="30">
        <v>0.25</v>
      </c>
      <c r="K21" s="9">
        <f>'Macao Daily'!J24</f>
        <v>755</v>
      </c>
      <c r="L21" s="30">
        <v>7.7619999999999996</v>
      </c>
      <c r="M21" s="9">
        <f>'Macao Daily'!K24</f>
        <v>104</v>
      </c>
      <c r="N21" s="9">
        <f>'Macao Daily'!L24</f>
        <v>152</v>
      </c>
    </row>
    <row r="22" spans="1:14" ht="15" x14ac:dyDescent="0.25">
      <c r="A22" s="6" t="s">
        <v>13</v>
      </c>
      <c r="B22" s="7">
        <f t="shared" si="0"/>
        <v>21</v>
      </c>
      <c r="C22" s="8">
        <v>9</v>
      </c>
      <c r="D22" s="7">
        <v>2022</v>
      </c>
      <c r="E22" s="9">
        <f>'Macao Daily'!D25</f>
        <v>29430</v>
      </c>
      <c r="F22" s="30">
        <v>1.2524</v>
      </c>
      <c r="G22" s="9">
        <f>'Macao Daily'!F25</f>
        <v>139</v>
      </c>
      <c r="H22" s="30">
        <v>9.6199999999999992</v>
      </c>
      <c r="I22" s="9">
        <f>'Macao Daily'!H25</f>
        <v>59024</v>
      </c>
      <c r="J22" s="30">
        <v>0.25</v>
      </c>
      <c r="K22" s="9">
        <f>'Macao Daily'!J25</f>
        <v>785</v>
      </c>
      <c r="L22" s="30">
        <v>7.7619999999999996</v>
      </c>
      <c r="M22" s="9">
        <f>'Macao Daily'!K25</f>
        <v>100</v>
      </c>
      <c r="N22" s="9">
        <f>'Macao Daily'!L25</f>
        <v>132</v>
      </c>
    </row>
    <row r="23" spans="1:14" ht="15" x14ac:dyDescent="0.25">
      <c r="A23" s="6" t="s">
        <v>13</v>
      </c>
      <c r="B23" s="7">
        <f t="shared" si="0"/>
        <v>22</v>
      </c>
      <c r="C23" s="8">
        <v>9</v>
      </c>
      <c r="D23" s="7">
        <v>2022</v>
      </c>
      <c r="E23" s="9">
        <f>'Macao Daily'!D26</f>
        <v>30701</v>
      </c>
      <c r="F23" s="30">
        <v>1.2524</v>
      </c>
      <c r="G23" s="9">
        <f>'Macao Daily'!F26</f>
        <v>151</v>
      </c>
      <c r="H23" s="30">
        <v>9.6199999999999992</v>
      </c>
      <c r="I23" s="9">
        <f>'Macao Daily'!H26</f>
        <v>57914</v>
      </c>
      <c r="J23" s="30">
        <v>0.25</v>
      </c>
      <c r="K23" s="9">
        <f>'Macao Daily'!J26</f>
        <v>752</v>
      </c>
      <c r="L23" s="30">
        <v>7.7619999999999996</v>
      </c>
      <c r="M23" s="9">
        <f>'Macao Daily'!K26</f>
        <v>117</v>
      </c>
      <c r="N23" s="9">
        <f>'Macao Daily'!L26</f>
        <v>194</v>
      </c>
    </row>
    <row r="24" spans="1:14" ht="15" x14ac:dyDescent="0.25">
      <c r="A24" s="6" t="s">
        <v>13</v>
      </c>
      <c r="B24" s="7">
        <f t="shared" si="0"/>
        <v>23</v>
      </c>
      <c r="C24" s="8">
        <v>9</v>
      </c>
      <c r="D24" s="7">
        <v>2022</v>
      </c>
      <c r="E24" s="9">
        <f>'Macao Daily'!D27</f>
        <v>31054</v>
      </c>
      <c r="F24" s="30">
        <v>1.2524</v>
      </c>
      <c r="G24" s="9">
        <f>'Macao Daily'!F27</f>
        <v>167</v>
      </c>
      <c r="H24" s="30">
        <v>9.6199999999999992</v>
      </c>
      <c r="I24" s="9">
        <f>'Macao Daily'!H27</f>
        <v>61750</v>
      </c>
      <c r="J24" s="30">
        <v>0.25</v>
      </c>
      <c r="K24" s="9">
        <f>'Macao Daily'!J27</f>
        <v>789</v>
      </c>
      <c r="L24" s="30">
        <v>7.7619999999999996</v>
      </c>
      <c r="M24" s="9">
        <f>'Macao Daily'!K27</f>
        <v>179</v>
      </c>
      <c r="N24" s="9">
        <f>'Macao Daily'!L27</f>
        <v>362</v>
      </c>
    </row>
    <row r="25" spans="1:14" ht="15" x14ac:dyDescent="0.25">
      <c r="A25" s="6" t="s">
        <v>13</v>
      </c>
      <c r="B25" s="7">
        <f t="shared" si="0"/>
        <v>24</v>
      </c>
      <c r="C25" s="8">
        <v>9</v>
      </c>
      <c r="D25" s="7">
        <v>2022</v>
      </c>
      <c r="E25" s="9">
        <f>'Macao Daily'!D28</f>
        <v>32067</v>
      </c>
      <c r="F25" s="30">
        <v>1.2524</v>
      </c>
      <c r="G25" s="9">
        <f>'Macao Daily'!F28</f>
        <v>172</v>
      </c>
      <c r="H25" s="30">
        <v>9.6199999999999992</v>
      </c>
      <c r="I25" s="9">
        <f>'Macao Daily'!H28</f>
        <v>59195</v>
      </c>
      <c r="J25" s="30">
        <v>0.25</v>
      </c>
      <c r="K25" s="9">
        <f>'Macao Daily'!J28</f>
        <v>872</v>
      </c>
      <c r="L25" s="30">
        <v>7.7619999999999996</v>
      </c>
      <c r="M25" s="9">
        <f>'Macao Daily'!K28</f>
        <v>213</v>
      </c>
      <c r="N25" s="9">
        <f>'Macao Daily'!L28</f>
        <v>701</v>
      </c>
    </row>
    <row r="26" spans="1:14" ht="15" x14ac:dyDescent="0.25">
      <c r="A26" s="6" t="s">
        <v>13</v>
      </c>
      <c r="B26" s="7">
        <f>B25+1</f>
        <v>25</v>
      </c>
      <c r="C26" s="8">
        <v>9</v>
      </c>
      <c r="D26" s="7">
        <v>2022</v>
      </c>
      <c r="E26" s="9">
        <f>'Macao Daily'!D29</f>
        <v>31692</v>
      </c>
      <c r="F26" s="30">
        <v>1.2524</v>
      </c>
      <c r="G26" s="9">
        <f>'Macao Daily'!F29</f>
        <v>160</v>
      </c>
      <c r="H26" s="30">
        <v>9.6199999999999992</v>
      </c>
      <c r="I26" s="9">
        <f>'Macao Daily'!H29</f>
        <v>60070</v>
      </c>
      <c r="J26" s="30">
        <v>0.25</v>
      </c>
      <c r="K26" s="9">
        <f>'Macao Daily'!J29</f>
        <v>878</v>
      </c>
      <c r="L26" s="30">
        <v>7.7619999999999996</v>
      </c>
      <c r="M26" s="9">
        <f>'Macao Daily'!K29</f>
        <v>136</v>
      </c>
      <c r="N26" s="9">
        <f>'Macao Daily'!L29</f>
        <v>784</v>
      </c>
    </row>
    <row r="27" spans="1:14" ht="15" x14ac:dyDescent="0.25">
      <c r="A27" s="6" t="s">
        <v>13</v>
      </c>
      <c r="B27" s="7">
        <f t="shared" si="0"/>
        <v>26</v>
      </c>
      <c r="C27" s="8">
        <v>9</v>
      </c>
      <c r="D27" s="7">
        <v>2022</v>
      </c>
      <c r="E27" s="9">
        <f>'Macao Daily'!D30</f>
        <v>29921</v>
      </c>
      <c r="F27" s="30">
        <v>1.2524</v>
      </c>
      <c r="G27" s="9">
        <f>'Macao Daily'!F30</f>
        <v>141</v>
      </c>
      <c r="H27" s="30">
        <v>9.6199999999999992</v>
      </c>
      <c r="I27" s="9">
        <f>'Macao Daily'!H30</f>
        <v>65344</v>
      </c>
      <c r="J27" s="30">
        <v>0.25</v>
      </c>
      <c r="K27" s="9">
        <f>'Macao Daily'!J30</f>
        <v>765</v>
      </c>
      <c r="L27" s="30">
        <v>7.7619999999999996</v>
      </c>
      <c r="M27" s="9">
        <f>'Macao Daily'!K30</f>
        <v>155</v>
      </c>
      <c r="N27" s="9">
        <f>'Macao Daily'!L30</f>
        <v>211</v>
      </c>
    </row>
    <row r="28" spans="1:14" ht="15" x14ac:dyDescent="0.25">
      <c r="A28" s="6" t="s">
        <v>13</v>
      </c>
      <c r="B28" s="7">
        <f t="shared" si="0"/>
        <v>27</v>
      </c>
      <c r="C28" s="8">
        <v>9</v>
      </c>
      <c r="D28" s="7">
        <v>2022</v>
      </c>
      <c r="E28" s="9">
        <f>'Macao Daily'!D31</f>
        <v>30733</v>
      </c>
      <c r="F28" s="30">
        <v>1.2524</v>
      </c>
      <c r="G28" s="9">
        <f>'Macao Daily'!F31</f>
        <v>138</v>
      </c>
      <c r="H28" s="30">
        <v>9.6199999999999992</v>
      </c>
      <c r="I28" s="9">
        <f>'Macao Daily'!H31</f>
        <v>64297</v>
      </c>
      <c r="J28" s="30">
        <v>0.25</v>
      </c>
      <c r="K28" s="9">
        <f>'Macao Daily'!J31</f>
        <v>755</v>
      </c>
      <c r="L28" s="30">
        <v>7.7619999999999996</v>
      </c>
      <c r="M28" s="9">
        <f>'Macao Daily'!K31</f>
        <v>200</v>
      </c>
      <c r="N28" s="9">
        <f>'Macao Daily'!L31</f>
        <v>226</v>
      </c>
    </row>
    <row r="29" spans="1:14" ht="15" x14ac:dyDescent="0.25">
      <c r="A29" s="6" t="s">
        <v>13</v>
      </c>
      <c r="B29" s="7">
        <f t="shared" si="0"/>
        <v>28</v>
      </c>
      <c r="C29" s="8">
        <v>9</v>
      </c>
      <c r="D29" s="7">
        <v>2022</v>
      </c>
      <c r="E29" s="9">
        <f>'Macao Daily'!D32</f>
        <v>32526</v>
      </c>
      <c r="F29" s="30">
        <v>1.2524</v>
      </c>
      <c r="G29" s="9">
        <f>'Macao Daily'!F32</f>
        <v>142</v>
      </c>
      <c r="H29" s="30">
        <v>9.6199999999999992</v>
      </c>
      <c r="I29" s="9">
        <f>'Macao Daily'!H32</f>
        <v>65984</v>
      </c>
      <c r="J29" s="30">
        <v>0.25</v>
      </c>
      <c r="K29" s="9">
        <f>'Macao Daily'!J32</f>
        <v>817</v>
      </c>
      <c r="L29" s="30">
        <v>7.7619999999999996</v>
      </c>
      <c r="M29" s="9">
        <f>'Macao Daily'!K32</f>
        <v>181</v>
      </c>
      <c r="N29" s="9">
        <f>'Macao Daily'!L32</f>
        <v>267</v>
      </c>
    </row>
    <row r="30" spans="1:14" ht="15" x14ac:dyDescent="0.25">
      <c r="A30" s="6" t="s">
        <v>13</v>
      </c>
      <c r="B30" s="7">
        <f t="shared" si="0"/>
        <v>29</v>
      </c>
      <c r="C30" s="8">
        <v>9</v>
      </c>
      <c r="D30" s="7">
        <v>2022</v>
      </c>
      <c r="E30" s="9">
        <f>'Macao Daily'!D33</f>
        <v>32508</v>
      </c>
      <c r="F30" s="30">
        <v>1.2524</v>
      </c>
      <c r="G30" s="9">
        <f>'Macao Daily'!F33</f>
        <v>153</v>
      </c>
      <c r="H30" s="30">
        <v>9.6199999999999992</v>
      </c>
      <c r="I30" s="9">
        <f>'Macao Daily'!H33</f>
        <v>62969</v>
      </c>
      <c r="J30" s="30">
        <v>0.25</v>
      </c>
      <c r="K30" s="9">
        <f>'Macao Daily'!J33</f>
        <v>794</v>
      </c>
      <c r="L30" s="30">
        <v>7.7619999999999996</v>
      </c>
      <c r="M30" s="9">
        <f>'Macao Daily'!K33</f>
        <v>191</v>
      </c>
      <c r="N30" s="9">
        <f>'Macao Daily'!L33</f>
        <v>234</v>
      </c>
    </row>
    <row r="31" spans="1:14" ht="15" x14ac:dyDescent="0.25">
      <c r="A31" s="6" t="s">
        <v>13</v>
      </c>
      <c r="B31" s="7">
        <f t="shared" si="0"/>
        <v>30</v>
      </c>
      <c r="C31" s="8">
        <v>9</v>
      </c>
      <c r="D31" s="7">
        <v>2022</v>
      </c>
      <c r="E31" s="9">
        <f>'Macao Daily'!D34</f>
        <v>32665</v>
      </c>
      <c r="F31" s="30">
        <v>1.2524</v>
      </c>
      <c r="G31" s="9">
        <f>'Macao Daily'!F34</f>
        <v>161</v>
      </c>
      <c r="H31" s="30">
        <v>9.6199999999999992</v>
      </c>
      <c r="I31" s="9">
        <f>'Macao Daily'!H34</f>
        <v>60197</v>
      </c>
      <c r="J31" s="30">
        <v>0.25</v>
      </c>
      <c r="K31" s="9">
        <f>'Macao Daily'!J34</f>
        <v>801</v>
      </c>
      <c r="L31" s="30">
        <v>7.7619999999999996</v>
      </c>
      <c r="M31" s="9">
        <f>'Macao Daily'!K34</f>
        <v>229</v>
      </c>
      <c r="N31" s="9">
        <f>'Macao Daily'!L34</f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F1" sqref="F1:F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44804</v>
      </c>
      <c r="B4" s="37"/>
      <c r="C4" s="34">
        <v>41140318</v>
      </c>
      <c r="D4" s="24"/>
      <c r="E4" s="34">
        <v>608222.99999999336</v>
      </c>
      <c r="F4" s="24"/>
      <c r="G4" s="34">
        <v>122444307</v>
      </c>
      <c r="H4" s="24"/>
      <c r="I4" s="35">
        <v>1827782</v>
      </c>
      <c r="J4" s="32"/>
      <c r="K4" s="33">
        <v>85</v>
      </c>
      <c r="L4" s="33">
        <v>146</v>
      </c>
    </row>
    <row r="5" spans="1:12" ht="33" customHeight="1" x14ac:dyDescent="0.25">
      <c r="A5" s="22">
        <v>44805</v>
      </c>
      <c r="B5" s="37"/>
      <c r="C5" s="34">
        <v>41170076</v>
      </c>
      <c r="D5" s="24">
        <f t="shared" ref="D5:D19" si="0">IF((C5-C4&lt;0), "0",C5-C4)</f>
        <v>29758</v>
      </c>
      <c r="E5" s="34">
        <v>608372.99999999336</v>
      </c>
      <c r="F5" s="24">
        <f>IF((E5-E4&lt;0), "0",E5-E4)</f>
        <v>150</v>
      </c>
      <c r="G5" s="34">
        <v>122510033</v>
      </c>
      <c r="H5" s="24">
        <f>IF((G5-G4&lt;0), "0",G5-G4)</f>
        <v>65726</v>
      </c>
      <c r="I5" s="23">
        <v>1828387</v>
      </c>
      <c r="J5" s="32">
        <f>IF((I5-I4&lt;0), "0",I5-I4)</f>
        <v>605</v>
      </c>
      <c r="K5" s="33">
        <v>85</v>
      </c>
      <c r="L5" s="33">
        <v>151</v>
      </c>
    </row>
    <row r="6" spans="1:12" ht="45" customHeight="1" x14ac:dyDescent="0.25">
      <c r="A6" s="22">
        <v>44806</v>
      </c>
      <c r="B6" s="37"/>
      <c r="C6" s="34">
        <v>41200296</v>
      </c>
      <c r="D6" s="24">
        <f t="shared" si="0"/>
        <v>30220</v>
      </c>
      <c r="E6" s="34">
        <v>608534.99999999336</v>
      </c>
      <c r="F6" s="24">
        <f t="shared" ref="F6:F19" si="1">IF((E6-E5&lt;0), "0",E6-E5)</f>
        <v>162</v>
      </c>
      <c r="G6" s="34">
        <v>122566713</v>
      </c>
      <c r="H6" s="24">
        <f t="shared" ref="H6:H34" si="2">IF((G6-G5&lt;0), "0",G6-G5)</f>
        <v>56680</v>
      </c>
      <c r="I6" s="23">
        <v>1829014</v>
      </c>
      <c r="J6" s="32">
        <f t="shared" ref="J6:J34" si="3">IF((I6-I5&lt;0), "0",I6-I5)</f>
        <v>627</v>
      </c>
      <c r="K6" s="33">
        <v>117</v>
      </c>
      <c r="L6" s="33">
        <v>235</v>
      </c>
    </row>
    <row r="7" spans="1:12" ht="45" customHeight="1" x14ac:dyDescent="0.25">
      <c r="A7" s="22">
        <v>44807</v>
      </c>
      <c r="B7" s="37"/>
      <c r="C7" s="34">
        <v>41230732</v>
      </c>
      <c r="D7" s="24">
        <f t="shared" si="0"/>
        <v>30436</v>
      </c>
      <c r="E7" s="34">
        <v>608695.99999999336</v>
      </c>
      <c r="F7" s="24">
        <f t="shared" si="1"/>
        <v>161</v>
      </c>
      <c r="G7" s="34">
        <v>122615338</v>
      </c>
      <c r="H7" s="24">
        <f t="shared" si="2"/>
        <v>48625</v>
      </c>
      <c r="I7" s="23">
        <v>1829754</v>
      </c>
      <c r="J7" s="32">
        <f t="shared" si="3"/>
        <v>740</v>
      </c>
      <c r="K7" s="33">
        <v>144</v>
      </c>
      <c r="L7" s="33">
        <v>434</v>
      </c>
    </row>
    <row r="8" spans="1:12" ht="45" customHeight="1" x14ac:dyDescent="0.25">
      <c r="A8" s="22">
        <v>44808</v>
      </c>
      <c r="B8" s="37"/>
      <c r="C8" s="34">
        <v>41260052</v>
      </c>
      <c r="D8" s="24">
        <f t="shared" si="0"/>
        <v>29320</v>
      </c>
      <c r="E8" s="34">
        <v>608856.99999999336</v>
      </c>
      <c r="F8" s="24">
        <f t="shared" si="1"/>
        <v>161</v>
      </c>
      <c r="G8" s="34">
        <v>122670682</v>
      </c>
      <c r="H8" s="24">
        <f t="shared" si="2"/>
        <v>55344</v>
      </c>
      <c r="I8" s="23">
        <v>1830498</v>
      </c>
      <c r="J8" s="32">
        <f t="shared" si="3"/>
        <v>744</v>
      </c>
      <c r="K8" s="33">
        <v>79</v>
      </c>
      <c r="L8" s="33">
        <v>630</v>
      </c>
    </row>
    <row r="9" spans="1:12" ht="45" customHeight="1" x14ac:dyDescent="0.25">
      <c r="A9" s="22">
        <v>44809</v>
      </c>
      <c r="B9" s="37"/>
      <c r="C9" s="34">
        <v>41288496</v>
      </c>
      <c r="D9" s="24">
        <f t="shared" si="0"/>
        <v>28444</v>
      </c>
      <c r="E9" s="34">
        <v>608997.99999999336</v>
      </c>
      <c r="F9" s="24">
        <f t="shared" si="1"/>
        <v>141</v>
      </c>
      <c r="G9" s="34">
        <v>122716752</v>
      </c>
      <c r="H9" s="24">
        <f t="shared" si="2"/>
        <v>46070</v>
      </c>
      <c r="I9" s="23">
        <v>1831235</v>
      </c>
      <c r="J9" s="32">
        <f t="shared" si="3"/>
        <v>737</v>
      </c>
      <c r="K9" s="33">
        <v>74</v>
      </c>
      <c r="L9" s="33">
        <v>128</v>
      </c>
    </row>
    <row r="10" spans="1:12" ht="45" customHeight="1" x14ac:dyDescent="0.25">
      <c r="A10" s="22">
        <v>44810</v>
      </c>
      <c r="B10" s="37"/>
      <c r="C10" s="34">
        <v>41317981</v>
      </c>
      <c r="D10" s="24">
        <f t="shared" si="0"/>
        <v>29485</v>
      </c>
      <c r="E10" s="34">
        <v>609135.99999999336</v>
      </c>
      <c r="F10" s="24">
        <f t="shared" si="1"/>
        <v>138</v>
      </c>
      <c r="G10" s="34">
        <v>122774471</v>
      </c>
      <c r="H10" s="24">
        <f t="shared" si="2"/>
        <v>57719</v>
      </c>
      <c r="I10" s="23">
        <v>1831932</v>
      </c>
      <c r="J10" s="32">
        <f t="shared" si="3"/>
        <v>697</v>
      </c>
      <c r="K10" s="33">
        <v>70</v>
      </c>
      <c r="L10" s="33">
        <v>153</v>
      </c>
    </row>
    <row r="11" spans="1:12" ht="45" customHeight="1" x14ac:dyDescent="0.25">
      <c r="A11" s="22">
        <v>44811</v>
      </c>
      <c r="B11" s="37"/>
      <c r="C11" s="34">
        <v>41346100</v>
      </c>
      <c r="D11" s="24">
        <f t="shared" si="0"/>
        <v>28119</v>
      </c>
      <c r="E11" s="34">
        <v>609273.99999999336</v>
      </c>
      <c r="F11" s="24">
        <f t="shared" si="1"/>
        <v>138</v>
      </c>
      <c r="G11" s="34">
        <v>122834846</v>
      </c>
      <c r="H11" s="24">
        <f t="shared" si="2"/>
        <v>60375</v>
      </c>
      <c r="I11" s="23">
        <v>1832624</v>
      </c>
      <c r="J11" s="32">
        <f t="shared" si="3"/>
        <v>692</v>
      </c>
      <c r="K11" s="33">
        <v>71</v>
      </c>
      <c r="L11" s="33">
        <v>106</v>
      </c>
    </row>
    <row r="12" spans="1:12" ht="45" customHeight="1" x14ac:dyDescent="0.25">
      <c r="A12" s="22">
        <v>44812</v>
      </c>
      <c r="B12" s="37"/>
      <c r="C12" s="34">
        <v>41375218</v>
      </c>
      <c r="D12" s="24">
        <f t="shared" si="0"/>
        <v>29118</v>
      </c>
      <c r="E12" s="34">
        <v>609438.99999999336</v>
      </c>
      <c r="F12" s="24">
        <f t="shared" si="1"/>
        <v>165</v>
      </c>
      <c r="G12" s="34">
        <v>122897822</v>
      </c>
      <c r="H12" s="24">
        <f t="shared" si="2"/>
        <v>62976</v>
      </c>
      <c r="I12" s="23">
        <v>1833346</v>
      </c>
      <c r="J12" s="32">
        <f t="shared" si="3"/>
        <v>722</v>
      </c>
      <c r="K12" s="33">
        <v>73</v>
      </c>
      <c r="L12" s="33">
        <v>83</v>
      </c>
    </row>
    <row r="13" spans="1:12" ht="45" customHeight="1" x14ac:dyDescent="0.25">
      <c r="A13" s="22">
        <v>44813</v>
      </c>
      <c r="B13" s="37"/>
      <c r="C13" s="34">
        <v>41406860</v>
      </c>
      <c r="D13" s="24">
        <f t="shared" si="0"/>
        <v>31642</v>
      </c>
      <c r="E13" s="34">
        <v>609610.99999999336</v>
      </c>
      <c r="F13" s="24">
        <f t="shared" si="1"/>
        <v>172</v>
      </c>
      <c r="G13" s="34">
        <v>122951502</v>
      </c>
      <c r="H13" s="24">
        <f t="shared" si="2"/>
        <v>53680</v>
      </c>
      <c r="I13" s="23">
        <v>1834104</v>
      </c>
      <c r="J13" s="32">
        <f t="shared" si="3"/>
        <v>758</v>
      </c>
      <c r="K13" s="33">
        <v>97</v>
      </c>
      <c r="L13" s="33">
        <v>352</v>
      </c>
    </row>
    <row r="14" spans="1:12" ht="45" customHeight="1" x14ac:dyDescent="0.25">
      <c r="A14" s="22">
        <v>44814</v>
      </c>
      <c r="B14" s="37"/>
      <c r="C14" s="34">
        <v>41439910</v>
      </c>
      <c r="D14" s="24">
        <f t="shared" si="0"/>
        <v>33050</v>
      </c>
      <c r="E14" s="34">
        <v>609779.99999999336</v>
      </c>
      <c r="F14" s="24">
        <f t="shared" si="1"/>
        <v>169</v>
      </c>
      <c r="G14" s="34">
        <v>123013041</v>
      </c>
      <c r="H14" s="24">
        <f t="shared" si="2"/>
        <v>61539</v>
      </c>
      <c r="I14" s="23">
        <v>1834937</v>
      </c>
      <c r="J14" s="32">
        <f t="shared" si="3"/>
        <v>833</v>
      </c>
      <c r="K14" s="33">
        <v>156</v>
      </c>
      <c r="L14" s="33">
        <v>506</v>
      </c>
    </row>
    <row r="15" spans="1:12" ht="45" customHeight="1" x14ac:dyDescent="0.25">
      <c r="A15" s="22">
        <v>44815</v>
      </c>
      <c r="B15" s="37"/>
      <c r="C15" s="34">
        <v>41470493</v>
      </c>
      <c r="D15" s="24">
        <f t="shared" si="0"/>
        <v>30583</v>
      </c>
      <c r="E15" s="34">
        <v>609948.99999999336</v>
      </c>
      <c r="F15" s="24">
        <f t="shared" si="1"/>
        <v>169</v>
      </c>
      <c r="G15" s="34">
        <v>123075533</v>
      </c>
      <c r="H15" s="24">
        <f t="shared" si="2"/>
        <v>62492</v>
      </c>
      <c r="I15" s="23">
        <v>1835759</v>
      </c>
      <c r="J15" s="32">
        <f t="shared" si="3"/>
        <v>822</v>
      </c>
      <c r="K15" s="33">
        <v>205</v>
      </c>
      <c r="L15" s="33">
        <v>660</v>
      </c>
    </row>
    <row r="16" spans="1:12" ht="45" customHeight="1" x14ac:dyDescent="0.25">
      <c r="A16" s="22">
        <v>44816</v>
      </c>
      <c r="B16" s="37"/>
      <c r="C16" s="34">
        <v>41503081</v>
      </c>
      <c r="D16" s="24">
        <f t="shared" si="0"/>
        <v>32588</v>
      </c>
      <c r="E16" s="34">
        <v>610098.99999999336</v>
      </c>
      <c r="F16" s="24">
        <f t="shared" si="1"/>
        <v>150</v>
      </c>
      <c r="G16" s="34">
        <v>123143947</v>
      </c>
      <c r="H16" s="24">
        <f t="shared" si="2"/>
        <v>68414</v>
      </c>
      <c r="I16" s="23">
        <v>1836632</v>
      </c>
      <c r="J16" s="32">
        <f t="shared" si="3"/>
        <v>873</v>
      </c>
      <c r="K16" s="33">
        <v>106</v>
      </c>
      <c r="L16" s="33">
        <v>458</v>
      </c>
    </row>
    <row r="17" spans="1:12" ht="45" customHeight="1" x14ac:dyDescent="0.25">
      <c r="A17" s="22">
        <v>44817</v>
      </c>
      <c r="B17" s="37"/>
      <c r="C17" s="34">
        <v>41532789</v>
      </c>
      <c r="D17" s="24">
        <f t="shared" si="0"/>
        <v>29708</v>
      </c>
      <c r="E17" s="34">
        <v>610234.99999999336</v>
      </c>
      <c r="F17" s="24">
        <f t="shared" si="1"/>
        <v>136</v>
      </c>
      <c r="G17" s="34">
        <v>123206197</v>
      </c>
      <c r="H17" s="24">
        <f t="shared" si="2"/>
        <v>62250</v>
      </c>
      <c r="I17" s="23">
        <v>1837459</v>
      </c>
      <c r="J17" s="32">
        <f t="shared" si="3"/>
        <v>827</v>
      </c>
      <c r="K17" s="33">
        <v>106</v>
      </c>
      <c r="L17" s="33">
        <v>128</v>
      </c>
    </row>
    <row r="18" spans="1:12" ht="45" customHeight="1" x14ac:dyDescent="0.25">
      <c r="A18" s="22">
        <v>44818</v>
      </c>
      <c r="B18" s="37"/>
      <c r="C18" s="34">
        <v>41560990</v>
      </c>
      <c r="D18" s="24">
        <f t="shared" si="0"/>
        <v>28201</v>
      </c>
      <c r="E18" s="34">
        <v>610374.99999999336</v>
      </c>
      <c r="F18" s="24">
        <f t="shared" si="1"/>
        <v>140</v>
      </c>
      <c r="G18" s="34">
        <v>123267236</v>
      </c>
      <c r="H18" s="24">
        <f t="shared" si="2"/>
        <v>61039</v>
      </c>
      <c r="I18" s="23">
        <v>1838177</v>
      </c>
      <c r="J18" s="32">
        <f t="shared" si="3"/>
        <v>718</v>
      </c>
      <c r="K18" s="33">
        <v>122</v>
      </c>
      <c r="L18" s="33">
        <v>154</v>
      </c>
    </row>
    <row r="19" spans="1:12" ht="45" customHeight="1" x14ac:dyDescent="0.25">
      <c r="A19" s="22">
        <v>44819</v>
      </c>
      <c r="B19" s="37"/>
      <c r="C19" s="34">
        <v>41592190</v>
      </c>
      <c r="D19" s="24">
        <f t="shared" si="0"/>
        <v>31200</v>
      </c>
      <c r="E19" s="34">
        <v>610520.99999999336</v>
      </c>
      <c r="F19" s="24">
        <f t="shared" si="1"/>
        <v>146</v>
      </c>
      <c r="G19" s="34">
        <v>123326307</v>
      </c>
      <c r="H19" s="24">
        <f t="shared" si="2"/>
        <v>59071</v>
      </c>
      <c r="I19" s="23">
        <v>1839006</v>
      </c>
      <c r="J19" s="32">
        <f t="shared" si="3"/>
        <v>829</v>
      </c>
      <c r="K19" s="33">
        <v>102</v>
      </c>
      <c r="L19" s="33">
        <v>147</v>
      </c>
    </row>
    <row r="20" spans="1:12" ht="45" customHeight="1" x14ac:dyDescent="0.25">
      <c r="A20" s="22">
        <v>44820</v>
      </c>
      <c r="B20" s="37"/>
      <c r="C20" s="34">
        <v>41624350</v>
      </c>
      <c r="D20" s="24">
        <f t="shared" ref="D20:D34" si="4">IF((C20-C19&lt;0), "0",C20-C19)</f>
        <v>32160</v>
      </c>
      <c r="E20" s="34">
        <v>610686.99999999336</v>
      </c>
      <c r="F20" s="24">
        <f t="shared" ref="F20:F34" si="5">IF((E20-E19&lt;0), "0",E20-E19)</f>
        <v>166</v>
      </c>
      <c r="G20" s="34">
        <v>123389400</v>
      </c>
      <c r="H20" s="24">
        <f t="shared" si="2"/>
        <v>63093</v>
      </c>
      <c r="I20" s="23">
        <v>1839858</v>
      </c>
      <c r="J20" s="32">
        <f t="shared" si="3"/>
        <v>852</v>
      </c>
      <c r="K20" s="33">
        <v>143</v>
      </c>
      <c r="L20" s="33">
        <v>279</v>
      </c>
    </row>
    <row r="21" spans="1:12" ht="45" customHeight="1" x14ac:dyDescent="0.25">
      <c r="A21" s="22">
        <v>44821</v>
      </c>
      <c r="B21" s="37"/>
      <c r="C21" s="34">
        <v>41656681</v>
      </c>
      <c r="D21" s="24">
        <f t="shared" si="4"/>
        <v>32331</v>
      </c>
      <c r="E21" s="34">
        <v>610857.99999999336</v>
      </c>
      <c r="F21" s="24">
        <f t="shared" si="5"/>
        <v>171</v>
      </c>
      <c r="G21" s="34">
        <v>123459893</v>
      </c>
      <c r="H21" s="24">
        <f t="shared" si="2"/>
        <v>70493</v>
      </c>
      <c r="I21" s="23">
        <v>1840696</v>
      </c>
      <c r="J21" s="32">
        <f t="shared" si="3"/>
        <v>838</v>
      </c>
      <c r="K21" s="33">
        <v>164</v>
      </c>
      <c r="L21" s="33">
        <v>520</v>
      </c>
    </row>
    <row r="22" spans="1:12" ht="45" customHeight="1" x14ac:dyDescent="0.25">
      <c r="A22" s="22">
        <v>44822</v>
      </c>
      <c r="B22" s="37"/>
      <c r="C22" s="34">
        <v>41688342</v>
      </c>
      <c r="D22" s="24">
        <f t="shared" si="4"/>
        <v>31661</v>
      </c>
      <c r="E22" s="34">
        <v>611020.99999999336</v>
      </c>
      <c r="F22" s="24">
        <f t="shared" si="5"/>
        <v>163</v>
      </c>
      <c r="G22" s="34">
        <v>123533447</v>
      </c>
      <c r="H22" s="24">
        <f t="shared" si="2"/>
        <v>73554</v>
      </c>
      <c r="I22" s="23">
        <v>1841640</v>
      </c>
      <c r="J22" s="32">
        <f t="shared" si="3"/>
        <v>944</v>
      </c>
      <c r="K22" s="33">
        <v>127</v>
      </c>
      <c r="L22" s="33">
        <v>545</v>
      </c>
    </row>
    <row r="23" spans="1:12" ht="45" customHeight="1" x14ac:dyDescent="0.25">
      <c r="A23" s="22">
        <v>44823</v>
      </c>
      <c r="B23" s="37"/>
      <c r="C23" s="34">
        <v>41718926</v>
      </c>
      <c r="D23" s="24">
        <f t="shared" si="4"/>
        <v>30584</v>
      </c>
      <c r="E23" s="34">
        <v>611164.99999999336</v>
      </c>
      <c r="F23" s="24">
        <f t="shared" si="5"/>
        <v>144</v>
      </c>
      <c r="G23" s="34">
        <v>123602400</v>
      </c>
      <c r="H23" s="24">
        <f t="shared" si="2"/>
        <v>68953</v>
      </c>
      <c r="I23" s="23">
        <v>1842473</v>
      </c>
      <c r="J23" s="32">
        <f t="shared" si="3"/>
        <v>833</v>
      </c>
      <c r="K23" s="33">
        <v>120</v>
      </c>
      <c r="L23" s="33">
        <v>167</v>
      </c>
    </row>
    <row r="24" spans="1:12" ht="45" customHeight="1" x14ac:dyDescent="0.25">
      <c r="A24" s="22">
        <v>44824</v>
      </c>
      <c r="B24" s="37"/>
      <c r="C24" s="34">
        <v>41747728</v>
      </c>
      <c r="D24" s="24">
        <f t="shared" si="4"/>
        <v>28802</v>
      </c>
      <c r="E24" s="34">
        <v>611300.99999999336</v>
      </c>
      <c r="F24" s="24">
        <f t="shared" si="5"/>
        <v>136</v>
      </c>
      <c r="G24" s="34">
        <v>123668244</v>
      </c>
      <c r="H24" s="24">
        <f t="shared" si="2"/>
        <v>65844</v>
      </c>
      <c r="I24" s="23">
        <v>1843228</v>
      </c>
      <c r="J24" s="32">
        <f t="shared" si="3"/>
        <v>755</v>
      </c>
      <c r="K24" s="33">
        <v>104</v>
      </c>
      <c r="L24" s="33">
        <v>152</v>
      </c>
    </row>
    <row r="25" spans="1:12" ht="45" customHeight="1" x14ac:dyDescent="0.25">
      <c r="A25" s="22">
        <v>44825</v>
      </c>
      <c r="B25" s="37"/>
      <c r="C25" s="34">
        <v>41777158</v>
      </c>
      <c r="D25" s="24">
        <f t="shared" si="4"/>
        <v>29430</v>
      </c>
      <c r="E25" s="34">
        <v>611439.99999999336</v>
      </c>
      <c r="F25" s="24">
        <f t="shared" si="5"/>
        <v>139</v>
      </c>
      <c r="G25" s="34">
        <v>123727268</v>
      </c>
      <c r="H25" s="24">
        <f t="shared" si="2"/>
        <v>59024</v>
      </c>
      <c r="I25" s="23">
        <v>1844013</v>
      </c>
      <c r="J25" s="32">
        <f t="shared" si="3"/>
        <v>785</v>
      </c>
      <c r="K25" s="33">
        <v>100</v>
      </c>
      <c r="L25" s="33">
        <v>132</v>
      </c>
    </row>
    <row r="26" spans="1:12" ht="45" customHeight="1" x14ac:dyDescent="0.25">
      <c r="A26" s="22">
        <v>44826</v>
      </c>
      <c r="B26" s="37"/>
      <c r="C26" s="34">
        <v>41807859</v>
      </c>
      <c r="D26" s="24">
        <f t="shared" si="4"/>
        <v>30701</v>
      </c>
      <c r="E26" s="34">
        <v>611590.99999999336</v>
      </c>
      <c r="F26" s="24">
        <f t="shared" si="5"/>
        <v>151</v>
      </c>
      <c r="G26" s="34">
        <v>123785182</v>
      </c>
      <c r="H26" s="24">
        <f t="shared" si="2"/>
        <v>57914</v>
      </c>
      <c r="I26" s="23">
        <v>1844765</v>
      </c>
      <c r="J26" s="32">
        <f t="shared" si="3"/>
        <v>752</v>
      </c>
      <c r="K26" s="33">
        <v>117</v>
      </c>
      <c r="L26" s="33">
        <v>194</v>
      </c>
    </row>
    <row r="27" spans="1:12" ht="45" customHeight="1" x14ac:dyDescent="0.25">
      <c r="A27" s="22">
        <v>44827</v>
      </c>
      <c r="B27" s="37"/>
      <c r="C27" s="34">
        <v>41838913</v>
      </c>
      <c r="D27" s="24">
        <f t="shared" si="4"/>
        <v>31054</v>
      </c>
      <c r="E27" s="34">
        <v>611757.99999999336</v>
      </c>
      <c r="F27" s="24">
        <f t="shared" si="5"/>
        <v>167</v>
      </c>
      <c r="G27" s="34">
        <v>123846932</v>
      </c>
      <c r="H27" s="24">
        <f t="shared" si="2"/>
        <v>61750</v>
      </c>
      <c r="I27" s="23">
        <v>1845554</v>
      </c>
      <c r="J27" s="32">
        <f t="shared" si="3"/>
        <v>789</v>
      </c>
      <c r="K27" s="33">
        <v>179</v>
      </c>
      <c r="L27" s="33">
        <v>362</v>
      </c>
    </row>
    <row r="28" spans="1:12" ht="45" customHeight="1" x14ac:dyDescent="0.25">
      <c r="A28" s="22">
        <v>44828</v>
      </c>
      <c r="B28" s="37"/>
      <c r="C28" s="34">
        <v>41870980</v>
      </c>
      <c r="D28" s="24">
        <f t="shared" si="4"/>
        <v>32067</v>
      </c>
      <c r="E28" s="34">
        <v>611929.99999999336</v>
      </c>
      <c r="F28" s="24">
        <f t="shared" si="5"/>
        <v>172</v>
      </c>
      <c r="G28" s="34">
        <v>123906127</v>
      </c>
      <c r="H28" s="24">
        <f t="shared" si="2"/>
        <v>59195</v>
      </c>
      <c r="I28" s="23">
        <v>1846426</v>
      </c>
      <c r="J28" s="32">
        <f t="shared" si="3"/>
        <v>872</v>
      </c>
      <c r="K28" s="33">
        <v>213</v>
      </c>
      <c r="L28" s="33">
        <v>701</v>
      </c>
    </row>
    <row r="29" spans="1:12" ht="45" customHeight="1" x14ac:dyDescent="0.25">
      <c r="A29" s="22">
        <v>44829</v>
      </c>
      <c r="B29" s="37"/>
      <c r="C29" s="34">
        <v>41902672</v>
      </c>
      <c r="D29" s="24">
        <f t="shared" si="4"/>
        <v>31692</v>
      </c>
      <c r="E29" s="34">
        <v>612089.99999999336</v>
      </c>
      <c r="F29" s="24">
        <f t="shared" si="5"/>
        <v>160</v>
      </c>
      <c r="G29" s="34">
        <v>123966197</v>
      </c>
      <c r="H29" s="24">
        <f t="shared" si="2"/>
        <v>60070</v>
      </c>
      <c r="I29" s="23">
        <v>1847304</v>
      </c>
      <c r="J29" s="32">
        <f t="shared" si="3"/>
        <v>878</v>
      </c>
      <c r="K29" s="33">
        <v>136</v>
      </c>
      <c r="L29" s="33">
        <v>784</v>
      </c>
    </row>
    <row r="30" spans="1:12" ht="45" customHeight="1" x14ac:dyDescent="0.25">
      <c r="A30" s="22">
        <v>44830</v>
      </c>
      <c r="B30" s="37"/>
      <c r="C30" s="34">
        <v>41932593</v>
      </c>
      <c r="D30" s="24">
        <f t="shared" si="4"/>
        <v>29921</v>
      </c>
      <c r="E30" s="34">
        <v>612230.99999999336</v>
      </c>
      <c r="F30" s="24">
        <f t="shared" si="5"/>
        <v>141</v>
      </c>
      <c r="G30" s="34">
        <v>124031541</v>
      </c>
      <c r="H30" s="24">
        <f t="shared" si="2"/>
        <v>65344</v>
      </c>
      <c r="I30" s="23">
        <v>1848069</v>
      </c>
      <c r="J30" s="32">
        <f t="shared" si="3"/>
        <v>765</v>
      </c>
      <c r="K30" s="33">
        <v>155</v>
      </c>
      <c r="L30" s="33">
        <v>211</v>
      </c>
    </row>
    <row r="31" spans="1:12" ht="45" customHeight="1" x14ac:dyDescent="0.25">
      <c r="A31" s="22">
        <v>44831</v>
      </c>
      <c r="B31" s="37"/>
      <c r="C31" s="34">
        <v>41963326</v>
      </c>
      <c r="D31" s="24">
        <f t="shared" si="4"/>
        <v>30733</v>
      </c>
      <c r="E31" s="34">
        <v>612368.99999999336</v>
      </c>
      <c r="F31" s="24">
        <f t="shared" si="5"/>
        <v>138</v>
      </c>
      <c r="G31" s="34">
        <v>124095838</v>
      </c>
      <c r="H31" s="24">
        <f t="shared" si="2"/>
        <v>64297</v>
      </c>
      <c r="I31" s="23">
        <v>1848824</v>
      </c>
      <c r="J31" s="32">
        <f t="shared" si="3"/>
        <v>755</v>
      </c>
      <c r="K31" s="33">
        <v>200</v>
      </c>
      <c r="L31" s="33">
        <v>226</v>
      </c>
    </row>
    <row r="32" spans="1:12" ht="45" customHeight="1" x14ac:dyDescent="0.25">
      <c r="A32" s="22">
        <v>44832</v>
      </c>
      <c r="B32" s="37"/>
      <c r="C32" s="34">
        <v>41995852</v>
      </c>
      <c r="D32" s="24">
        <f t="shared" si="4"/>
        <v>32526</v>
      </c>
      <c r="E32" s="34">
        <v>612510.99999999336</v>
      </c>
      <c r="F32" s="24">
        <f t="shared" si="5"/>
        <v>142</v>
      </c>
      <c r="G32" s="34">
        <v>124161822</v>
      </c>
      <c r="H32" s="24">
        <f t="shared" si="2"/>
        <v>65984</v>
      </c>
      <c r="I32" s="23">
        <v>1849641</v>
      </c>
      <c r="J32" s="32">
        <f t="shared" si="3"/>
        <v>817</v>
      </c>
      <c r="K32" s="33">
        <v>181</v>
      </c>
      <c r="L32" s="33">
        <v>267</v>
      </c>
    </row>
    <row r="33" spans="1:12" ht="45" customHeight="1" x14ac:dyDescent="0.25">
      <c r="A33" s="22">
        <v>44833</v>
      </c>
      <c r="C33" s="34">
        <v>42028360</v>
      </c>
      <c r="D33" s="24">
        <f t="shared" si="4"/>
        <v>32508</v>
      </c>
      <c r="E33" s="34">
        <v>612663.99999999336</v>
      </c>
      <c r="F33" s="24">
        <f t="shared" si="5"/>
        <v>153</v>
      </c>
      <c r="G33" s="34">
        <v>124224791</v>
      </c>
      <c r="H33" s="24">
        <f t="shared" si="2"/>
        <v>62969</v>
      </c>
      <c r="I33" s="23">
        <v>1850435</v>
      </c>
      <c r="J33" s="32">
        <f t="shared" si="3"/>
        <v>794</v>
      </c>
      <c r="K33" s="33">
        <v>191</v>
      </c>
      <c r="L33" s="33">
        <v>234</v>
      </c>
    </row>
    <row r="34" spans="1:12" ht="45" customHeight="1" x14ac:dyDescent="0.25">
      <c r="A34" s="22">
        <v>44834</v>
      </c>
      <c r="C34" s="34">
        <v>42061025</v>
      </c>
      <c r="D34" s="24">
        <f t="shared" si="4"/>
        <v>32665</v>
      </c>
      <c r="E34" s="34">
        <v>612824.99999999336</v>
      </c>
      <c r="F34" s="24">
        <f t="shared" si="5"/>
        <v>161</v>
      </c>
      <c r="G34" s="34">
        <v>124284988</v>
      </c>
      <c r="H34" s="24">
        <f t="shared" si="2"/>
        <v>60197</v>
      </c>
      <c r="I34" s="23">
        <v>1851236</v>
      </c>
      <c r="J34" s="32">
        <f t="shared" si="3"/>
        <v>801</v>
      </c>
      <c r="K34" s="33">
        <v>229</v>
      </c>
      <c r="L34" s="33">
        <v>418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2023-02-23T06:03:05Z</dcterms:modified>
  <cp:category/>
  <cp:contentStatus/>
</cp:coreProperties>
</file>